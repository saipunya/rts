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พิศมัย\"/>
    </mc:Choice>
  </mc:AlternateContent>
  <xr:revisionPtr revIDLastSave="0" documentId="13_ncr:1_{AEDA6C3E-397D-4E33-AD7F-5A400FADD41B}" xr6:coauthVersionLast="47" xr6:coauthVersionMax="47" xr10:uidLastSave="{00000000-0000-0000-0000-000000000000}"/>
  <bookViews>
    <workbookView xWindow="-120" yWindow="-120" windowWidth="29040" windowHeight="15840" activeTab="1" xr2:uid="{E4C583F2-9F93-4B41-9510-11DB133983FE}"/>
  </bookViews>
  <sheets>
    <sheet name="สมาชิก" sheetId="1" r:id="rId1"/>
    <sheet name="เกษตรกรทั่วไป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2" l="1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M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M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M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5" i="2"/>
  <c r="AJ376" i="2"/>
  <c r="AH376" i="2"/>
  <c r="AF376" i="2"/>
  <c r="AD376" i="2"/>
  <c r="AB376" i="2"/>
  <c r="Z376" i="2"/>
  <c r="X376" i="2"/>
  <c r="V376" i="2"/>
  <c r="T376" i="2"/>
  <c r="R376" i="2"/>
  <c r="P376" i="2"/>
  <c r="N376" i="2"/>
  <c r="L376" i="2"/>
  <c r="J376" i="2"/>
  <c r="H376" i="2"/>
  <c r="F376" i="2"/>
  <c r="D376" i="2"/>
  <c r="AL376" i="2" s="1"/>
  <c r="AK375" i="2"/>
  <c r="AI375" i="2"/>
  <c r="AG375" i="2"/>
  <c r="AE375" i="2"/>
  <c r="AC375" i="2"/>
  <c r="AA375" i="2"/>
  <c r="Y375" i="2"/>
  <c r="W375" i="2"/>
  <c r="U375" i="2"/>
  <c r="S375" i="2"/>
  <c r="Q375" i="2"/>
  <c r="O375" i="2"/>
  <c r="M375" i="2"/>
  <c r="K375" i="2"/>
  <c r="I375" i="2"/>
  <c r="G375" i="2"/>
  <c r="AM375" i="2" s="1"/>
  <c r="E375" i="2"/>
  <c r="AK374" i="2"/>
  <c r="AI374" i="2"/>
  <c r="AG374" i="2"/>
  <c r="AE374" i="2"/>
  <c r="AC374" i="2"/>
  <c r="AA374" i="2"/>
  <c r="Y374" i="2"/>
  <c r="W374" i="2"/>
  <c r="U374" i="2"/>
  <c r="S374" i="2"/>
  <c r="Q374" i="2"/>
  <c r="O374" i="2"/>
  <c r="M374" i="2"/>
  <c r="K374" i="2"/>
  <c r="I374" i="2"/>
  <c r="G374" i="2"/>
  <c r="E374" i="2"/>
  <c r="AM374" i="2" s="1"/>
  <c r="AK373" i="2"/>
  <c r="AI373" i="2"/>
  <c r="AG373" i="2"/>
  <c r="AE373" i="2"/>
  <c r="AC373" i="2"/>
  <c r="AA373" i="2"/>
  <c r="Y373" i="2"/>
  <c r="W373" i="2"/>
  <c r="U373" i="2"/>
  <c r="S373" i="2"/>
  <c r="Q373" i="2"/>
  <c r="O373" i="2"/>
  <c r="M373" i="2"/>
  <c r="K373" i="2"/>
  <c r="I373" i="2"/>
  <c r="G373" i="2"/>
  <c r="AM373" i="2" s="1"/>
  <c r="E373" i="2"/>
  <c r="AK372" i="2"/>
  <c r="AI372" i="2"/>
  <c r="AG372" i="2"/>
  <c r="AE372" i="2"/>
  <c r="AC372" i="2"/>
  <c r="AA372" i="2"/>
  <c r="Y372" i="2"/>
  <c r="W372" i="2"/>
  <c r="U372" i="2"/>
  <c r="S372" i="2"/>
  <c r="Q372" i="2"/>
  <c r="O372" i="2"/>
  <c r="M372" i="2"/>
  <c r="K372" i="2"/>
  <c r="I372" i="2"/>
  <c r="G372" i="2"/>
  <c r="E372" i="2"/>
  <c r="AM372" i="2" s="1"/>
  <c r="AK371" i="2"/>
  <c r="AI371" i="2"/>
  <c r="AG371" i="2"/>
  <c r="AE371" i="2"/>
  <c r="AC371" i="2"/>
  <c r="AA371" i="2"/>
  <c r="Y371" i="2"/>
  <c r="W371" i="2"/>
  <c r="U371" i="2"/>
  <c r="S371" i="2"/>
  <c r="Q371" i="2"/>
  <c r="O371" i="2"/>
  <c r="M371" i="2"/>
  <c r="K371" i="2"/>
  <c r="I371" i="2"/>
  <c r="G371" i="2"/>
  <c r="AM371" i="2" s="1"/>
  <c r="E371" i="2"/>
  <c r="AK370" i="2"/>
  <c r="AI370" i="2"/>
  <c r="AG370" i="2"/>
  <c r="AE370" i="2"/>
  <c r="AC370" i="2"/>
  <c r="AA370" i="2"/>
  <c r="Y370" i="2"/>
  <c r="W370" i="2"/>
  <c r="U370" i="2"/>
  <c r="S370" i="2"/>
  <c r="Q370" i="2"/>
  <c r="O370" i="2"/>
  <c r="M370" i="2"/>
  <c r="K370" i="2"/>
  <c r="I370" i="2"/>
  <c r="G370" i="2"/>
  <c r="E370" i="2"/>
  <c r="AM370" i="2" s="1"/>
  <c r="AK369" i="2"/>
  <c r="AI369" i="2"/>
  <c r="AG369" i="2"/>
  <c r="AE369" i="2"/>
  <c r="AC369" i="2"/>
  <c r="AA369" i="2"/>
  <c r="Y369" i="2"/>
  <c r="W369" i="2"/>
  <c r="U369" i="2"/>
  <c r="S369" i="2"/>
  <c r="Q369" i="2"/>
  <c r="O369" i="2"/>
  <c r="M369" i="2"/>
  <c r="K369" i="2"/>
  <c r="I369" i="2"/>
  <c r="G369" i="2"/>
  <c r="AM369" i="2" s="1"/>
  <c r="E369" i="2"/>
  <c r="AK368" i="2"/>
  <c r="AI368" i="2"/>
  <c r="AG368" i="2"/>
  <c r="AE368" i="2"/>
  <c r="AC368" i="2"/>
  <c r="AA368" i="2"/>
  <c r="Y368" i="2"/>
  <c r="W368" i="2"/>
  <c r="U368" i="2"/>
  <c r="S368" i="2"/>
  <c r="Q368" i="2"/>
  <c r="O368" i="2"/>
  <c r="M368" i="2"/>
  <c r="K368" i="2"/>
  <c r="I368" i="2"/>
  <c r="G368" i="2"/>
  <c r="E368" i="2"/>
  <c r="AM368" i="2" s="1"/>
  <c r="AK367" i="2"/>
  <c r="AI367" i="2"/>
  <c r="AG367" i="2"/>
  <c r="AE367" i="2"/>
  <c r="AC367" i="2"/>
  <c r="AA367" i="2"/>
  <c r="Y367" i="2"/>
  <c r="W367" i="2"/>
  <c r="U367" i="2"/>
  <c r="S367" i="2"/>
  <c r="Q367" i="2"/>
  <c r="O367" i="2"/>
  <c r="M367" i="2"/>
  <c r="K367" i="2"/>
  <c r="I367" i="2"/>
  <c r="G367" i="2"/>
  <c r="AM367" i="2" s="1"/>
  <c r="E367" i="2"/>
  <c r="AK366" i="2"/>
  <c r="AI366" i="2"/>
  <c r="AG366" i="2"/>
  <c r="AE366" i="2"/>
  <c r="AC366" i="2"/>
  <c r="AA366" i="2"/>
  <c r="Y366" i="2"/>
  <c r="W366" i="2"/>
  <c r="U366" i="2"/>
  <c r="S366" i="2"/>
  <c r="Q366" i="2"/>
  <c r="O366" i="2"/>
  <c r="M366" i="2"/>
  <c r="K366" i="2"/>
  <c r="I366" i="2"/>
  <c r="G366" i="2"/>
  <c r="E366" i="2"/>
  <c r="AM366" i="2" s="1"/>
  <c r="AK365" i="2"/>
  <c r="AI365" i="2"/>
  <c r="AG365" i="2"/>
  <c r="AE365" i="2"/>
  <c r="AC365" i="2"/>
  <c r="AA365" i="2"/>
  <c r="Y365" i="2"/>
  <c r="W365" i="2"/>
  <c r="U365" i="2"/>
  <c r="S365" i="2"/>
  <c r="Q365" i="2"/>
  <c r="O365" i="2"/>
  <c r="M365" i="2"/>
  <c r="K365" i="2"/>
  <c r="I365" i="2"/>
  <c r="G365" i="2"/>
  <c r="AM365" i="2" s="1"/>
  <c r="E365" i="2"/>
  <c r="AK364" i="2"/>
  <c r="AI364" i="2"/>
  <c r="AG364" i="2"/>
  <c r="AE364" i="2"/>
  <c r="AC364" i="2"/>
  <c r="AA364" i="2"/>
  <c r="Y364" i="2"/>
  <c r="W364" i="2"/>
  <c r="U364" i="2"/>
  <c r="S364" i="2"/>
  <c r="Q364" i="2"/>
  <c r="O364" i="2"/>
  <c r="M364" i="2"/>
  <c r="K364" i="2"/>
  <c r="I364" i="2"/>
  <c r="G364" i="2"/>
  <c r="E364" i="2"/>
  <c r="AM364" i="2" s="1"/>
  <c r="AK363" i="2"/>
  <c r="AI363" i="2"/>
  <c r="AG363" i="2"/>
  <c r="AE363" i="2"/>
  <c r="AC363" i="2"/>
  <c r="AA363" i="2"/>
  <c r="Y363" i="2"/>
  <c r="W363" i="2"/>
  <c r="U363" i="2"/>
  <c r="S363" i="2"/>
  <c r="Q363" i="2"/>
  <c r="O363" i="2"/>
  <c r="M363" i="2"/>
  <c r="K363" i="2"/>
  <c r="I363" i="2"/>
  <c r="G363" i="2"/>
  <c r="AM363" i="2" s="1"/>
  <c r="E363" i="2"/>
  <c r="AK362" i="2"/>
  <c r="AI362" i="2"/>
  <c r="AG362" i="2"/>
  <c r="AE362" i="2"/>
  <c r="AC362" i="2"/>
  <c r="AA362" i="2"/>
  <c r="Y362" i="2"/>
  <c r="W362" i="2"/>
  <c r="U362" i="2"/>
  <c r="S362" i="2"/>
  <c r="Q362" i="2"/>
  <c r="O362" i="2"/>
  <c r="M362" i="2"/>
  <c r="K362" i="2"/>
  <c r="I362" i="2"/>
  <c r="G362" i="2"/>
  <c r="E362" i="2"/>
  <c r="AM362" i="2" s="1"/>
  <c r="AK361" i="2"/>
  <c r="AI361" i="2"/>
  <c r="AG361" i="2"/>
  <c r="AE361" i="2"/>
  <c r="AC361" i="2"/>
  <c r="AA361" i="2"/>
  <c r="Y361" i="2"/>
  <c r="W361" i="2"/>
  <c r="U361" i="2"/>
  <c r="S361" i="2"/>
  <c r="Q361" i="2"/>
  <c r="O361" i="2"/>
  <c r="M361" i="2"/>
  <c r="K361" i="2"/>
  <c r="I361" i="2"/>
  <c r="G361" i="2"/>
  <c r="AM361" i="2" s="1"/>
  <c r="E361" i="2"/>
  <c r="AK360" i="2"/>
  <c r="AI360" i="2"/>
  <c r="AG360" i="2"/>
  <c r="AE360" i="2"/>
  <c r="AC360" i="2"/>
  <c r="AA360" i="2"/>
  <c r="Y360" i="2"/>
  <c r="W360" i="2"/>
  <c r="U360" i="2"/>
  <c r="S360" i="2"/>
  <c r="Q360" i="2"/>
  <c r="O360" i="2"/>
  <c r="M360" i="2"/>
  <c r="K360" i="2"/>
  <c r="I360" i="2"/>
  <c r="G360" i="2"/>
  <c r="E360" i="2"/>
  <c r="AM360" i="2" s="1"/>
  <c r="AK359" i="2"/>
  <c r="AI359" i="2"/>
  <c r="AG359" i="2"/>
  <c r="AE359" i="2"/>
  <c r="AC359" i="2"/>
  <c r="AA359" i="2"/>
  <c r="Y359" i="2"/>
  <c r="W359" i="2"/>
  <c r="U359" i="2"/>
  <c r="S359" i="2"/>
  <c r="Q359" i="2"/>
  <c r="O359" i="2"/>
  <c r="M359" i="2"/>
  <c r="K359" i="2"/>
  <c r="I359" i="2"/>
  <c r="G359" i="2"/>
  <c r="AM359" i="2" s="1"/>
  <c r="E359" i="2"/>
  <c r="AK358" i="2"/>
  <c r="AI358" i="2"/>
  <c r="AG358" i="2"/>
  <c r="AE358" i="2"/>
  <c r="AC358" i="2"/>
  <c r="AA358" i="2"/>
  <c r="Y358" i="2"/>
  <c r="W358" i="2"/>
  <c r="U358" i="2"/>
  <c r="S358" i="2"/>
  <c r="Q358" i="2"/>
  <c r="O358" i="2"/>
  <c r="M358" i="2"/>
  <c r="K358" i="2"/>
  <c r="I358" i="2"/>
  <c r="G358" i="2"/>
  <c r="E358" i="2"/>
  <c r="AM358" i="2" s="1"/>
  <c r="AK357" i="2"/>
  <c r="AI357" i="2"/>
  <c r="AG357" i="2"/>
  <c r="AE357" i="2"/>
  <c r="AC357" i="2"/>
  <c r="AA357" i="2"/>
  <c r="Y357" i="2"/>
  <c r="W357" i="2"/>
  <c r="U357" i="2"/>
  <c r="S357" i="2"/>
  <c r="Q357" i="2"/>
  <c r="O357" i="2"/>
  <c r="M357" i="2"/>
  <c r="K357" i="2"/>
  <c r="I357" i="2"/>
  <c r="G357" i="2"/>
  <c r="AM357" i="2" s="1"/>
  <c r="E357" i="2"/>
  <c r="AK356" i="2"/>
  <c r="AI356" i="2"/>
  <c r="AG356" i="2"/>
  <c r="AE356" i="2"/>
  <c r="AC356" i="2"/>
  <c r="AA356" i="2"/>
  <c r="Y356" i="2"/>
  <c r="W356" i="2"/>
  <c r="U356" i="2"/>
  <c r="S356" i="2"/>
  <c r="Q356" i="2"/>
  <c r="O356" i="2"/>
  <c r="M356" i="2"/>
  <c r="K356" i="2"/>
  <c r="I356" i="2"/>
  <c r="G356" i="2"/>
  <c r="E356" i="2"/>
  <c r="AM356" i="2" s="1"/>
  <c r="AK355" i="2"/>
  <c r="AI355" i="2"/>
  <c r="AG355" i="2"/>
  <c r="AE355" i="2"/>
  <c r="AC355" i="2"/>
  <c r="AA355" i="2"/>
  <c r="Y355" i="2"/>
  <c r="W355" i="2"/>
  <c r="U355" i="2"/>
  <c r="S355" i="2"/>
  <c r="Q355" i="2"/>
  <c r="O355" i="2"/>
  <c r="M355" i="2"/>
  <c r="K355" i="2"/>
  <c r="I355" i="2"/>
  <c r="G355" i="2"/>
  <c r="AM355" i="2" s="1"/>
  <c r="E355" i="2"/>
  <c r="AK354" i="2"/>
  <c r="AI354" i="2"/>
  <c r="AG354" i="2"/>
  <c r="AE354" i="2"/>
  <c r="AC354" i="2"/>
  <c r="AA354" i="2"/>
  <c r="Y354" i="2"/>
  <c r="W354" i="2"/>
  <c r="U354" i="2"/>
  <c r="S354" i="2"/>
  <c r="Q354" i="2"/>
  <c r="O354" i="2"/>
  <c r="M354" i="2"/>
  <c r="K354" i="2"/>
  <c r="I354" i="2"/>
  <c r="G354" i="2"/>
  <c r="E354" i="2"/>
  <c r="AM354" i="2" s="1"/>
  <c r="AK353" i="2"/>
  <c r="AI353" i="2"/>
  <c r="AG353" i="2"/>
  <c r="AE353" i="2"/>
  <c r="AC353" i="2"/>
  <c r="AA353" i="2"/>
  <c r="Y353" i="2"/>
  <c r="W353" i="2"/>
  <c r="U353" i="2"/>
  <c r="S353" i="2"/>
  <c r="Q353" i="2"/>
  <c r="O353" i="2"/>
  <c r="M353" i="2"/>
  <c r="K353" i="2"/>
  <c r="I353" i="2"/>
  <c r="G353" i="2"/>
  <c r="AM353" i="2" s="1"/>
  <c r="E353" i="2"/>
  <c r="AK352" i="2"/>
  <c r="AI352" i="2"/>
  <c r="AG352" i="2"/>
  <c r="AE352" i="2"/>
  <c r="AC352" i="2"/>
  <c r="AA352" i="2"/>
  <c r="Y352" i="2"/>
  <c r="W352" i="2"/>
  <c r="U352" i="2"/>
  <c r="S352" i="2"/>
  <c r="Q352" i="2"/>
  <c r="O352" i="2"/>
  <c r="M352" i="2"/>
  <c r="K352" i="2"/>
  <c r="I352" i="2"/>
  <c r="G352" i="2"/>
  <c r="E352" i="2"/>
  <c r="AM352" i="2" s="1"/>
  <c r="AK351" i="2"/>
  <c r="AI351" i="2"/>
  <c r="AG351" i="2"/>
  <c r="AE351" i="2"/>
  <c r="AC351" i="2"/>
  <c r="AA351" i="2"/>
  <c r="Y351" i="2"/>
  <c r="W351" i="2"/>
  <c r="U351" i="2"/>
  <c r="S351" i="2"/>
  <c r="Q351" i="2"/>
  <c r="O351" i="2"/>
  <c r="M351" i="2"/>
  <c r="K351" i="2"/>
  <c r="I351" i="2"/>
  <c r="G351" i="2"/>
  <c r="AM351" i="2" s="1"/>
  <c r="E351" i="2"/>
  <c r="AK350" i="2"/>
  <c r="AI350" i="2"/>
  <c r="AG350" i="2"/>
  <c r="AE350" i="2"/>
  <c r="AC350" i="2"/>
  <c r="AA350" i="2"/>
  <c r="Y350" i="2"/>
  <c r="W350" i="2"/>
  <c r="U350" i="2"/>
  <c r="S350" i="2"/>
  <c r="Q350" i="2"/>
  <c r="O350" i="2"/>
  <c r="M350" i="2"/>
  <c r="K350" i="2"/>
  <c r="I350" i="2"/>
  <c r="G350" i="2"/>
  <c r="E350" i="2"/>
  <c r="AM350" i="2" s="1"/>
  <c r="AK349" i="2"/>
  <c r="AI349" i="2"/>
  <c r="AG349" i="2"/>
  <c r="AE349" i="2"/>
  <c r="AC349" i="2"/>
  <c r="AA349" i="2"/>
  <c r="Y349" i="2"/>
  <c r="W349" i="2"/>
  <c r="U349" i="2"/>
  <c r="S349" i="2"/>
  <c r="Q349" i="2"/>
  <c r="O349" i="2"/>
  <c r="M349" i="2"/>
  <c r="K349" i="2"/>
  <c r="I349" i="2"/>
  <c r="G349" i="2"/>
  <c r="AM349" i="2" s="1"/>
  <c r="E349" i="2"/>
  <c r="AK348" i="2"/>
  <c r="AI348" i="2"/>
  <c r="AG348" i="2"/>
  <c r="AE348" i="2"/>
  <c r="AC348" i="2"/>
  <c r="AA348" i="2"/>
  <c r="Y348" i="2"/>
  <c r="W348" i="2"/>
  <c r="U348" i="2"/>
  <c r="S348" i="2"/>
  <c r="Q348" i="2"/>
  <c r="O348" i="2"/>
  <c r="M348" i="2"/>
  <c r="K348" i="2"/>
  <c r="I348" i="2"/>
  <c r="G348" i="2"/>
  <c r="E348" i="2"/>
  <c r="AM348" i="2" s="1"/>
  <c r="AK347" i="2"/>
  <c r="AI347" i="2"/>
  <c r="AG347" i="2"/>
  <c r="AE347" i="2"/>
  <c r="AC347" i="2"/>
  <c r="AA347" i="2"/>
  <c r="Y347" i="2"/>
  <c r="W347" i="2"/>
  <c r="U347" i="2"/>
  <c r="S347" i="2"/>
  <c r="Q347" i="2"/>
  <c r="O347" i="2"/>
  <c r="M347" i="2"/>
  <c r="K347" i="2"/>
  <c r="I347" i="2"/>
  <c r="G347" i="2"/>
  <c r="AM347" i="2" s="1"/>
  <c r="E347" i="2"/>
  <c r="AK346" i="2"/>
  <c r="AI346" i="2"/>
  <c r="AG346" i="2"/>
  <c r="AE346" i="2"/>
  <c r="AC346" i="2"/>
  <c r="AA346" i="2"/>
  <c r="Y346" i="2"/>
  <c r="W346" i="2"/>
  <c r="U346" i="2"/>
  <c r="S346" i="2"/>
  <c r="Q346" i="2"/>
  <c r="O346" i="2"/>
  <c r="M346" i="2"/>
  <c r="K346" i="2"/>
  <c r="I346" i="2"/>
  <c r="G346" i="2"/>
  <c r="E346" i="2"/>
  <c r="AM346" i="2" s="1"/>
  <c r="AK345" i="2"/>
  <c r="AI345" i="2"/>
  <c r="AG345" i="2"/>
  <c r="AE345" i="2"/>
  <c r="AC345" i="2"/>
  <c r="AA345" i="2"/>
  <c r="Y345" i="2"/>
  <c r="W345" i="2"/>
  <c r="U345" i="2"/>
  <c r="S345" i="2"/>
  <c r="Q345" i="2"/>
  <c r="O345" i="2"/>
  <c r="M345" i="2"/>
  <c r="K345" i="2"/>
  <c r="I345" i="2"/>
  <c r="G345" i="2"/>
  <c r="AM345" i="2" s="1"/>
  <c r="E345" i="2"/>
  <c r="AK344" i="2"/>
  <c r="AI344" i="2"/>
  <c r="AG344" i="2"/>
  <c r="AE344" i="2"/>
  <c r="AC344" i="2"/>
  <c r="AA344" i="2"/>
  <c r="Y344" i="2"/>
  <c r="W344" i="2"/>
  <c r="U344" i="2"/>
  <c r="S344" i="2"/>
  <c r="Q344" i="2"/>
  <c r="O344" i="2"/>
  <c r="M344" i="2"/>
  <c r="K344" i="2"/>
  <c r="I344" i="2"/>
  <c r="G344" i="2"/>
  <c r="E344" i="2"/>
  <c r="AM344" i="2" s="1"/>
  <c r="AK343" i="2"/>
  <c r="AI343" i="2"/>
  <c r="AG343" i="2"/>
  <c r="AE343" i="2"/>
  <c r="AC343" i="2"/>
  <c r="AA343" i="2"/>
  <c r="Y343" i="2"/>
  <c r="W343" i="2"/>
  <c r="U343" i="2"/>
  <c r="S343" i="2"/>
  <c r="Q343" i="2"/>
  <c r="O343" i="2"/>
  <c r="M343" i="2"/>
  <c r="K343" i="2"/>
  <c r="I343" i="2"/>
  <c r="G343" i="2"/>
  <c r="AM343" i="2" s="1"/>
  <c r="E343" i="2"/>
  <c r="AK342" i="2"/>
  <c r="AI342" i="2"/>
  <c r="AG342" i="2"/>
  <c r="AE342" i="2"/>
  <c r="AC342" i="2"/>
  <c r="AA342" i="2"/>
  <c r="Y342" i="2"/>
  <c r="W342" i="2"/>
  <c r="U342" i="2"/>
  <c r="S342" i="2"/>
  <c r="Q342" i="2"/>
  <c r="O342" i="2"/>
  <c r="M342" i="2"/>
  <c r="K342" i="2"/>
  <c r="I342" i="2"/>
  <c r="G342" i="2"/>
  <c r="E342" i="2"/>
  <c r="AM342" i="2" s="1"/>
  <c r="AK341" i="2"/>
  <c r="AI341" i="2"/>
  <c r="AG341" i="2"/>
  <c r="AE341" i="2"/>
  <c r="AC341" i="2"/>
  <c r="AA341" i="2"/>
  <c r="Y341" i="2"/>
  <c r="W341" i="2"/>
  <c r="U341" i="2"/>
  <c r="S341" i="2"/>
  <c r="Q341" i="2"/>
  <c r="O341" i="2"/>
  <c r="M341" i="2"/>
  <c r="K341" i="2"/>
  <c r="I341" i="2"/>
  <c r="G341" i="2"/>
  <c r="AM341" i="2" s="1"/>
  <c r="E341" i="2"/>
  <c r="AK340" i="2"/>
  <c r="AI340" i="2"/>
  <c r="AG340" i="2"/>
  <c r="AE340" i="2"/>
  <c r="AC340" i="2"/>
  <c r="AA340" i="2"/>
  <c r="Y340" i="2"/>
  <c r="W340" i="2"/>
  <c r="U340" i="2"/>
  <c r="S340" i="2"/>
  <c r="Q340" i="2"/>
  <c r="O340" i="2"/>
  <c r="M340" i="2"/>
  <c r="K340" i="2"/>
  <c r="I340" i="2"/>
  <c r="G340" i="2"/>
  <c r="E340" i="2"/>
  <c r="AM340" i="2" s="1"/>
  <c r="AK339" i="2"/>
  <c r="AI339" i="2"/>
  <c r="AG339" i="2"/>
  <c r="AE339" i="2"/>
  <c r="AC339" i="2"/>
  <c r="AA339" i="2"/>
  <c r="Y339" i="2"/>
  <c r="W339" i="2"/>
  <c r="U339" i="2"/>
  <c r="S339" i="2"/>
  <c r="Q339" i="2"/>
  <c r="O339" i="2"/>
  <c r="M339" i="2"/>
  <c r="K339" i="2"/>
  <c r="I339" i="2"/>
  <c r="G339" i="2"/>
  <c r="AM339" i="2" s="1"/>
  <c r="E339" i="2"/>
  <c r="AK338" i="2"/>
  <c r="AI338" i="2"/>
  <c r="AG338" i="2"/>
  <c r="AE338" i="2"/>
  <c r="AC338" i="2"/>
  <c r="AA338" i="2"/>
  <c r="Y338" i="2"/>
  <c r="W338" i="2"/>
  <c r="U338" i="2"/>
  <c r="S338" i="2"/>
  <c r="Q338" i="2"/>
  <c r="O338" i="2"/>
  <c r="M338" i="2"/>
  <c r="K338" i="2"/>
  <c r="I338" i="2"/>
  <c r="G338" i="2"/>
  <c r="E338" i="2"/>
  <c r="AM338" i="2" s="1"/>
  <c r="AK337" i="2"/>
  <c r="AI337" i="2"/>
  <c r="AG337" i="2"/>
  <c r="AE337" i="2"/>
  <c r="AC337" i="2"/>
  <c r="AA337" i="2"/>
  <c r="Y337" i="2"/>
  <c r="W337" i="2"/>
  <c r="U337" i="2"/>
  <c r="S337" i="2"/>
  <c r="Q337" i="2"/>
  <c r="O337" i="2"/>
  <c r="M337" i="2"/>
  <c r="K337" i="2"/>
  <c r="I337" i="2"/>
  <c r="G337" i="2"/>
  <c r="AM337" i="2" s="1"/>
  <c r="E337" i="2"/>
  <c r="AK336" i="2"/>
  <c r="AI336" i="2"/>
  <c r="AG336" i="2"/>
  <c r="AE336" i="2"/>
  <c r="AC336" i="2"/>
  <c r="AA336" i="2"/>
  <c r="Y336" i="2"/>
  <c r="W336" i="2"/>
  <c r="U336" i="2"/>
  <c r="S336" i="2"/>
  <c r="Q336" i="2"/>
  <c r="O336" i="2"/>
  <c r="M336" i="2"/>
  <c r="K336" i="2"/>
  <c r="I336" i="2"/>
  <c r="G336" i="2"/>
  <c r="E336" i="2"/>
  <c r="AM336" i="2" s="1"/>
  <c r="AK335" i="2"/>
  <c r="AI335" i="2"/>
  <c r="AG335" i="2"/>
  <c r="AE335" i="2"/>
  <c r="AC335" i="2"/>
  <c r="AA335" i="2"/>
  <c r="Y335" i="2"/>
  <c r="W335" i="2"/>
  <c r="U335" i="2"/>
  <c r="S335" i="2"/>
  <c r="Q335" i="2"/>
  <c r="O335" i="2"/>
  <c r="M335" i="2"/>
  <c r="K335" i="2"/>
  <c r="I335" i="2"/>
  <c r="G335" i="2"/>
  <c r="AM335" i="2" s="1"/>
  <c r="E335" i="2"/>
  <c r="AK334" i="2"/>
  <c r="AI334" i="2"/>
  <c r="AG334" i="2"/>
  <c r="AE334" i="2"/>
  <c r="AC334" i="2"/>
  <c r="AA334" i="2"/>
  <c r="Y334" i="2"/>
  <c r="W334" i="2"/>
  <c r="U334" i="2"/>
  <c r="S334" i="2"/>
  <c r="Q334" i="2"/>
  <c r="O334" i="2"/>
  <c r="M334" i="2"/>
  <c r="K334" i="2"/>
  <c r="I334" i="2"/>
  <c r="G334" i="2"/>
  <c r="E334" i="2"/>
  <c r="AM334" i="2" s="1"/>
  <c r="AK333" i="2"/>
  <c r="AI333" i="2"/>
  <c r="AG333" i="2"/>
  <c r="AE333" i="2"/>
  <c r="AC333" i="2"/>
  <c r="AA333" i="2"/>
  <c r="Y333" i="2"/>
  <c r="W333" i="2"/>
  <c r="U333" i="2"/>
  <c r="S333" i="2"/>
  <c r="Q333" i="2"/>
  <c r="O333" i="2"/>
  <c r="M333" i="2"/>
  <c r="K333" i="2"/>
  <c r="I333" i="2"/>
  <c r="G333" i="2"/>
  <c r="AM333" i="2" s="1"/>
  <c r="E333" i="2"/>
  <c r="AK332" i="2"/>
  <c r="AI332" i="2"/>
  <c r="AG332" i="2"/>
  <c r="AE332" i="2"/>
  <c r="AC332" i="2"/>
  <c r="AA332" i="2"/>
  <c r="Y332" i="2"/>
  <c r="W332" i="2"/>
  <c r="U332" i="2"/>
  <c r="S332" i="2"/>
  <c r="Q332" i="2"/>
  <c r="O332" i="2"/>
  <c r="M332" i="2"/>
  <c r="K332" i="2"/>
  <c r="I332" i="2"/>
  <c r="G332" i="2"/>
  <c r="E332" i="2"/>
  <c r="AM332" i="2" s="1"/>
  <c r="AK331" i="2"/>
  <c r="AI331" i="2"/>
  <c r="AG331" i="2"/>
  <c r="AE331" i="2"/>
  <c r="AC331" i="2"/>
  <c r="AA331" i="2"/>
  <c r="Y331" i="2"/>
  <c r="W331" i="2"/>
  <c r="U331" i="2"/>
  <c r="S331" i="2"/>
  <c r="Q331" i="2"/>
  <c r="O331" i="2"/>
  <c r="M331" i="2"/>
  <c r="K331" i="2"/>
  <c r="I331" i="2"/>
  <c r="G331" i="2"/>
  <c r="AM331" i="2" s="1"/>
  <c r="E331" i="2"/>
  <c r="AK330" i="2"/>
  <c r="AI330" i="2"/>
  <c r="AG330" i="2"/>
  <c r="AE330" i="2"/>
  <c r="AC330" i="2"/>
  <c r="AA330" i="2"/>
  <c r="Y330" i="2"/>
  <c r="W330" i="2"/>
  <c r="U330" i="2"/>
  <c r="S330" i="2"/>
  <c r="Q330" i="2"/>
  <c r="O330" i="2"/>
  <c r="M330" i="2"/>
  <c r="K330" i="2"/>
  <c r="I330" i="2"/>
  <c r="G330" i="2"/>
  <c r="E330" i="2"/>
  <c r="AM330" i="2" s="1"/>
  <c r="AK329" i="2"/>
  <c r="AI329" i="2"/>
  <c r="AG329" i="2"/>
  <c r="AE329" i="2"/>
  <c r="AC329" i="2"/>
  <c r="AA329" i="2"/>
  <c r="Y329" i="2"/>
  <c r="W329" i="2"/>
  <c r="U329" i="2"/>
  <c r="S329" i="2"/>
  <c r="Q329" i="2"/>
  <c r="O329" i="2"/>
  <c r="M329" i="2"/>
  <c r="K329" i="2"/>
  <c r="I329" i="2"/>
  <c r="G329" i="2"/>
  <c r="AM329" i="2" s="1"/>
  <c r="E329" i="2"/>
  <c r="AK328" i="2"/>
  <c r="AI328" i="2"/>
  <c r="AG328" i="2"/>
  <c r="AE328" i="2"/>
  <c r="AC328" i="2"/>
  <c r="AA328" i="2"/>
  <c r="Y328" i="2"/>
  <c r="W328" i="2"/>
  <c r="U328" i="2"/>
  <c r="S328" i="2"/>
  <c r="Q328" i="2"/>
  <c r="O328" i="2"/>
  <c r="M328" i="2"/>
  <c r="K328" i="2"/>
  <c r="I328" i="2"/>
  <c r="G328" i="2"/>
  <c r="E328" i="2"/>
  <c r="AM328" i="2" s="1"/>
  <c r="AK327" i="2"/>
  <c r="AI327" i="2"/>
  <c r="AG327" i="2"/>
  <c r="AE327" i="2"/>
  <c r="AC327" i="2"/>
  <c r="AA327" i="2"/>
  <c r="Y327" i="2"/>
  <c r="W327" i="2"/>
  <c r="U327" i="2"/>
  <c r="S327" i="2"/>
  <c r="Q327" i="2"/>
  <c r="O327" i="2"/>
  <c r="M327" i="2"/>
  <c r="K327" i="2"/>
  <c r="I327" i="2"/>
  <c r="G327" i="2"/>
  <c r="AM327" i="2" s="1"/>
  <c r="E327" i="2"/>
  <c r="AK326" i="2"/>
  <c r="AI326" i="2"/>
  <c r="AG326" i="2"/>
  <c r="AE326" i="2"/>
  <c r="AC326" i="2"/>
  <c r="AA326" i="2"/>
  <c r="Y326" i="2"/>
  <c r="W326" i="2"/>
  <c r="U326" i="2"/>
  <c r="S326" i="2"/>
  <c r="Q326" i="2"/>
  <c r="O326" i="2"/>
  <c r="M326" i="2"/>
  <c r="K326" i="2"/>
  <c r="I326" i="2"/>
  <c r="G326" i="2"/>
  <c r="E326" i="2"/>
  <c r="AM326" i="2" s="1"/>
  <c r="AK325" i="2"/>
  <c r="AI325" i="2"/>
  <c r="AG325" i="2"/>
  <c r="AE325" i="2"/>
  <c r="AC325" i="2"/>
  <c r="AA325" i="2"/>
  <c r="Y325" i="2"/>
  <c r="W325" i="2"/>
  <c r="U325" i="2"/>
  <c r="S325" i="2"/>
  <c r="Q325" i="2"/>
  <c r="O325" i="2"/>
  <c r="M325" i="2"/>
  <c r="K325" i="2"/>
  <c r="I325" i="2"/>
  <c r="G325" i="2"/>
  <c r="AM325" i="2" s="1"/>
  <c r="E325" i="2"/>
  <c r="AK324" i="2"/>
  <c r="AI324" i="2"/>
  <c r="AG324" i="2"/>
  <c r="AE324" i="2"/>
  <c r="AC324" i="2"/>
  <c r="AA324" i="2"/>
  <c r="Y324" i="2"/>
  <c r="W324" i="2"/>
  <c r="U324" i="2"/>
  <c r="S324" i="2"/>
  <c r="Q324" i="2"/>
  <c r="O324" i="2"/>
  <c r="M324" i="2"/>
  <c r="K324" i="2"/>
  <c r="I324" i="2"/>
  <c r="G324" i="2"/>
  <c r="E324" i="2"/>
  <c r="AM324" i="2" s="1"/>
  <c r="AK323" i="2"/>
  <c r="AI323" i="2"/>
  <c r="AG323" i="2"/>
  <c r="AE323" i="2"/>
  <c r="AC323" i="2"/>
  <c r="AA323" i="2"/>
  <c r="Y323" i="2"/>
  <c r="W323" i="2"/>
  <c r="U323" i="2"/>
  <c r="S323" i="2"/>
  <c r="Q323" i="2"/>
  <c r="O323" i="2"/>
  <c r="M323" i="2"/>
  <c r="K323" i="2"/>
  <c r="I323" i="2"/>
  <c r="G323" i="2"/>
  <c r="AM323" i="2" s="1"/>
  <c r="E323" i="2"/>
  <c r="AK322" i="2"/>
  <c r="AI322" i="2"/>
  <c r="AG322" i="2"/>
  <c r="AE322" i="2"/>
  <c r="AC322" i="2"/>
  <c r="AA322" i="2"/>
  <c r="Y322" i="2"/>
  <c r="W322" i="2"/>
  <c r="U322" i="2"/>
  <c r="S322" i="2"/>
  <c r="Q322" i="2"/>
  <c r="O322" i="2"/>
  <c r="M322" i="2"/>
  <c r="K322" i="2"/>
  <c r="I322" i="2"/>
  <c r="G322" i="2"/>
  <c r="E322" i="2"/>
  <c r="AM322" i="2" s="1"/>
  <c r="AK321" i="2"/>
  <c r="AI321" i="2"/>
  <c r="AG321" i="2"/>
  <c r="AE321" i="2"/>
  <c r="AC321" i="2"/>
  <c r="AA321" i="2"/>
  <c r="Y321" i="2"/>
  <c r="W321" i="2"/>
  <c r="U321" i="2"/>
  <c r="S321" i="2"/>
  <c r="Q321" i="2"/>
  <c r="O321" i="2"/>
  <c r="M321" i="2"/>
  <c r="K321" i="2"/>
  <c r="I321" i="2"/>
  <c r="G321" i="2"/>
  <c r="AM321" i="2" s="1"/>
  <c r="E321" i="2"/>
  <c r="AK320" i="2"/>
  <c r="AI320" i="2"/>
  <c r="AG320" i="2"/>
  <c r="AE320" i="2"/>
  <c r="AC320" i="2"/>
  <c r="AA320" i="2"/>
  <c r="Y320" i="2"/>
  <c r="W320" i="2"/>
  <c r="U320" i="2"/>
  <c r="S320" i="2"/>
  <c r="Q320" i="2"/>
  <c r="O320" i="2"/>
  <c r="M320" i="2"/>
  <c r="K320" i="2"/>
  <c r="I320" i="2"/>
  <c r="G320" i="2"/>
  <c r="E320" i="2"/>
  <c r="AM320" i="2" s="1"/>
  <c r="AK319" i="2"/>
  <c r="AI319" i="2"/>
  <c r="AG319" i="2"/>
  <c r="AE319" i="2"/>
  <c r="AC319" i="2"/>
  <c r="AA319" i="2"/>
  <c r="Y319" i="2"/>
  <c r="W319" i="2"/>
  <c r="U319" i="2"/>
  <c r="S319" i="2"/>
  <c r="Q319" i="2"/>
  <c r="O319" i="2"/>
  <c r="M319" i="2"/>
  <c r="K319" i="2"/>
  <c r="I319" i="2"/>
  <c r="G319" i="2"/>
  <c r="AM319" i="2" s="1"/>
  <c r="E319" i="2"/>
  <c r="AK318" i="2"/>
  <c r="AI318" i="2"/>
  <c r="AG318" i="2"/>
  <c r="AE318" i="2"/>
  <c r="AC318" i="2"/>
  <c r="AA318" i="2"/>
  <c r="Y318" i="2"/>
  <c r="W318" i="2"/>
  <c r="U318" i="2"/>
  <c r="S318" i="2"/>
  <c r="Q318" i="2"/>
  <c r="O318" i="2"/>
  <c r="M318" i="2"/>
  <c r="K318" i="2"/>
  <c r="I318" i="2"/>
  <c r="G318" i="2"/>
  <c r="E318" i="2"/>
  <c r="AM318" i="2" s="1"/>
  <c r="AK317" i="2"/>
  <c r="AI317" i="2"/>
  <c r="AG317" i="2"/>
  <c r="AE317" i="2"/>
  <c r="AC317" i="2"/>
  <c r="AA317" i="2"/>
  <c r="Y317" i="2"/>
  <c r="W317" i="2"/>
  <c r="U317" i="2"/>
  <c r="S317" i="2"/>
  <c r="Q317" i="2"/>
  <c r="O317" i="2"/>
  <c r="M317" i="2"/>
  <c r="K317" i="2"/>
  <c r="I317" i="2"/>
  <c r="G317" i="2"/>
  <c r="AM317" i="2" s="1"/>
  <c r="E317" i="2"/>
  <c r="AK316" i="2"/>
  <c r="AI316" i="2"/>
  <c r="AG316" i="2"/>
  <c r="AE316" i="2"/>
  <c r="AC316" i="2"/>
  <c r="AA316" i="2"/>
  <c r="Y316" i="2"/>
  <c r="W316" i="2"/>
  <c r="U316" i="2"/>
  <c r="S316" i="2"/>
  <c r="Q316" i="2"/>
  <c r="O316" i="2"/>
  <c r="M316" i="2"/>
  <c r="K316" i="2"/>
  <c r="I316" i="2"/>
  <c r="G316" i="2"/>
  <c r="E316" i="2"/>
  <c r="AM316" i="2" s="1"/>
  <c r="AK315" i="2"/>
  <c r="AI315" i="2"/>
  <c r="AG315" i="2"/>
  <c r="AE315" i="2"/>
  <c r="AC315" i="2"/>
  <c r="AA315" i="2"/>
  <c r="Y315" i="2"/>
  <c r="W315" i="2"/>
  <c r="U315" i="2"/>
  <c r="S315" i="2"/>
  <c r="Q315" i="2"/>
  <c r="O315" i="2"/>
  <c r="M315" i="2"/>
  <c r="K315" i="2"/>
  <c r="I315" i="2"/>
  <c r="G315" i="2"/>
  <c r="AM315" i="2" s="1"/>
  <c r="E315" i="2"/>
  <c r="AK314" i="2"/>
  <c r="AI314" i="2"/>
  <c r="AG314" i="2"/>
  <c r="AE314" i="2"/>
  <c r="AC314" i="2"/>
  <c r="AA314" i="2"/>
  <c r="Y314" i="2"/>
  <c r="W314" i="2"/>
  <c r="U314" i="2"/>
  <c r="S314" i="2"/>
  <c r="Q314" i="2"/>
  <c r="O314" i="2"/>
  <c r="M314" i="2"/>
  <c r="K314" i="2"/>
  <c r="I314" i="2"/>
  <c r="G314" i="2"/>
  <c r="E314" i="2"/>
  <c r="AM314" i="2" s="1"/>
  <c r="AK313" i="2"/>
  <c r="AI313" i="2"/>
  <c r="AG313" i="2"/>
  <c r="AE313" i="2"/>
  <c r="AC313" i="2"/>
  <c r="AA313" i="2"/>
  <c r="Y313" i="2"/>
  <c r="W313" i="2"/>
  <c r="U313" i="2"/>
  <c r="S313" i="2"/>
  <c r="Q313" i="2"/>
  <c r="O313" i="2"/>
  <c r="M313" i="2"/>
  <c r="K313" i="2"/>
  <c r="I313" i="2"/>
  <c r="G313" i="2"/>
  <c r="AM313" i="2" s="1"/>
  <c r="E313" i="2"/>
  <c r="AK312" i="2"/>
  <c r="AI312" i="2"/>
  <c r="AG312" i="2"/>
  <c r="AE312" i="2"/>
  <c r="AC312" i="2"/>
  <c r="AA312" i="2"/>
  <c r="Y312" i="2"/>
  <c r="W312" i="2"/>
  <c r="U312" i="2"/>
  <c r="S312" i="2"/>
  <c r="Q312" i="2"/>
  <c r="O312" i="2"/>
  <c r="M312" i="2"/>
  <c r="K312" i="2"/>
  <c r="I312" i="2"/>
  <c r="G312" i="2"/>
  <c r="E312" i="2"/>
  <c r="AM312" i="2" s="1"/>
  <c r="AK311" i="2"/>
  <c r="AI311" i="2"/>
  <c r="AG311" i="2"/>
  <c r="AE311" i="2"/>
  <c r="AC311" i="2"/>
  <c r="AA311" i="2"/>
  <c r="Y311" i="2"/>
  <c r="W311" i="2"/>
  <c r="U311" i="2"/>
  <c r="S311" i="2"/>
  <c r="Q311" i="2"/>
  <c r="O311" i="2"/>
  <c r="M311" i="2"/>
  <c r="K311" i="2"/>
  <c r="I311" i="2"/>
  <c r="G311" i="2"/>
  <c r="AM311" i="2" s="1"/>
  <c r="E311" i="2"/>
  <c r="AK310" i="2"/>
  <c r="AI310" i="2"/>
  <c r="AG310" i="2"/>
  <c r="AE310" i="2"/>
  <c r="AC310" i="2"/>
  <c r="AA310" i="2"/>
  <c r="Y310" i="2"/>
  <c r="W310" i="2"/>
  <c r="U310" i="2"/>
  <c r="S310" i="2"/>
  <c r="Q310" i="2"/>
  <c r="O310" i="2"/>
  <c r="M310" i="2"/>
  <c r="K310" i="2"/>
  <c r="I310" i="2"/>
  <c r="G310" i="2"/>
  <c r="E310" i="2"/>
  <c r="AM310" i="2" s="1"/>
  <c r="AK309" i="2"/>
  <c r="AI309" i="2"/>
  <c r="AG309" i="2"/>
  <c r="AE309" i="2"/>
  <c r="AC309" i="2"/>
  <c r="AA309" i="2"/>
  <c r="Y309" i="2"/>
  <c r="W309" i="2"/>
  <c r="U309" i="2"/>
  <c r="S309" i="2"/>
  <c r="Q309" i="2"/>
  <c r="O309" i="2"/>
  <c r="M309" i="2"/>
  <c r="K309" i="2"/>
  <c r="I309" i="2"/>
  <c r="G309" i="2"/>
  <c r="AM309" i="2" s="1"/>
  <c r="E309" i="2"/>
  <c r="AK308" i="2"/>
  <c r="AI308" i="2"/>
  <c r="AG308" i="2"/>
  <c r="AE308" i="2"/>
  <c r="AC308" i="2"/>
  <c r="AA308" i="2"/>
  <c r="Y308" i="2"/>
  <c r="W308" i="2"/>
  <c r="U308" i="2"/>
  <c r="S308" i="2"/>
  <c r="Q308" i="2"/>
  <c r="O308" i="2"/>
  <c r="M308" i="2"/>
  <c r="K308" i="2"/>
  <c r="I308" i="2"/>
  <c r="G308" i="2"/>
  <c r="E308" i="2"/>
  <c r="AM308" i="2" s="1"/>
  <c r="AK307" i="2"/>
  <c r="AI307" i="2"/>
  <c r="AG307" i="2"/>
  <c r="AE307" i="2"/>
  <c r="AC307" i="2"/>
  <c r="AA307" i="2"/>
  <c r="Y307" i="2"/>
  <c r="W307" i="2"/>
  <c r="U307" i="2"/>
  <c r="S307" i="2"/>
  <c r="Q307" i="2"/>
  <c r="O307" i="2"/>
  <c r="M307" i="2"/>
  <c r="K307" i="2"/>
  <c r="I307" i="2"/>
  <c r="G307" i="2"/>
  <c r="AM307" i="2" s="1"/>
  <c r="E307" i="2"/>
  <c r="AK306" i="2"/>
  <c r="AI306" i="2"/>
  <c r="AG306" i="2"/>
  <c r="AE306" i="2"/>
  <c r="AC306" i="2"/>
  <c r="AA306" i="2"/>
  <c r="Y306" i="2"/>
  <c r="W306" i="2"/>
  <c r="U306" i="2"/>
  <c r="S306" i="2"/>
  <c r="Q306" i="2"/>
  <c r="O306" i="2"/>
  <c r="M306" i="2"/>
  <c r="K306" i="2"/>
  <c r="I306" i="2"/>
  <c r="G306" i="2"/>
  <c r="E306" i="2"/>
  <c r="AM306" i="2" s="1"/>
  <c r="AK305" i="2"/>
  <c r="AI305" i="2"/>
  <c r="AG305" i="2"/>
  <c r="AE305" i="2"/>
  <c r="AC305" i="2"/>
  <c r="AA305" i="2"/>
  <c r="Y305" i="2"/>
  <c r="W305" i="2"/>
  <c r="U305" i="2"/>
  <c r="S305" i="2"/>
  <c r="Q305" i="2"/>
  <c r="O305" i="2"/>
  <c r="M305" i="2"/>
  <c r="K305" i="2"/>
  <c r="I305" i="2"/>
  <c r="G305" i="2"/>
  <c r="AM305" i="2" s="1"/>
  <c r="E305" i="2"/>
  <c r="AK304" i="2"/>
  <c r="AI304" i="2"/>
  <c r="AG304" i="2"/>
  <c r="AE304" i="2"/>
  <c r="AC304" i="2"/>
  <c r="AA304" i="2"/>
  <c r="Y304" i="2"/>
  <c r="W304" i="2"/>
  <c r="U304" i="2"/>
  <c r="S304" i="2"/>
  <c r="Q304" i="2"/>
  <c r="O304" i="2"/>
  <c r="M304" i="2"/>
  <c r="K304" i="2"/>
  <c r="I304" i="2"/>
  <c r="G304" i="2"/>
  <c r="E304" i="2"/>
  <c r="AM304" i="2" s="1"/>
  <c r="AK303" i="2"/>
  <c r="AI303" i="2"/>
  <c r="AG303" i="2"/>
  <c r="AE303" i="2"/>
  <c r="AC303" i="2"/>
  <c r="AA303" i="2"/>
  <c r="Y303" i="2"/>
  <c r="W303" i="2"/>
  <c r="U303" i="2"/>
  <c r="S303" i="2"/>
  <c r="Q303" i="2"/>
  <c r="O303" i="2"/>
  <c r="M303" i="2"/>
  <c r="K303" i="2"/>
  <c r="I303" i="2"/>
  <c r="G303" i="2"/>
  <c r="AM303" i="2" s="1"/>
  <c r="E303" i="2"/>
  <c r="AK302" i="2"/>
  <c r="AI302" i="2"/>
  <c r="AG302" i="2"/>
  <c r="AE302" i="2"/>
  <c r="AC302" i="2"/>
  <c r="AA302" i="2"/>
  <c r="Y302" i="2"/>
  <c r="W302" i="2"/>
  <c r="U302" i="2"/>
  <c r="S302" i="2"/>
  <c r="Q302" i="2"/>
  <c r="O302" i="2"/>
  <c r="M302" i="2"/>
  <c r="K302" i="2"/>
  <c r="I302" i="2"/>
  <c r="G302" i="2"/>
  <c r="E302" i="2"/>
  <c r="AM302" i="2" s="1"/>
  <c r="AK301" i="2"/>
  <c r="AI301" i="2"/>
  <c r="AG301" i="2"/>
  <c r="AE301" i="2"/>
  <c r="AC301" i="2"/>
  <c r="AA301" i="2"/>
  <c r="Y301" i="2"/>
  <c r="W301" i="2"/>
  <c r="U301" i="2"/>
  <c r="S301" i="2"/>
  <c r="Q301" i="2"/>
  <c r="O301" i="2"/>
  <c r="M301" i="2"/>
  <c r="K301" i="2"/>
  <c r="I301" i="2"/>
  <c r="G301" i="2"/>
  <c r="AM301" i="2" s="1"/>
  <c r="E301" i="2"/>
  <c r="AK300" i="2"/>
  <c r="AI300" i="2"/>
  <c r="AG300" i="2"/>
  <c r="AE300" i="2"/>
  <c r="AC300" i="2"/>
  <c r="AA300" i="2"/>
  <c r="Y300" i="2"/>
  <c r="W300" i="2"/>
  <c r="U300" i="2"/>
  <c r="S300" i="2"/>
  <c r="Q300" i="2"/>
  <c r="O300" i="2"/>
  <c r="M300" i="2"/>
  <c r="K300" i="2"/>
  <c r="I300" i="2"/>
  <c r="G300" i="2"/>
  <c r="E300" i="2"/>
  <c r="AM300" i="2" s="1"/>
  <c r="AK299" i="2"/>
  <c r="AI299" i="2"/>
  <c r="AG299" i="2"/>
  <c r="AE299" i="2"/>
  <c r="AC299" i="2"/>
  <c r="AA299" i="2"/>
  <c r="Y299" i="2"/>
  <c r="W299" i="2"/>
  <c r="U299" i="2"/>
  <c r="S299" i="2"/>
  <c r="Q299" i="2"/>
  <c r="O299" i="2"/>
  <c r="M299" i="2"/>
  <c r="K299" i="2"/>
  <c r="I299" i="2"/>
  <c r="G299" i="2"/>
  <c r="AM299" i="2" s="1"/>
  <c r="E299" i="2"/>
  <c r="AK298" i="2"/>
  <c r="AI298" i="2"/>
  <c r="AG298" i="2"/>
  <c r="AE298" i="2"/>
  <c r="AC298" i="2"/>
  <c r="AA298" i="2"/>
  <c r="Y298" i="2"/>
  <c r="W298" i="2"/>
  <c r="U298" i="2"/>
  <c r="S298" i="2"/>
  <c r="Q298" i="2"/>
  <c r="O298" i="2"/>
  <c r="M298" i="2"/>
  <c r="K298" i="2"/>
  <c r="I298" i="2"/>
  <c r="G298" i="2"/>
  <c r="E298" i="2"/>
  <c r="AM298" i="2" s="1"/>
  <c r="AK297" i="2"/>
  <c r="AI297" i="2"/>
  <c r="AG297" i="2"/>
  <c r="AE297" i="2"/>
  <c r="AC297" i="2"/>
  <c r="AA297" i="2"/>
  <c r="Y297" i="2"/>
  <c r="W297" i="2"/>
  <c r="U297" i="2"/>
  <c r="S297" i="2"/>
  <c r="Q297" i="2"/>
  <c r="O297" i="2"/>
  <c r="M297" i="2"/>
  <c r="K297" i="2"/>
  <c r="I297" i="2"/>
  <c r="G297" i="2"/>
  <c r="AM297" i="2" s="1"/>
  <c r="E297" i="2"/>
  <c r="AK296" i="2"/>
  <c r="AI296" i="2"/>
  <c r="AG296" i="2"/>
  <c r="AE296" i="2"/>
  <c r="AC296" i="2"/>
  <c r="AA296" i="2"/>
  <c r="Y296" i="2"/>
  <c r="W296" i="2"/>
  <c r="U296" i="2"/>
  <c r="S296" i="2"/>
  <c r="Q296" i="2"/>
  <c r="O296" i="2"/>
  <c r="M296" i="2"/>
  <c r="K296" i="2"/>
  <c r="I296" i="2"/>
  <c r="G296" i="2"/>
  <c r="E296" i="2"/>
  <c r="AM296" i="2" s="1"/>
  <c r="AK295" i="2"/>
  <c r="AI295" i="2"/>
  <c r="AG295" i="2"/>
  <c r="AE295" i="2"/>
  <c r="AC295" i="2"/>
  <c r="AA295" i="2"/>
  <c r="Y295" i="2"/>
  <c r="W295" i="2"/>
  <c r="U295" i="2"/>
  <c r="S295" i="2"/>
  <c r="Q295" i="2"/>
  <c r="O295" i="2"/>
  <c r="M295" i="2"/>
  <c r="K295" i="2"/>
  <c r="I295" i="2"/>
  <c r="G295" i="2"/>
  <c r="AM295" i="2" s="1"/>
  <c r="E295" i="2"/>
  <c r="AK294" i="2"/>
  <c r="AI294" i="2"/>
  <c r="AG294" i="2"/>
  <c r="AE294" i="2"/>
  <c r="AC294" i="2"/>
  <c r="AA294" i="2"/>
  <c r="Y294" i="2"/>
  <c r="W294" i="2"/>
  <c r="U294" i="2"/>
  <c r="S294" i="2"/>
  <c r="Q294" i="2"/>
  <c r="O294" i="2"/>
  <c r="M294" i="2"/>
  <c r="K294" i="2"/>
  <c r="I294" i="2"/>
  <c r="G294" i="2"/>
  <c r="E294" i="2"/>
  <c r="AM294" i="2" s="1"/>
  <c r="AK293" i="2"/>
  <c r="AI293" i="2"/>
  <c r="AG293" i="2"/>
  <c r="AE293" i="2"/>
  <c r="AC293" i="2"/>
  <c r="AA293" i="2"/>
  <c r="Y293" i="2"/>
  <c r="W293" i="2"/>
  <c r="U293" i="2"/>
  <c r="S293" i="2"/>
  <c r="Q293" i="2"/>
  <c r="O293" i="2"/>
  <c r="M293" i="2"/>
  <c r="K293" i="2"/>
  <c r="I293" i="2"/>
  <c r="G293" i="2"/>
  <c r="AM293" i="2" s="1"/>
  <c r="E293" i="2"/>
  <c r="AK292" i="2"/>
  <c r="AI292" i="2"/>
  <c r="AG292" i="2"/>
  <c r="AE292" i="2"/>
  <c r="AC292" i="2"/>
  <c r="AA292" i="2"/>
  <c r="Y292" i="2"/>
  <c r="W292" i="2"/>
  <c r="U292" i="2"/>
  <c r="S292" i="2"/>
  <c r="Q292" i="2"/>
  <c r="O292" i="2"/>
  <c r="M292" i="2"/>
  <c r="K292" i="2"/>
  <c r="I292" i="2"/>
  <c r="G292" i="2"/>
  <c r="E292" i="2"/>
  <c r="AM292" i="2" s="1"/>
  <c r="AK291" i="2"/>
  <c r="AI291" i="2"/>
  <c r="AG291" i="2"/>
  <c r="AE291" i="2"/>
  <c r="AC291" i="2"/>
  <c r="AA291" i="2"/>
  <c r="Y291" i="2"/>
  <c r="W291" i="2"/>
  <c r="U291" i="2"/>
  <c r="S291" i="2"/>
  <c r="Q291" i="2"/>
  <c r="O291" i="2"/>
  <c r="M291" i="2"/>
  <c r="K291" i="2"/>
  <c r="I291" i="2"/>
  <c r="G291" i="2"/>
  <c r="AM291" i="2" s="1"/>
  <c r="E291" i="2"/>
  <c r="AK290" i="2"/>
  <c r="AI290" i="2"/>
  <c r="AG290" i="2"/>
  <c r="AE290" i="2"/>
  <c r="AC290" i="2"/>
  <c r="AA290" i="2"/>
  <c r="Y290" i="2"/>
  <c r="W290" i="2"/>
  <c r="U290" i="2"/>
  <c r="S290" i="2"/>
  <c r="Q290" i="2"/>
  <c r="O290" i="2"/>
  <c r="M290" i="2"/>
  <c r="K290" i="2"/>
  <c r="I290" i="2"/>
  <c r="G290" i="2"/>
  <c r="E290" i="2"/>
  <c r="AM290" i="2" s="1"/>
  <c r="AK289" i="2"/>
  <c r="AI289" i="2"/>
  <c r="AG289" i="2"/>
  <c r="AE289" i="2"/>
  <c r="AC289" i="2"/>
  <c r="AA289" i="2"/>
  <c r="Y289" i="2"/>
  <c r="W289" i="2"/>
  <c r="U289" i="2"/>
  <c r="S289" i="2"/>
  <c r="Q289" i="2"/>
  <c r="O289" i="2"/>
  <c r="M289" i="2"/>
  <c r="K289" i="2"/>
  <c r="I289" i="2"/>
  <c r="G289" i="2"/>
  <c r="AM289" i="2" s="1"/>
  <c r="E289" i="2"/>
  <c r="AK288" i="2"/>
  <c r="AI288" i="2"/>
  <c r="AG288" i="2"/>
  <c r="AE288" i="2"/>
  <c r="AC288" i="2"/>
  <c r="AA288" i="2"/>
  <c r="Y288" i="2"/>
  <c r="W288" i="2"/>
  <c r="U288" i="2"/>
  <c r="S288" i="2"/>
  <c r="Q288" i="2"/>
  <c r="O288" i="2"/>
  <c r="M288" i="2"/>
  <c r="K288" i="2"/>
  <c r="I288" i="2"/>
  <c r="G288" i="2"/>
  <c r="E288" i="2"/>
  <c r="AM288" i="2" s="1"/>
  <c r="AK287" i="2"/>
  <c r="AI287" i="2"/>
  <c r="AG287" i="2"/>
  <c r="AE287" i="2"/>
  <c r="AC287" i="2"/>
  <c r="AA287" i="2"/>
  <c r="Y287" i="2"/>
  <c r="W287" i="2"/>
  <c r="U287" i="2"/>
  <c r="S287" i="2"/>
  <c r="Q287" i="2"/>
  <c r="O287" i="2"/>
  <c r="M287" i="2"/>
  <c r="K287" i="2"/>
  <c r="I287" i="2"/>
  <c r="G287" i="2"/>
  <c r="AM287" i="2" s="1"/>
  <c r="E287" i="2"/>
  <c r="AK286" i="2"/>
  <c r="AI286" i="2"/>
  <c r="AG286" i="2"/>
  <c r="AE286" i="2"/>
  <c r="AC286" i="2"/>
  <c r="AA286" i="2"/>
  <c r="Y286" i="2"/>
  <c r="W286" i="2"/>
  <c r="U286" i="2"/>
  <c r="S286" i="2"/>
  <c r="Q286" i="2"/>
  <c r="O286" i="2"/>
  <c r="M286" i="2"/>
  <c r="K286" i="2"/>
  <c r="I286" i="2"/>
  <c r="G286" i="2"/>
  <c r="E286" i="2"/>
  <c r="AM286" i="2" s="1"/>
  <c r="AK285" i="2"/>
  <c r="AI285" i="2"/>
  <c r="AG285" i="2"/>
  <c r="AE285" i="2"/>
  <c r="AC285" i="2"/>
  <c r="AA285" i="2"/>
  <c r="Y285" i="2"/>
  <c r="W285" i="2"/>
  <c r="U285" i="2"/>
  <c r="S285" i="2"/>
  <c r="Q285" i="2"/>
  <c r="O285" i="2"/>
  <c r="M285" i="2"/>
  <c r="K285" i="2"/>
  <c r="I285" i="2"/>
  <c r="G285" i="2"/>
  <c r="AM285" i="2" s="1"/>
  <c r="E285" i="2"/>
  <c r="AK284" i="2"/>
  <c r="AI284" i="2"/>
  <c r="AG284" i="2"/>
  <c r="AE284" i="2"/>
  <c r="AC284" i="2"/>
  <c r="AA284" i="2"/>
  <c r="Y284" i="2"/>
  <c r="W284" i="2"/>
  <c r="U284" i="2"/>
  <c r="S284" i="2"/>
  <c r="Q284" i="2"/>
  <c r="O284" i="2"/>
  <c r="M284" i="2"/>
  <c r="K284" i="2"/>
  <c r="I284" i="2"/>
  <c r="G284" i="2"/>
  <c r="E284" i="2"/>
  <c r="AM284" i="2" s="1"/>
  <c r="AK283" i="2"/>
  <c r="AI283" i="2"/>
  <c r="AG283" i="2"/>
  <c r="AE283" i="2"/>
  <c r="AC283" i="2"/>
  <c r="AA283" i="2"/>
  <c r="Y283" i="2"/>
  <c r="W283" i="2"/>
  <c r="U283" i="2"/>
  <c r="S283" i="2"/>
  <c r="Q283" i="2"/>
  <c r="O283" i="2"/>
  <c r="M283" i="2"/>
  <c r="K283" i="2"/>
  <c r="I283" i="2"/>
  <c r="G283" i="2"/>
  <c r="AM283" i="2" s="1"/>
  <c r="E283" i="2"/>
  <c r="AK282" i="2"/>
  <c r="AI282" i="2"/>
  <c r="AG282" i="2"/>
  <c r="AE282" i="2"/>
  <c r="AC282" i="2"/>
  <c r="AA282" i="2"/>
  <c r="Y282" i="2"/>
  <c r="W282" i="2"/>
  <c r="U282" i="2"/>
  <c r="S282" i="2"/>
  <c r="Q282" i="2"/>
  <c r="O282" i="2"/>
  <c r="M282" i="2"/>
  <c r="K282" i="2"/>
  <c r="I282" i="2"/>
  <c r="G282" i="2"/>
  <c r="E282" i="2"/>
  <c r="AM282" i="2" s="1"/>
  <c r="AK281" i="2"/>
  <c r="AI281" i="2"/>
  <c r="AG281" i="2"/>
  <c r="AE281" i="2"/>
  <c r="AC281" i="2"/>
  <c r="AA281" i="2"/>
  <c r="Y281" i="2"/>
  <c r="W281" i="2"/>
  <c r="U281" i="2"/>
  <c r="S281" i="2"/>
  <c r="Q281" i="2"/>
  <c r="O281" i="2"/>
  <c r="M281" i="2"/>
  <c r="K281" i="2"/>
  <c r="I281" i="2"/>
  <c r="G281" i="2"/>
  <c r="AM281" i="2" s="1"/>
  <c r="E281" i="2"/>
  <c r="AK280" i="2"/>
  <c r="AI280" i="2"/>
  <c r="AG280" i="2"/>
  <c r="AE280" i="2"/>
  <c r="AC280" i="2"/>
  <c r="AA280" i="2"/>
  <c r="Y280" i="2"/>
  <c r="W280" i="2"/>
  <c r="U280" i="2"/>
  <c r="S280" i="2"/>
  <c r="Q280" i="2"/>
  <c r="O280" i="2"/>
  <c r="M280" i="2"/>
  <c r="K280" i="2"/>
  <c r="I280" i="2"/>
  <c r="G280" i="2"/>
  <c r="E280" i="2"/>
  <c r="AM280" i="2" s="1"/>
  <c r="AK279" i="2"/>
  <c r="AI279" i="2"/>
  <c r="AG279" i="2"/>
  <c r="AE279" i="2"/>
  <c r="AC279" i="2"/>
  <c r="AA279" i="2"/>
  <c r="Y279" i="2"/>
  <c r="W279" i="2"/>
  <c r="U279" i="2"/>
  <c r="S279" i="2"/>
  <c r="Q279" i="2"/>
  <c r="O279" i="2"/>
  <c r="M279" i="2"/>
  <c r="K279" i="2"/>
  <c r="I279" i="2"/>
  <c r="G279" i="2"/>
  <c r="AM279" i="2" s="1"/>
  <c r="E279" i="2"/>
  <c r="AK278" i="2"/>
  <c r="AI278" i="2"/>
  <c r="AG278" i="2"/>
  <c r="AE278" i="2"/>
  <c r="AC278" i="2"/>
  <c r="AA278" i="2"/>
  <c r="Y278" i="2"/>
  <c r="W278" i="2"/>
  <c r="U278" i="2"/>
  <c r="S278" i="2"/>
  <c r="Q278" i="2"/>
  <c r="O278" i="2"/>
  <c r="M278" i="2"/>
  <c r="K278" i="2"/>
  <c r="I278" i="2"/>
  <c r="G278" i="2"/>
  <c r="E278" i="2"/>
  <c r="AM278" i="2" s="1"/>
  <c r="AK277" i="2"/>
  <c r="AI277" i="2"/>
  <c r="AG277" i="2"/>
  <c r="AE277" i="2"/>
  <c r="AC277" i="2"/>
  <c r="AA277" i="2"/>
  <c r="Y277" i="2"/>
  <c r="W277" i="2"/>
  <c r="U277" i="2"/>
  <c r="S277" i="2"/>
  <c r="Q277" i="2"/>
  <c r="O277" i="2"/>
  <c r="M277" i="2"/>
  <c r="K277" i="2"/>
  <c r="I277" i="2"/>
  <c r="G277" i="2"/>
  <c r="AM277" i="2" s="1"/>
  <c r="E277" i="2"/>
  <c r="AK276" i="2"/>
  <c r="AI276" i="2"/>
  <c r="AG276" i="2"/>
  <c r="AE276" i="2"/>
  <c r="AC276" i="2"/>
  <c r="AA276" i="2"/>
  <c r="Y276" i="2"/>
  <c r="W276" i="2"/>
  <c r="U276" i="2"/>
  <c r="S276" i="2"/>
  <c r="Q276" i="2"/>
  <c r="O276" i="2"/>
  <c r="M276" i="2"/>
  <c r="K276" i="2"/>
  <c r="I276" i="2"/>
  <c r="G276" i="2"/>
  <c r="E276" i="2"/>
  <c r="AM276" i="2" s="1"/>
  <c r="AK275" i="2"/>
  <c r="AI275" i="2"/>
  <c r="AG275" i="2"/>
  <c r="AE275" i="2"/>
  <c r="AC275" i="2"/>
  <c r="AA275" i="2"/>
  <c r="Y275" i="2"/>
  <c r="W275" i="2"/>
  <c r="U275" i="2"/>
  <c r="S275" i="2"/>
  <c r="Q275" i="2"/>
  <c r="O275" i="2"/>
  <c r="M275" i="2"/>
  <c r="K275" i="2"/>
  <c r="I275" i="2"/>
  <c r="G275" i="2"/>
  <c r="AM275" i="2" s="1"/>
  <c r="E275" i="2"/>
  <c r="AK274" i="2"/>
  <c r="AI274" i="2"/>
  <c r="AG274" i="2"/>
  <c r="AE274" i="2"/>
  <c r="AC274" i="2"/>
  <c r="AA274" i="2"/>
  <c r="Y274" i="2"/>
  <c r="W274" i="2"/>
  <c r="U274" i="2"/>
  <c r="S274" i="2"/>
  <c r="Q274" i="2"/>
  <c r="O274" i="2"/>
  <c r="M274" i="2"/>
  <c r="K274" i="2"/>
  <c r="I274" i="2"/>
  <c r="G274" i="2"/>
  <c r="E274" i="2"/>
  <c r="AM274" i="2" s="1"/>
  <c r="AK273" i="2"/>
  <c r="AI273" i="2"/>
  <c r="AG273" i="2"/>
  <c r="AE273" i="2"/>
  <c r="AC273" i="2"/>
  <c r="AA273" i="2"/>
  <c r="Y273" i="2"/>
  <c r="W273" i="2"/>
  <c r="U273" i="2"/>
  <c r="S273" i="2"/>
  <c r="Q273" i="2"/>
  <c r="O273" i="2"/>
  <c r="M273" i="2"/>
  <c r="K273" i="2"/>
  <c r="I273" i="2"/>
  <c r="G273" i="2"/>
  <c r="AM273" i="2" s="1"/>
  <c r="E273" i="2"/>
  <c r="AK272" i="2"/>
  <c r="AI272" i="2"/>
  <c r="AG272" i="2"/>
  <c r="AE272" i="2"/>
  <c r="AC272" i="2"/>
  <c r="AA272" i="2"/>
  <c r="Y272" i="2"/>
  <c r="W272" i="2"/>
  <c r="U272" i="2"/>
  <c r="S272" i="2"/>
  <c r="Q272" i="2"/>
  <c r="O272" i="2"/>
  <c r="M272" i="2"/>
  <c r="K272" i="2"/>
  <c r="I272" i="2"/>
  <c r="G272" i="2"/>
  <c r="E272" i="2"/>
  <c r="AM272" i="2" s="1"/>
  <c r="AK271" i="2"/>
  <c r="AI271" i="2"/>
  <c r="AG271" i="2"/>
  <c r="AE271" i="2"/>
  <c r="AC271" i="2"/>
  <c r="AA271" i="2"/>
  <c r="Y271" i="2"/>
  <c r="W271" i="2"/>
  <c r="AM271" i="2" s="1"/>
  <c r="U271" i="2"/>
  <c r="AK270" i="2"/>
  <c r="AI270" i="2"/>
  <c r="AG270" i="2"/>
  <c r="AE270" i="2"/>
  <c r="AC270" i="2"/>
  <c r="AA270" i="2"/>
  <c r="Y270" i="2"/>
  <c r="W270" i="2"/>
  <c r="U270" i="2"/>
  <c r="S270" i="2"/>
  <c r="Q270" i="2"/>
  <c r="O270" i="2"/>
  <c r="M270" i="2"/>
  <c r="K270" i="2"/>
  <c r="I270" i="2"/>
  <c r="G270" i="2"/>
  <c r="E270" i="2"/>
  <c r="AM270" i="2" s="1"/>
  <c r="AK269" i="2"/>
  <c r="AI269" i="2"/>
  <c r="AG269" i="2"/>
  <c r="AE269" i="2"/>
  <c r="AC269" i="2"/>
  <c r="AA269" i="2"/>
  <c r="Y269" i="2"/>
  <c r="W269" i="2"/>
  <c r="U269" i="2"/>
  <c r="S269" i="2"/>
  <c r="Q269" i="2"/>
  <c r="O269" i="2"/>
  <c r="M269" i="2"/>
  <c r="K269" i="2"/>
  <c r="I269" i="2"/>
  <c r="G269" i="2"/>
  <c r="AM269" i="2" s="1"/>
  <c r="E269" i="2"/>
  <c r="AK268" i="2"/>
  <c r="AI268" i="2"/>
  <c r="AG268" i="2"/>
  <c r="AE268" i="2"/>
  <c r="AC268" i="2"/>
  <c r="AA268" i="2"/>
  <c r="Y268" i="2"/>
  <c r="W268" i="2"/>
  <c r="U268" i="2"/>
  <c r="S268" i="2"/>
  <c r="Q268" i="2"/>
  <c r="O268" i="2"/>
  <c r="M268" i="2"/>
  <c r="K268" i="2"/>
  <c r="I268" i="2"/>
  <c r="G268" i="2"/>
  <c r="E268" i="2"/>
  <c r="AM268" i="2" s="1"/>
  <c r="AK267" i="2"/>
  <c r="AI267" i="2"/>
  <c r="AG267" i="2"/>
  <c r="AE267" i="2"/>
  <c r="AC267" i="2"/>
  <c r="AA267" i="2"/>
  <c r="Y267" i="2"/>
  <c r="W267" i="2"/>
  <c r="U267" i="2"/>
  <c r="S267" i="2"/>
  <c r="Q267" i="2"/>
  <c r="O267" i="2"/>
  <c r="M267" i="2"/>
  <c r="K267" i="2"/>
  <c r="I267" i="2"/>
  <c r="G267" i="2"/>
  <c r="AM267" i="2" s="1"/>
  <c r="E267" i="2"/>
  <c r="AK266" i="2"/>
  <c r="AI266" i="2"/>
  <c r="AG266" i="2"/>
  <c r="AE266" i="2"/>
  <c r="AC266" i="2"/>
  <c r="AA266" i="2"/>
  <c r="Y266" i="2"/>
  <c r="W266" i="2"/>
  <c r="U266" i="2"/>
  <c r="S266" i="2"/>
  <c r="Q266" i="2"/>
  <c r="O266" i="2"/>
  <c r="M266" i="2"/>
  <c r="K266" i="2"/>
  <c r="I266" i="2"/>
  <c r="G266" i="2"/>
  <c r="E266" i="2"/>
  <c r="AM266" i="2" s="1"/>
  <c r="AK265" i="2"/>
  <c r="AI265" i="2"/>
  <c r="AG265" i="2"/>
  <c r="AE265" i="2"/>
  <c r="AC265" i="2"/>
  <c r="AA265" i="2"/>
  <c r="Y265" i="2"/>
  <c r="W265" i="2"/>
  <c r="U265" i="2"/>
  <c r="S265" i="2"/>
  <c r="Q265" i="2"/>
  <c r="O265" i="2"/>
  <c r="M265" i="2"/>
  <c r="K265" i="2"/>
  <c r="I265" i="2"/>
  <c r="G265" i="2"/>
  <c r="AM265" i="2" s="1"/>
  <c r="E265" i="2"/>
  <c r="AK264" i="2"/>
  <c r="AI264" i="2"/>
  <c r="AG264" i="2"/>
  <c r="AE264" i="2"/>
  <c r="AC264" i="2"/>
  <c r="AA264" i="2"/>
  <c r="Y264" i="2"/>
  <c r="W264" i="2"/>
  <c r="U264" i="2"/>
  <c r="S264" i="2"/>
  <c r="Q264" i="2"/>
  <c r="O264" i="2"/>
  <c r="M264" i="2"/>
  <c r="K264" i="2"/>
  <c r="I264" i="2"/>
  <c r="G264" i="2"/>
  <c r="E264" i="2"/>
  <c r="AM264" i="2" s="1"/>
  <c r="AK263" i="2"/>
  <c r="AI263" i="2"/>
  <c r="AG263" i="2"/>
  <c r="AE263" i="2"/>
  <c r="AC263" i="2"/>
  <c r="AA263" i="2"/>
  <c r="Y263" i="2"/>
  <c r="W263" i="2"/>
  <c r="U263" i="2"/>
  <c r="S263" i="2"/>
  <c r="Q263" i="2"/>
  <c r="O263" i="2"/>
  <c r="M263" i="2"/>
  <c r="K263" i="2"/>
  <c r="I263" i="2"/>
  <c r="G263" i="2"/>
  <c r="AM263" i="2" s="1"/>
  <c r="E263" i="2"/>
  <c r="AK262" i="2"/>
  <c r="AI262" i="2"/>
  <c r="AG262" i="2"/>
  <c r="AE262" i="2"/>
  <c r="AC262" i="2"/>
  <c r="AA262" i="2"/>
  <c r="Y262" i="2"/>
  <c r="W262" i="2"/>
  <c r="U262" i="2"/>
  <c r="S262" i="2"/>
  <c r="Q262" i="2"/>
  <c r="O262" i="2"/>
  <c r="M262" i="2"/>
  <c r="K262" i="2"/>
  <c r="I262" i="2"/>
  <c r="G262" i="2"/>
  <c r="E262" i="2"/>
  <c r="AM262" i="2" s="1"/>
  <c r="AK261" i="2"/>
  <c r="AI261" i="2"/>
  <c r="AG261" i="2"/>
  <c r="AE261" i="2"/>
  <c r="AC261" i="2"/>
  <c r="AA261" i="2"/>
  <c r="Y261" i="2"/>
  <c r="W261" i="2"/>
  <c r="U261" i="2"/>
  <c r="S261" i="2"/>
  <c r="Q261" i="2"/>
  <c r="O261" i="2"/>
  <c r="M261" i="2"/>
  <c r="K261" i="2"/>
  <c r="I261" i="2"/>
  <c r="G261" i="2"/>
  <c r="AM261" i="2" s="1"/>
  <c r="E261" i="2"/>
  <c r="AK260" i="2"/>
  <c r="AI260" i="2"/>
  <c r="AG260" i="2"/>
  <c r="AE260" i="2"/>
  <c r="AC260" i="2"/>
  <c r="AA260" i="2"/>
  <c r="Y260" i="2"/>
  <c r="W260" i="2"/>
  <c r="U260" i="2"/>
  <c r="S260" i="2"/>
  <c r="Q260" i="2"/>
  <c r="O260" i="2"/>
  <c r="M260" i="2"/>
  <c r="K260" i="2"/>
  <c r="I260" i="2"/>
  <c r="G260" i="2"/>
  <c r="E260" i="2"/>
  <c r="AM260" i="2" s="1"/>
  <c r="AK259" i="2"/>
  <c r="AI259" i="2"/>
  <c r="AG259" i="2"/>
  <c r="AE259" i="2"/>
  <c r="AC259" i="2"/>
  <c r="AA259" i="2"/>
  <c r="Y259" i="2"/>
  <c r="W259" i="2"/>
  <c r="U259" i="2"/>
  <c r="S259" i="2"/>
  <c r="Q259" i="2"/>
  <c r="O259" i="2"/>
  <c r="M259" i="2"/>
  <c r="K259" i="2"/>
  <c r="I259" i="2"/>
  <c r="G259" i="2"/>
  <c r="AM259" i="2" s="1"/>
  <c r="E259" i="2"/>
  <c r="AK258" i="2"/>
  <c r="AI258" i="2"/>
  <c r="AG258" i="2"/>
  <c r="AE258" i="2"/>
  <c r="AC258" i="2"/>
  <c r="AA258" i="2"/>
  <c r="Y258" i="2"/>
  <c r="W258" i="2"/>
  <c r="U258" i="2"/>
  <c r="S258" i="2"/>
  <c r="Q258" i="2"/>
  <c r="O258" i="2"/>
  <c r="M258" i="2"/>
  <c r="K258" i="2"/>
  <c r="I258" i="2"/>
  <c r="G258" i="2"/>
  <c r="E258" i="2"/>
  <c r="AM258" i="2" s="1"/>
  <c r="AK257" i="2"/>
  <c r="AI257" i="2"/>
  <c r="AG257" i="2"/>
  <c r="AE257" i="2"/>
  <c r="AC257" i="2"/>
  <c r="AA257" i="2"/>
  <c r="Y257" i="2"/>
  <c r="W257" i="2"/>
  <c r="U257" i="2"/>
  <c r="S257" i="2"/>
  <c r="Q257" i="2"/>
  <c r="O257" i="2"/>
  <c r="M257" i="2"/>
  <c r="K257" i="2"/>
  <c r="I257" i="2"/>
  <c r="G257" i="2"/>
  <c r="AM257" i="2" s="1"/>
  <c r="E257" i="2"/>
  <c r="AK256" i="2"/>
  <c r="AI256" i="2"/>
  <c r="AG256" i="2"/>
  <c r="AE256" i="2"/>
  <c r="AC256" i="2"/>
  <c r="AA256" i="2"/>
  <c r="Y256" i="2"/>
  <c r="W256" i="2"/>
  <c r="U256" i="2"/>
  <c r="S256" i="2"/>
  <c r="Q256" i="2"/>
  <c r="O256" i="2"/>
  <c r="M256" i="2"/>
  <c r="K256" i="2"/>
  <c r="I256" i="2"/>
  <c r="G256" i="2"/>
  <c r="E256" i="2"/>
  <c r="AM256" i="2" s="1"/>
  <c r="AK255" i="2"/>
  <c r="AI255" i="2"/>
  <c r="AG255" i="2"/>
  <c r="AE255" i="2"/>
  <c r="AC255" i="2"/>
  <c r="AA255" i="2"/>
  <c r="Y255" i="2"/>
  <c r="W255" i="2"/>
  <c r="U255" i="2"/>
  <c r="S255" i="2"/>
  <c r="Q255" i="2"/>
  <c r="O255" i="2"/>
  <c r="M255" i="2"/>
  <c r="K255" i="2"/>
  <c r="I255" i="2"/>
  <c r="G255" i="2"/>
  <c r="AM255" i="2" s="1"/>
  <c r="E255" i="2"/>
  <c r="AK254" i="2"/>
  <c r="AI254" i="2"/>
  <c r="AG254" i="2"/>
  <c r="AE254" i="2"/>
  <c r="AC254" i="2"/>
  <c r="AA254" i="2"/>
  <c r="Y254" i="2"/>
  <c r="W254" i="2"/>
  <c r="U254" i="2"/>
  <c r="S254" i="2"/>
  <c r="Q254" i="2"/>
  <c r="O254" i="2"/>
  <c r="M254" i="2"/>
  <c r="K254" i="2"/>
  <c r="I254" i="2"/>
  <c r="G254" i="2"/>
  <c r="E254" i="2"/>
  <c r="AM254" i="2" s="1"/>
  <c r="AK253" i="2"/>
  <c r="AI253" i="2"/>
  <c r="AG253" i="2"/>
  <c r="AE253" i="2"/>
  <c r="AC253" i="2"/>
  <c r="AA253" i="2"/>
  <c r="Y253" i="2"/>
  <c r="W253" i="2"/>
  <c r="U253" i="2"/>
  <c r="S253" i="2"/>
  <c r="Q253" i="2"/>
  <c r="O253" i="2"/>
  <c r="M253" i="2"/>
  <c r="K253" i="2"/>
  <c r="I253" i="2"/>
  <c r="G253" i="2"/>
  <c r="AM253" i="2" s="1"/>
  <c r="E253" i="2"/>
  <c r="AK252" i="2"/>
  <c r="AI252" i="2"/>
  <c r="AG252" i="2"/>
  <c r="AE252" i="2"/>
  <c r="AC252" i="2"/>
  <c r="AA252" i="2"/>
  <c r="Y252" i="2"/>
  <c r="W252" i="2"/>
  <c r="U252" i="2"/>
  <c r="S252" i="2"/>
  <c r="Q252" i="2"/>
  <c r="O252" i="2"/>
  <c r="M252" i="2"/>
  <c r="K252" i="2"/>
  <c r="I252" i="2"/>
  <c r="G252" i="2"/>
  <c r="E252" i="2"/>
  <c r="AM252" i="2" s="1"/>
  <c r="AK251" i="2"/>
  <c r="AI251" i="2"/>
  <c r="AG251" i="2"/>
  <c r="AE251" i="2"/>
  <c r="AC251" i="2"/>
  <c r="AA251" i="2"/>
  <c r="Y251" i="2"/>
  <c r="W251" i="2"/>
  <c r="U251" i="2"/>
  <c r="S251" i="2"/>
  <c r="Q251" i="2"/>
  <c r="O251" i="2"/>
  <c r="M251" i="2"/>
  <c r="K251" i="2"/>
  <c r="I251" i="2"/>
  <c r="G251" i="2"/>
  <c r="AM251" i="2" s="1"/>
  <c r="E251" i="2"/>
  <c r="AK250" i="2"/>
  <c r="AI250" i="2"/>
  <c r="AG250" i="2"/>
  <c r="AE250" i="2"/>
  <c r="AC250" i="2"/>
  <c r="AA250" i="2"/>
  <c r="Y250" i="2"/>
  <c r="W250" i="2"/>
  <c r="U250" i="2"/>
  <c r="S250" i="2"/>
  <c r="Q250" i="2"/>
  <c r="O250" i="2"/>
  <c r="M250" i="2"/>
  <c r="K250" i="2"/>
  <c r="I250" i="2"/>
  <c r="G250" i="2"/>
  <c r="E250" i="2"/>
  <c r="AM250" i="2" s="1"/>
  <c r="AK249" i="2"/>
  <c r="AI249" i="2"/>
  <c r="AG249" i="2"/>
  <c r="AE249" i="2"/>
  <c r="AC249" i="2"/>
  <c r="AA249" i="2"/>
  <c r="Y249" i="2"/>
  <c r="W249" i="2"/>
  <c r="U249" i="2"/>
  <c r="S249" i="2"/>
  <c r="Q249" i="2"/>
  <c r="O249" i="2"/>
  <c r="M249" i="2"/>
  <c r="K249" i="2"/>
  <c r="I249" i="2"/>
  <c r="G249" i="2"/>
  <c r="AM249" i="2" s="1"/>
  <c r="E249" i="2"/>
  <c r="AK248" i="2"/>
  <c r="AI248" i="2"/>
  <c r="AG248" i="2"/>
  <c r="AE248" i="2"/>
  <c r="AC248" i="2"/>
  <c r="AA248" i="2"/>
  <c r="Y248" i="2"/>
  <c r="W248" i="2"/>
  <c r="U248" i="2"/>
  <c r="S248" i="2"/>
  <c r="Q248" i="2"/>
  <c r="O248" i="2"/>
  <c r="M248" i="2"/>
  <c r="K248" i="2"/>
  <c r="I248" i="2"/>
  <c r="G248" i="2"/>
  <c r="E248" i="2"/>
  <c r="AM248" i="2" s="1"/>
  <c r="AK247" i="2"/>
  <c r="AI247" i="2"/>
  <c r="AG247" i="2"/>
  <c r="AE247" i="2"/>
  <c r="AC247" i="2"/>
  <c r="AA247" i="2"/>
  <c r="Y247" i="2"/>
  <c r="W247" i="2"/>
  <c r="U247" i="2"/>
  <c r="S247" i="2"/>
  <c r="Q247" i="2"/>
  <c r="O247" i="2"/>
  <c r="M247" i="2"/>
  <c r="K247" i="2"/>
  <c r="I247" i="2"/>
  <c r="G247" i="2"/>
  <c r="AM247" i="2" s="1"/>
  <c r="E247" i="2"/>
  <c r="AK246" i="2"/>
  <c r="AI246" i="2"/>
  <c r="AG246" i="2"/>
  <c r="AE246" i="2"/>
  <c r="AC246" i="2"/>
  <c r="AA246" i="2"/>
  <c r="Y246" i="2"/>
  <c r="W246" i="2"/>
  <c r="U246" i="2"/>
  <c r="S246" i="2"/>
  <c r="Q246" i="2"/>
  <c r="O246" i="2"/>
  <c r="M246" i="2"/>
  <c r="K246" i="2"/>
  <c r="I246" i="2"/>
  <c r="G246" i="2"/>
  <c r="E246" i="2"/>
  <c r="AM246" i="2" s="1"/>
  <c r="AK245" i="2"/>
  <c r="AI245" i="2"/>
  <c r="AG245" i="2"/>
  <c r="AE245" i="2"/>
  <c r="AC245" i="2"/>
  <c r="AA245" i="2"/>
  <c r="Y245" i="2"/>
  <c r="W245" i="2"/>
  <c r="U245" i="2"/>
  <c r="S245" i="2"/>
  <c r="Q245" i="2"/>
  <c r="O245" i="2"/>
  <c r="M245" i="2"/>
  <c r="K245" i="2"/>
  <c r="I245" i="2"/>
  <c r="G245" i="2"/>
  <c r="AM245" i="2" s="1"/>
  <c r="E245" i="2"/>
  <c r="AK244" i="2"/>
  <c r="AI244" i="2"/>
  <c r="AG244" i="2"/>
  <c r="AE244" i="2"/>
  <c r="AC244" i="2"/>
  <c r="AA244" i="2"/>
  <c r="Y244" i="2"/>
  <c r="W244" i="2"/>
  <c r="U244" i="2"/>
  <c r="S244" i="2"/>
  <c r="Q244" i="2"/>
  <c r="O244" i="2"/>
  <c r="M244" i="2"/>
  <c r="K244" i="2"/>
  <c r="I244" i="2"/>
  <c r="G244" i="2"/>
  <c r="E244" i="2"/>
  <c r="AM244" i="2" s="1"/>
  <c r="AK243" i="2"/>
  <c r="AI243" i="2"/>
  <c r="AG243" i="2"/>
  <c r="AE243" i="2"/>
  <c r="AC243" i="2"/>
  <c r="AA243" i="2"/>
  <c r="Y243" i="2"/>
  <c r="W243" i="2"/>
  <c r="U243" i="2"/>
  <c r="S243" i="2"/>
  <c r="Q243" i="2"/>
  <c r="O243" i="2"/>
  <c r="M243" i="2"/>
  <c r="K243" i="2"/>
  <c r="I243" i="2"/>
  <c r="G243" i="2"/>
  <c r="AM243" i="2" s="1"/>
  <c r="E243" i="2"/>
  <c r="AK242" i="2"/>
  <c r="AI242" i="2"/>
  <c r="AG242" i="2"/>
  <c r="AE242" i="2"/>
  <c r="AC242" i="2"/>
  <c r="AA242" i="2"/>
  <c r="Y242" i="2"/>
  <c r="W242" i="2"/>
  <c r="U242" i="2"/>
  <c r="S242" i="2"/>
  <c r="Q242" i="2"/>
  <c r="O242" i="2"/>
  <c r="M242" i="2"/>
  <c r="K242" i="2"/>
  <c r="I242" i="2"/>
  <c r="G242" i="2"/>
  <c r="E242" i="2"/>
  <c r="AM242" i="2" s="1"/>
  <c r="AK241" i="2"/>
  <c r="AI241" i="2"/>
  <c r="AG241" i="2"/>
  <c r="AE241" i="2"/>
  <c r="AC241" i="2"/>
  <c r="AA241" i="2"/>
  <c r="Y241" i="2"/>
  <c r="W241" i="2"/>
  <c r="U241" i="2"/>
  <c r="S241" i="2"/>
  <c r="Q241" i="2"/>
  <c r="O241" i="2"/>
  <c r="M241" i="2"/>
  <c r="K241" i="2"/>
  <c r="I241" i="2"/>
  <c r="G241" i="2"/>
  <c r="AM241" i="2" s="1"/>
  <c r="E241" i="2"/>
  <c r="AK240" i="2"/>
  <c r="AI240" i="2"/>
  <c r="AG240" i="2"/>
  <c r="AE240" i="2"/>
  <c r="AC240" i="2"/>
  <c r="AA240" i="2"/>
  <c r="Y240" i="2"/>
  <c r="W240" i="2"/>
  <c r="U240" i="2"/>
  <c r="S240" i="2"/>
  <c r="Q240" i="2"/>
  <c r="O240" i="2"/>
  <c r="M240" i="2"/>
  <c r="K240" i="2"/>
  <c r="I240" i="2"/>
  <c r="G240" i="2"/>
  <c r="E240" i="2"/>
  <c r="AM240" i="2" s="1"/>
  <c r="AK239" i="2"/>
  <c r="AI239" i="2"/>
  <c r="AG239" i="2"/>
  <c r="AE239" i="2"/>
  <c r="AC239" i="2"/>
  <c r="AA239" i="2"/>
  <c r="Y239" i="2"/>
  <c r="W239" i="2"/>
  <c r="U239" i="2"/>
  <c r="S239" i="2"/>
  <c r="Q239" i="2"/>
  <c r="O239" i="2"/>
  <c r="M239" i="2"/>
  <c r="K239" i="2"/>
  <c r="I239" i="2"/>
  <c r="G239" i="2"/>
  <c r="AM239" i="2" s="1"/>
  <c r="E239" i="2"/>
  <c r="AK238" i="2"/>
  <c r="AI238" i="2"/>
  <c r="AG238" i="2"/>
  <c r="AE238" i="2"/>
  <c r="AC238" i="2"/>
  <c r="AA238" i="2"/>
  <c r="Y238" i="2"/>
  <c r="W238" i="2"/>
  <c r="U238" i="2"/>
  <c r="S238" i="2"/>
  <c r="Q238" i="2"/>
  <c r="O238" i="2"/>
  <c r="M238" i="2"/>
  <c r="K238" i="2"/>
  <c r="I238" i="2"/>
  <c r="G238" i="2"/>
  <c r="E238" i="2"/>
  <c r="AM238" i="2" s="1"/>
  <c r="AK237" i="2"/>
  <c r="AI237" i="2"/>
  <c r="AG237" i="2"/>
  <c r="AE237" i="2"/>
  <c r="AC237" i="2"/>
  <c r="AA237" i="2"/>
  <c r="Y237" i="2"/>
  <c r="W237" i="2"/>
  <c r="U237" i="2"/>
  <c r="S237" i="2"/>
  <c r="Q237" i="2"/>
  <c r="O237" i="2"/>
  <c r="M237" i="2"/>
  <c r="K237" i="2"/>
  <c r="I237" i="2"/>
  <c r="G237" i="2"/>
  <c r="AM237" i="2" s="1"/>
  <c r="E237" i="2"/>
  <c r="AK236" i="2"/>
  <c r="AI236" i="2"/>
  <c r="AG236" i="2"/>
  <c r="AE236" i="2"/>
  <c r="AC236" i="2"/>
  <c r="AA236" i="2"/>
  <c r="Y236" i="2"/>
  <c r="W236" i="2"/>
  <c r="U236" i="2"/>
  <c r="S236" i="2"/>
  <c r="Q236" i="2"/>
  <c r="O236" i="2"/>
  <c r="M236" i="2"/>
  <c r="K236" i="2"/>
  <c r="I236" i="2"/>
  <c r="G236" i="2"/>
  <c r="E236" i="2"/>
  <c r="AM236" i="2" s="1"/>
  <c r="AK235" i="2"/>
  <c r="AK234" i="2"/>
  <c r="AI234" i="2"/>
  <c r="AG234" i="2"/>
  <c r="AE234" i="2"/>
  <c r="AC234" i="2"/>
  <c r="AA234" i="2"/>
  <c r="Y234" i="2"/>
  <c r="W234" i="2"/>
  <c r="U234" i="2"/>
  <c r="S234" i="2"/>
  <c r="Q234" i="2"/>
  <c r="O234" i="2"/>
  <c r="M234" i="2"/>
  <c r="K234" i="2"/>
  <c r="I234" i="2"/>
  <c r="G234" i="2"/>
  <c r="E234" i="2"/>
  <c r="AM234" i="2" s="1"/>
  <c r="AK233" i="2"/>
  <c r="AI233" i="2"/>
  <c r="AG233" i="2"/>
  <c r="AE233" i="2"/>
  <c r="AC233" i="2"/>
  <c r="AA233" i="2"/>
  <c r="Y233" i="2"/>
  <c r="W233" i="2"/>
  <c r="U233" i="2"/>
  <c r="S233" i="2"/>
  <c r="Q233" i="2"/>
  <c r="O233" i="2"/>
  <c r="M233" i="2"/>
  <c r="K233" i="2"/>
  <c r="I233" i="2"/>
  <c r="G233" i="2"/>
  <c r="AM233" i="2" s="1"/>
  <c r="E233" i="2"/>
  <c r="AK232" i="2"/>
  <c r="AI232" i="2"/>
  <c r="AG232" i="2"/>
  <c r="AE232" i="2"/>
  <c r="AC232" i="2"/>
  <c r="AA232" i="2"/>
  <c r="Y232" i="2"/>
  <c r="W232" i="2"/>
  <c r="U232" i="2"/>
  <c r="S232" i="2"/>
  <c r="Q232" i="2"/>
  <c r="O232" i="2"/>
  <c r="M232" i="2"/>
  <c r="K232" i="2"/>
  <c r="I232" i="2"/>
  <c r="G232" i="2"/>
  <c r="E232" i="2"/>
  <c r="AM232" i="2" s="1"/>
  <c r="AK231" i="2"/>
  <c r="AI231" i="2"/>
  <c r="AG231" i="2"/>
  <c r="AE231" i="2"/>
  <c r="AC231" i="2"/>
  <c r="AA231" i="2"/>
  <c r="Y231" i="2"/>
  <c r="W231" i="2"/>
  <c r="U231" i="2"/>
  <c r="S231" i="2"/>
  <c r="Q231" i="2"/>
  <c r="O231" i="2"/>
  <c r="M231" i="2"/>
  <c r="K231" i="2"/>
  <c r="I231" i="2"/>
  <c r="G231" i="2"/>
  <c r="AM231" i="2" s="1"/>
  <c r="E231" i="2"/>
  <c r="AK230" i="2"/>
  <c r="AI230" i="2"/>
  <c r="AG230" i="2"/>
  <c r="AE230" i="2"/>
  <c r="AC230" i="2"/>
  <c r="AA230" i="2"/>
  <c r="Y230" i="2"/>
  <c r="W230" i="2"/>
  <c r="U230" i="2"/>
  <c r="S230" i="2"/>
  <c r="Q230" i="2"/>
  <c r="O230" i="2"/>
  <c r="M230" i="2"/>
  <c r="K230" i="2"/>
  <c r="I230" i="2"/>
  <c r="G230" i="2"/>
  <c r="E230" i="2"/>
  <c r="AM230" i="2" s="1"/>
  <c r="AK229" i="2"/>
  <c r="AI229" i="2"/>
  <c r="AG229" i="2"/>
  <c r="AE229" i="2"/>
  <c r="AC229" i="2"/>
  <c r="AA229" i="2"/>
  <c r="Y229" i="2"/>
  <c r="W229" i="2"/>
  <c r="U229" i="2"/>
  <c r="S229" i="2"/>
  <c r="Q229" i="2"/>
  <c r="O229" i="2"/>
  <c r="M229" i="2"/>
  <c r="K229" i="2"/>
  <c r="I229" i="2"/>
  <c r="G229" i="2"/>
  <c r="AM229" i="2" s="1"/>
  <c r="E229" i="2"/>
  <c r="AK228" i="2"/>
  <c r="AI228" i="2"/>
  <c r="AG228" i="2"/>
  <c r="AE228" i="2"/>
  <c r="AC228" i="2"/>
  <c r="AA228" i="2"/>
  <c r="Y228" i="2"/>
  <c r="W228" i="2"/>
  <c r="U228" i="2"/>
  <c r="S228" i="2"/>
  <c r="Q228" i="2"/>
  <c r="O228" i="2"/>
  <c r="M228" i="2"/>
  <c r="K228" i="2"/>
  <c r="I228" i="2"/>
  <c r="G228" i="2"/>
  <c r="E228" i="2"/>
  <c r="AM228" i="2" s="1"/>
  <c r="AK227" i="2"/>
  <c r="AI227" i="2"/>
  <c r="AG227" i="2"/>
  <c r="AE227" i="2"/>
  <c r="AC227" i="2"/>
  <c r="AA227" i="2"/>
  <c r="Y227" i="2"/>
  <c r="W227" i="2"/>
  <c r="U227" i="2"/>
  <c r="S227" i="2"/>
  <c r="Q227" i="2"/>
  <c r="O227" i="2"/>
  <c r="M227" i="2"/>
  <c r="K227" i="2"/>
  <c r="I227" i="2"/>
  <c r="G227" i="2"/>
  <c r="AM227" i="2" s="1"/>
  <c r="E227" i="2"/>
  <c r="AK226" i="2"/>
  <c r="AI226" i="2"/>
  <c r="AG226" i="2"/>
  <c r="AE226" i="2"/>
  <c r="AC226" i="2"/>
  <c r="AA226" i="2"/>
  <c r="Y226" i="2"/>
  <c r="W226" i="2"/>
  <c r="U226" i="2"/>
  <c r="S226" i="2"/>
  <c r="Q226" i="2"/>
  <c r="O226" i="2"/>
  <c r="M226" i="2"/>
  <c r="K226" i="2"/>
  <c r="I226" i="2"/>
  <c r="G226" i="2"/>
  <c r="E226" i="2"/>
  <c r="AM226" i="2" s="1"/>
  <c r="AK225" i="2"/>
  <c r="AI225" i="2"/>
  <c r="AG225" i="2"/>
  <c r="AE225" i="2"/>
  <c r="AC225" i="2"/>
  <c r="AA225" i="2"/>
  <c r="Y225" i="2"/>
  <c r="W225" i="2"/>
  <c r="U225" i="2"/>
  <c r="S225" i="2"/>
  <c r="Q225" i="2"/>
  <c r="O225" i="2"/>
  <c r="M225" i="2"/>
  <c r="K225" i="2"/>
  <c r="I225" i="2"/>
  <c r="G225" i="2"/>
  <c r="AM225" i="2" s="1"/>
  <c r="E225" i="2"/>
  <c r="AK224" i="2"/>
  <c r="AI224" i="2"/>
  <c r="AG224" i="2"/>
  <c r="AE224" i="2"/>
  <c r="AC224" i="2"/>
  <c r="AA224" i="2"/>
  <c r="Y224" i="2"/>
  <c r="W224" i="2"/>
  <c r="U224" i="2"/>
  <c r="S224" i="2"/>
  <c r="Q224" i="2"/>
  <c r="O224" i="2"/>
  <c r="M224" i="2"/>
  <c r="K224" i="2"/>
  <c r="I224" i="2"/>
  <c r="G224" i="2"/>
  <c r="E224" i="2"/>
  <c r="AM224" i="2" s="1"/>
  <c r="AK223" i="2"/>
  <c r="AI223" i="2"/>
  <c r="AG223" i="2"/>
  <c r="AE223" i="2"/>
  <c r="AC223" i="2"/>
  <c r="AA223" i="2"/>
  <c r="Y223" i="2"/>
  <c r="W223" i="2"/>
  <c r="U223" i="2"/>
  <c r="S223" i="2"/>
  <c r="Q223" i="2"/>
  <c r="O223" i="2"/>
  <c r="M223" i="2"/>
  <c r="K223" i="2"/>
  <c r="I223" i="2"/>
  <c r="G223" i="2"/>
  <c r="AM223" i="2" s="1"/>
  <c r="E223" i="2"/>
  <c r="AK222" i="2"/>
  <c r="AI222" i="2"/>
  <c r="AG222" i="2"/>
  <c r="AE222" i="2"/>
  <c r="AC222" i="2"/>
  <c r="AA222" i="2"/>
  <c r="Y222" i="2"/>
  <c r="W222" i="2"/>
  <c r="U222" i="2"/>
  <c r="S222" i="2"/>
  <c r="Q222" i="2"/>
  <c r="O222" i="2"/>
  <c r="M222" i="2"/>
  <c r="K222" i="2"/>
  <c r="I222" i="2"/>
  <c r="G222" i="2"/>
  <c r="E222" i="2"/>
  <c r="AM222" i="2" s="1"/>
  <c r="AK221" i="2"/>
  <c r="AI221" i="2"/>
  <c r="AG221" i="2"/>
  <c r="AE221" i="2"/>
  <c r="AC221" i="2"/>
  <c r="AA221" i="2"/>
  <c r="Y221" i="2"/>
  <c r="W221" i="2"/>
  <c r="U221" i="2"/>
  <c r="S221" i="2"/>
  <c r="Q221" i="2"/>
  <c r="O221" i="2"/>
  <c r="M221" i="2"/>
  <c r="K221" i="2"/>
  <c r="I221" i="2"/>
  <c r="G221" i="2"/>
  <c r="AM221" i="2" s="1"/>
  <c r="E221" i="2"/>
  <c r="AK220" i="2"/>
  <c r="AI220" i="2"/>
  <c r="AG220" i="2"/>
  <c r="AE220" i="2"/>
  <c r="AC220" i="2"/>
  <c r="AA220" i="2"/>
  <c r="Y220" i="2"/>
  <c r="W220" i="2"/>
  <c r="U220" i="2"/>
  <c r="S220" i="2"/>
  <c r="Q220" i="2"/>
  <c r="O220" i="2"/>
  <c r="M220" i="2"/>
  <c r="K220" i="2"/>
  <c r="I220" i="2"/>
  <c r="G220" i="2"/>
  <c r="E220" i="2"/>
  <c r="AM220" i="2" s="1"/>
  <c r="AK219" i="2"/>
  <c r="AI219" i="2"/>
  <c r="AG219" i="2"/>
  <c r="AE219" i="2"/>
  <c r="AC219" i="2"/>
  <c r="AA219" i="2"/>
  <c r="Y219" i="2"/>
  <c r="W219" i="2"/>
  <c r="U219" i="2"/>
  <c r="S219" i="2"/>
  <c r="Q219" i="2"/>
  <c r="O219" i="2"/>
  <c r="M219" i="2"/>
  <c r="K219" i="2"/>
  <c r="I219" i="2"/>
  <c r="G219" i="2"/>
  <c r="AM219" i="2" s="1"/>
  <c r="E219" i="2"/>
  <c r="AK218" i="2"/>
  <c r="AI218" i="2"/>
  <c r="AG218" i="2"/>
  <c r="AM218" i="2" s="1"/>
  <c r="AK217" i="2"/>
  <c r="AI217" i="2"/>
  <c r="AG217" i="2"/>
  <c r="AE217" i="2"/>
  <c r="AC217" i="2"/>
  <c r="AA217" i="2"/>
  <c r="Y217" i="2"/>
  <c r="W217" i="2"/>
  <c r="U217" i="2"/>
  <c r="S217" i="2"/>
  <c r="Q217" i="2"/>
  <c r="O217" i="2"/>
  <c r="M217" i="2"/>
  <c r="K217" i="2"/>
  <c r="I217" i="2"/>
  <c r="G217" i="2"/>
  <c r="AM217" i="2" s="1"/>
  <c r="E217" i="2"/>
  <c r="AK216" i="2"/>
  <c r="AI216" i="2"/>
  <c r="AG216" i="2"/>
  <c r="AE216" i="2"/>
  <c r="AC216" i="2"/>
  <c r="AA216" i="2"/>
  <c r="Y216" i="2"/>
  <c r="W216" i="2"/>
  <c r="U216" i="2"/>
  <c r="S216" i="2"/>
  <c r="Q216" i="2"/>
  <c r="O216" i="2"/>
  <c r="M216" i="2"/>
  <c r="K216" i="2"/>
  <c r="I216" i="2"/>
  <c r="G216" i="2"/>
  <c r="E216" i="2"/>
  <c r="AM216" i="2" s="1"/>
  <c r="AK215" i="2"/>
  <c r="AI215" i="2"/>
  <c r="AG215" i="2"/>
  <c r="AE215" i="2"/>
  <c r="AC215" i="2"/>
  <c r="AA215" i="2"/>
  <c r="Y215" i="2"/>
  <c r="W215" i="2"/>
  <c r="U215" i="2"/>
  <c r="S215" i="2"/>
  <c r="Q215" i="2"/>
  <c r="O215" i="2"/>
  <c r="M215" i="2"/>
  <c r="K215" i="2"/>
  <c r="I215" i="2"/>
  <c r="G215" i="2"/>
  <c r="AM215" i="2" s="1"/>
  <c r="E215" i="2"/>
  <c r="AK214" i="2"/>
  <c r="AI214" i="2"/>
  <c r="AG214" i="2"/>
  <c r="AE214" i="2"/>
  <c r="AC214" i="2"/>
  <c r="AA214" i="2"/>
  <c r="Y214" i="2"/>
  <c r="W214" i="2"/>
  <c r="U214" i="2"/>
  <c r="S214" i="2"/>
  <c r="Q214" i="2"/>
  <c r="O214" i="2"/>
  <c r="M214" i="2"/>
  <c r="K214" i="2"/>
  <c r="I214" i="2"/>
  <c r="G214" i="2"/>
  <c r="E214" i="2"/>
  <c r="AM214" i="2" s="1"/>
  <c r="AK213" i="2"/>
  <c r="AI213" i="2"/>
  <c r="AG213" i="2"/>
  <c r="AE213" i="2"/>
  <c r="AC213" i="2"/>
  <c r="AA213" i="2"/>
  <c r="AM213" i="2" s="1"/>
  <c r="AK212" i="2"/>
  <c r="AI212" i="2"/>
  <c r="AG212" i="2"/>
  <c r="AE212" i="2"/>
  <c r="AC212" i="2"/>
  <c r="AA212" i="2"/>
  <c r="Y212" i="2"/>
  <c r="W212" i="2"/>
  <c r="U212" i="2"/>
  <c r="S212" i="2"/>
  <c r="Q212" i="2"/>
  <c r="O212" i="2"/>
  <c r="M212" i="2"/>
  <c r="K212" i="2"/>
  <c r="I212" i="2"/>
  <c r="G212" i="2"/>
  <c r="AM212" i="2" s="1"/>
  <c r="E212" i="2"/>
  <c r="AK211" i="2"/>
  <c r="AI211" i="2"/>
  <c r="AG211" i="2"/>
  <c r="AE211" i="2"/>
  <c r="AC211" i="2"/>
  <c r="AA211" i="2"/>
  <c r="Y211" i="2"/>
  <c r="W211" i="2"/>
  <c r="U211" i="2"/>
  <c r="S211" i="2"/>
  <c r="Q211" i="2"/>
  <c r="O211" i="2"/>
  <c r="M211" i="2"/>
  <c r="K211" i="2"/>
  <c r="I211" i="2"/>
  <c r="G211" i="2"/>
  <c r="E211" i="2"/>
  <c r="AM211" i="2" s="1"/>
  <c r="AK210" i="2"/>
  <c r="AI210" i="2"/>
  <c r="AG210" i="2"/>
  <c r="AE210" i="2"/>
  <c r="AC210" i="2"/>
  <c r="AA210" i="2"/>
  <c r="Y210" i="2"/>
  <c r="W210" i="2"/>
  <c r="U210" i="2"/>
  <c r="S210" i="2"/>
  <c r="Q210" i="2"/>
  <c r="O210" i="2"/>
  <c r="M210" i="2"/>
  <c r="K210" i="2"/>
  <c r="I210" i="2"/>
  <c r="G210" i="2"/>
  <c r="AM210" i="2" s="1"/>
  <c r="E210" i="2"/>
  <c r="AK209" i="2"/>
  <c r="AI209" i="2"/>
  <c r="AG209" i="2"/>
  <c r="AE209" i="2"/>
  <c r="AC209" i="2"/>
  <c r="AA209" i="2"/>
  <c r="Y209" i="2"/>
  <c r="W209" i="2"/>
  <c r="U209" i="2"/>
  <c r="S209" i="2"/>
  <c r="Q209" i="2"/>
  <c r="O209" i="2"/>
  <c r="M209" i="2"/>
  <c r="K209" i="2"/>
  <c r="I209" i="2"/>
  <c r="G209" i="2"/>
  <c r="E209" i="2"/>
  <c r="AM209" i="2" s="1"/>
  <c r="AK208" i="2"/>
  <c r="AI208" i="2"/>
  <c r="AG208" i="2"/>
  <c r="AE208" i="2"/>
  <c r="AC208" i="2"/>
  <c r="AA208" i="2"/>
  <c r="Y208" i="2"/>
  <c r="W208" i="2"/>
  <c r="U208" i="2"/>
  <c r="S208" i="2"/>
  <c r="Q208" i="2"/>
  <c r="O208" i="2"/>
  <c r="M208" i="2"/>
  <c r="K208" i="2"/>
  <c r="I208" i="2"/>
  <c r="G208" i="2"/>
  <c r="AM208" i="2" s="1"/>
  <c r="E208" i="2"/>
  <c r="AK207" i="2"/>
  <c r="AI207" i="2"/>
  <c r="AG207" i="2"/>
  <c r="AE207" i="2"/>
  <c r="AC207" i="2"/>
  <c r="AA207" i="2"/>
  <c r="Y207" i="2"/>
  <c r="W207" i="2"/>
  <c r="U207" i="2"/>
  <c r="S207" i="2"/>
  <c r="Q207" i="2"/>
  <c r="O207" i="2"/>
  <c r="M207" i="2"/>
  <c r="K207" i="2"/>
  <c r="I207" i="2"/>
  <c r="G207" i="2"/>
  <c r="E207" i="2"/>
  <c r="AM207" i="2" s="1"/>
  <c r="AK206" i="2"/>
  <c r="AI206" i="2"/>
  <c r="AG206" i="2"/>
  <c r="AE206" i="2"/>
  <c r="AC206" i="2"/>
  <c r="AA206" i="2"/>
  <c r="Y206" i="2"/>
  <c r="W206" i="2"/>
  <c r="U206" i="2"/>
  <c r="S206" i="2"/>
  <c r="Q206" i="2"/>
  <c r="O206" i="2"/>
  <c r="M206" i="2"/>
  <c r="K206" i="2"/>
  <c r="I206" i="2"/>
  <c r="G206" i="2"/>
  <c r="AM206" i="2" s="1"/>
  <c r="E206" i="2"/>
  <c r="AK205" i="2"/>
  <c r="AI205" i="2"/>
  <c r="AG205" i="2"/>
  <c r="AE205" i="2"/>
  <c r="AC205" i="2"/>
  <c r="AA205" i="2"/>
  <c r="Y205" i="2"/>
  <c r="W205" i="2"/>
  <c r="U205" i="2"/>
  <c r="S205" i="2"/>
  <c r="Q205" i="2"/>
  <c r="O205" i="2"/>
  <c r="M205" i="2"/>
  <c r="K205" i="2"/>
  <c r="I205" i="2"/>
  <c r="G205" i="2"/>
  <c r="E205" i="2"/>
  <c r="AM205" i="2" s="1"/>
  <c r="AK204" i="2"/>
  <c r="AI204" i="2"/>
  <c r="AG204" i="2"/>
  <c r="AE204" i="2"/>
  <c r="AC204" i="2"/>
  <c r="AA204" i="2"/>
  <c r="Y204" i="2"/>
  <c r="W204" i="2"/>
  <c r="U204" i="2"/>
  <c r="S204" i="2"/>
  <c r="Q204" i="2"/>
  <c r="O204" i="2"/>
  <c r="M204" i="2"/>
  <c r="K204" i="2"/>
  <c r="I204" i="2"/>
  <c r="G204" i="2"/>
  <c r="AM204" i="2" s="1"/>
  <c r="E204" i="2"/>
  <c r="AK203" i="2"/>
  <c r="AI203" i="2"/>
  <c r="AG203" i="2"/>
  <c r="AE203" i="2"/>
  <c r="AC203" i="2"/>
  <c r="AA203" i="2"/>
  <c r="Y203" i="2"/>
  <c r="W203" i="2"/>
  <c r="U203" i="2"/>
  <c r="S203" i="2"/>
  <c r="Q203" i="2"/>
  <c r="O203" i="2"/>
  <c r="M203" i="2"/>
  <c r="K203" i="2"/>
  <c r="I203" i="2"/>
  <c r="G203" i="2"/>
  <c r="E203" i="2"/>
  <c r="AM203" i="2" s="1"/>
  <c r="AK202" i="2"/>
  <c r="AI202" i="2"/>
  <c r="AG202" i="2"/>
  <c r="AE202" i="2"/>
  <c r="AC202" i="2"/>
  <c r="AA202" i="2"/>
  <c r="Y202" i="2"/>
  <c r="W202" i="2"/>
  <c r="U202" i="2"/>
  <c r="S202" i="2"/>
  <c r="Q202" i="2"/>
  <c r="O202" i="2"/>
  <c r="M202" i="2"/>
  <c r="K202" i="2"/>
  <c r="I202" i="2"/>
  <c r="G202" i="2"/>
  <c r="AM202" i="2" s="1"/>
  <c r="E202" i="2"/>
  <c r="AK201" i="2"/>
  <c r="AI201" i="2"/>
  <c r="AG201" i="2"/>
  <c r="AE201" i="2"/>
  <c r="AC201" i="2"/>
  <c r="AA201" i="2"/>
  <c r="Y201" i="2"/>
  <c r="W201" i="2"/>
  <c r="U201" i="2"/>
  <c r="S201" i="2"/>
  <c r="Q201" i="2"/>
  <c r="O201" i="2"/>
  <c r="M201" i="2"/>
  <c r="K201" i="2"/>
  <c r="I201" i="2"/>
  <c r="G201" i="2"/>
  <c r="E201" i="2"/>
  <c r="AM201" i="2" s="1"/>
  <c r="AK200" i="2"/>
  <c r="AI200" i="2"/>
  <c r="AG200" i="2"/>
  <c r="AE200" i="2"/>
  <c r="AC200" i="2"/>
  <c r="AA200" i="2"/>
  <c r="Y200" i="2"/>
  <c r="W200" i="2"/>
  <c r="U200" i="2"/>
  <c r="S200" i="2"/>
  <c r="Q200" i="2"/>
  <c r="O200" i="2"/>
  <c r="M200" i="2"/>
  <c r="K200" i="2"/>
  <c r="I200" i="2"/>
  <c r="G200" i="2"/>
  <c r="AM200" i="2" s="1"/>
  <c r="E200" i="2"/>
  <c r="AK199" i="2"/>
  <c r="AI199" i="2"/>
  <c r="AG199" i="2"/>
  <c r="AE199" i="2"/>
  <c r="AC199" i="2"/>
  <c r="AA199" i="2"/>
  <c r="Y199" i="2"/>
  <c r="W199" i="2"/>
  <c r="U199" i="2"/>
  <c r="S199" i="2"/>
  <c r="Q199" i="2"/>
  <c r="O199" i="2"/>
  <c r="M199" i="2"/>
  <c r="K199" i="2"/>
  <c r="I199" i="2"/>
  <c r="G199" i="2"/>
  <c r="E199" i="2"/>
  <c r="AM199" i="2" s="1"/>
  <c r="AK198" i="2"/>
  <c r="AI198" i="2"/>
  <c r="AG198" i="2"/>
  <c r="AE198" i="2"/>
  <c r="AC198" i="2"/>
  <c r="AA198" i="2"/>
  <c r="Y198" i="2"/>
  <c r="W198" i="2"/>
  <c r="U198" i="2"/>
  <c r="S198" i="2"/>
  <c r="Q198" i="2"/>
  <c r="O198" i="2"/>
  <c r="M198" i="2"/>
  <c r="K198" i="2"/>
  <c r="I198" i="2"/>
  <c r="G198" i="2"/>
  <c r="AM198" i="2" s="1"/>
  <c r="E198" i="2"/>
  <c r="AK197" i="2"/>
  <c r="AI197" i="2"/>
  <c r="AG197" i="2"/>
  <c r="AE197" i="2"/>
  <c r="AC197" i="2"/>
  <c r="AA197" i="2"/>
  <c r="Y197" i="2"/>
  <c r="W197" i="2"/>
  <c r="U197" i="2"/>
  <c r="S197" i="2"/>
  <c r="Q197" i="2"/>
  <c r="O197" i="2"/>
  <c r="M197" i="2"/>
  <c r="K197" i="2"/>
  <c r="I197" i="2"/>
  <c r="G197" i="2"/>
  <c r="E197" i="2"/>
  <c r="AM197" i="2" s="1"/>
  <c r="AK196" i="2"/>
  <c r="AI196" i="2"/>
  <c r="AG196" i="2"/>
  <c r="AE196" i="2"/>
  <c r="AC196" i="2"/>
  <c r="AA196" i="2"/>
  <c r="Y196" i="2"/>
  <c r="W196" i="2"/>
  <c r="U196" i="2"/>
  <c r="S196" i="2"/>
  <c r="Q196" i="2"/>
  <c r="O196" i="2"/>
  <c r="M196" i="2"/>
  <c r="K196" i="2"/>
  <c r="I196" i="2"/>
  <c r="G196" i="2"/>
  <c r="AM196" i="2" s="1"/>
  <c r="E196" i="2"/>
  <c r="AK195" i="2"/>
  <c r="AI195" i="2"/>
  <c r="AG195" i="2"/>
  <c r="AE195" i="2"/>
  <c r="AC195" i="2"/>
  <c r="AA195" i="2"/>
  <c r="Y195" i="2"/>
  <c r="W195" i="2"/>
  <c r="U195" i="2"/>
  <c r="S195" i="2"/>
  <c r="Q195" i="2"/>
  <c r="O195" i="2"/>
  <c r="M195" i="2"/>
  <c r="K195" i="2"/>
  <c r="I195" i="2"/>
  <c r="G195" i="2"/>
  <c r="E195" i="2"/>
  <c r="AM195" i="2" s="1"/>
  <c r="AK194" i="2"/>
  <c r="AI194" i="2"/>
  <c r="AG194" i="2"/>
  <c r="AE194" i="2"/>
  <c r="AC194" i="2"/>
  <c r="AA194" i="2"/>
  <c r="Y194" i="2"/>
  <c r="W194" i="2"/>
  <c r="U194" i="2"/>
  <c r="S194" i="2"/>
  <c r="Q194" i="2"/>
  <c r="O194" i="2"/>
  <c r="M194" i="2"/>
  <c r="K194" i="2"/>
  <c r="I194" i="2"/>
  <c r="G194" i="2"/>
  <c r="AM194" i="2" s="1"/>
  <c r="E194" i="2"/>
  <c r="AK193" i="2"/>
  <c r="AI193" i="2"/>
  <c r="AG193" i="2"/>
  <c r="AE193" i="2"/>
  <c r="AC193" i="2"/>
  <c r="AA193" i="2"/>
  <c r="Y193" i="2"/>
  <c r="W193" i="2"/>
  <c r="U193" i="2"/>
  <c r="S193" i="2"/>
  <c r="Q193" i="2"/>
  <c r="O193" i="2"/>
  <c r="M193" i="2"/>
  <c r="K193" i="2"/>
  <c r="I193" i="2"/>
  <c r="G193" i="2"/>
  <c r="E193" i="2"/>
  <c r="AM193" i="2" s="1"/>
  <c r="AK192" i="2"/>
  <c r="AI192" i="2"/>
  <c r="AG192" i="2"/>
  <c r="AE192" i="2"/>
  <c r="AC192" i="2"/>
  <c r="AA192" i="2"/>
  <c r="Y192" i="2"/>
  <c r="W192" i="2"/>
  <c r="U192" i="2"/>
  <c r="S192" i="2"/>
  <c r="Q192" i="2"/>
  <c r="O192" i="2"/>
  <c r="M192" i="2"/>
  <c r="K192" i="2"/>
  <c r="I192" i="2"/>
  <c r="G192" i="2"/>
  <c r="AM192" i="2" s="1"/>
  <c r="E192" i="2"/>
  <c r="AK191" i="2"/>
  <c r="AI191" i="2"/>
  <c r="AG191" i="2"/>
  <c r="AE191" i="2"/>
  <c r="AC191" i="2"/>
  <c r="AA191" i="2"/>
  <c r="Y191" i="2"/>
  <c r="W191" i="2"/>
  <c r="U191" i="2"/>
  <c r="S191" i="2"/>
  <c r="Q191" i="2"/>
  <c r="O191" i="2"/>
  <c r="M191" i="2"/>
  <c r="K191" i="2"/>
  <c r="I191" i="2"/>
  <c r="G191" i="2"/>
  <c r="E191" i="2"/>
  <c r="AM191" i="2" s="1"/>
  <c r="AK190" i="2"/>
  <c r="AI190" i="2"/>
  <c r="AG190" i="2"/>
  <c r="AE190" i="2"/>
  <c r="AC190" i="2"/>
  <c r="AA190" i="2"/>
  <c r="Y190" i="2"/>
  <c r="W190" i="2"/>
  <c r="U190" i="2"/>
  <c r="S190" i="2"/>
  <c r="Q190" i="2"/>
  <c r="O190" i="2"/>
  <c r="M190" i="2"/>
  <c r="K190" i="2"/>
  <c r="I190" i="2"/>
  <c r="G190" i="2"/>
  <c r="AM190" i="2" s="1"/>
  <c r="E190" i="2"/>
  <c r="AK189" i="2"/>
  <c r="AI189" i="2"/>
  <c r="AG189" i="2"/>
  <c r="AE189" i="2"/>
  <c r="AC189" i="2"/>
  <c r="AA189" i="2"/>
  <c r="Y189" i="2"/>
  <c r="W189" i="2"/>
  <c r="U189" i="2"/>
  <c r="S189" i="2"/>
  <c r="Q189" i="2"/>
  <c r="O189" i="2"/>
  <c r="M189" i="2"/>
  <c r="K189" i="2"/>
  <c r="I189" i="2"/>
  <c r="G189" i="2"/>
  <c r="E189" i="2"/>
  <c r="AM189" i="2" s="1"/>
  <c r="AK188" i="2"/>
  <c r="AI188" i="2"/>
  <c r="AG188" i="2"/>
  <c r="AE188" i="2"/>
  <c r="AC188" i="2"/>
  <c r="AA188" i="2"/>
  <c r="Y188" i="2"/>
  <c r="W188" i="2"/>
  <c r="U188" i="2"/>
  <c r="S188" i="2"/>
  <c r="Q188" i="2"/>
  <c r="O188" i="2"/>
  <c r="M188" i="2"/>
  <c r="K188" i="2"/>
  <c r="I188" i="2"/>
  <c r="G188" i="2"/>
  <c r="AM188" i="2" s="1"/>
  <c r="E188" i="2"/>
  <c r="AK187" i="2"/>
  <c r="AI187" i="2"/>
  <c r="AG187" i="2"/>
  <c r="AE187" i="2"/>
  <c r="AC187" i="2"/>
  <c r="AA187" i="2"/>
  <c r="Y187" i="2"/>
  <c r="W187" i="2"/>
  <c r="U187" i="2"/>
  <c r="S187" i="2"/>
  <c r="Q187" i="2"/>
  <c r="O187" i="2"/>
  <c r="M187" i="2"/>
  <c r="K187" i="2"/>
  <c r="I187" i="2"/>
  <c r="G187" i="2"/>
  <c r="E187" i="2"/>
  <c r="AM187" i="2" s="1"/>
  <c r="AK186" i="2"/>
  <c r="AI186" i="2"/>
  <c r="AG186" i="2"/>
  <c r="AE186" i="2"/>
  <c r="AC186" i="2"/>
  <c r="AA186" i="2"/>
  <c r="Y186" i="2"/>
  <c r="W186" i="2"/>
  <c r="U186" i="2"/>
  <c r="S186" i="2"/>
  <c r="Q186" i="2"/>
  <c r="O186" i="2"/>
  <c r="M186" i="2"/>
  <c r="K186" i="2"/>
  <c r="I186" i="2"/>
  <c r="G186" i="2"/>
  <c r="AM186" i="2" s="1"/>
  <c r="E186" i="2"/>
  <c r="AK185" i="2"/>
  <c r="AI185" i="2"/>
  <c r="AG185" i="2"/>
  <c r="AE185" i="2"/>
  <c r="AC185" i="2"/>
  <c r="AA185" i="2"/>
  <c r="Y185" i="2"/>
  <c r="W185" i="2"/>
  <c r="U185" i="2"/>
  <c r="S185" i="2"/>
  <c r="Q185" i="2"/>
  <c r="O185" i="2"/>
  <c r="M185" i="2"/>
  <c r="K185" i="2"/>
  <c r="I185" i="2"/>
  <c r="G185" i="2"/>
  <c r="E185" i="2"/>
  <c r="AM185" i="2" s="1"/>
  <c r="AK184" i="2"/>
  <c r="AI184" i="2"/>
  <c r="AG184" i="2"/>
  <c r="AE184" i="2"/>
  <c r="AC184" i="2"/>
  <c r="AA184" i="2"/>
  <c r="Y184" i="2"/>
  <c r="W184" i="2"/>
  <c r="U184" i="2"/>
  <c r="S184" i="2"/>
  <c r="Q184" i="2"/>
  <c r="O184" i="2"/>
  <c r="M184" i="2"/>
  <c r="K184" i="2"/>
  <c r="I184" i="2"/>
  <c r="G184" i="2"/>
  <c r="AM184" i="2" s="1"/>
  <c r="E184" i="2"/>
  <c r="AK183" i="2"/>
  <c r="AI183" i="2"/>
  <c r="AG183" i="2"/>
  <c r="AE183" i="2"/>
  <c r="AC183" i="2"/>
  <c r="AA183" i="2"/>
  <c r="Y183" i="2"/>
  <c r="W183" i="2"/>
  <c r="U183" i="2"/>
  <c r="S183" i="2"/>
  <c r="Q183" i="2"/>
  <c r="O183" i="2"/>
  <c r="M183" i="2"/>
  <c r="K183" i="2"/>
  <c r="I183" i="2"/>
  <c r="G183" i="2"/>
  <c r="E183" i="2"/>
  <c r="AM183" i="2" s="1"/>
  <c r="AK182" i="2"/>
  <c r="AI182" i="2"/>
  <c r="AG182" i="2"/>
  <c r="AE182" i="2"/>
  <c r="AC182" i="2"/>
  <c r="AA182" i="2"/>
  <c r="Y182" i="2"/>
  <c r="W182" i="2"/>
  <c r="U182" i="2"/>
  <c r="S182" i="2"/>
  <c r="Q182" i="2"/>
  <c r="O182" i="2"/>
  <c r="M182" i="2"/>
  <c r="K182" i="2"/>
  <c r="I182" i="2"/>
  <c r="G182" i="2"/>
  <c r="AM182" i="2" s="1"/>
  <c r="E182" i="2"/>
  <c r="AK181" i="2"/>
  <c r="AI181" i="2"/>
  <c r="AG181" i="2"/>
  <c r="AE181" i="2"/>
  <c r="AC181" i="2"/>
  <c r="AA181" i="2"/>
  <c r="Y181" i="2"/>
  <c r="W181" i="2"/>
  <c r="U181" i="2"/>
  <c r="S181" i="2"/>
  <c r="Q181" i="2"/>
  <c r="O181" i="2"/>
  <c r="M181" i="2"/>
  <c r="K181" i="2"/>
  <c r="I181" i="2"/>
  <c r="G181" i="2"/>
  <c r="E181" i="2"/>
  <c r="AM181" i="2" s="1"/>
  <c r="AK180" i="2"/>
  <c r="AI180" i="2"/>
  <c r="AG180" i="2"/>
  <c r="AE180" i="2"/>
  <c r="AC180" i="2"/>
  <c r="AA180" i="2"/>
  <c r="Y180" i="2"/>
  <c r="W180" i="2"/>
  <c r="U180" i="2"/>
  <c r="S180" i="2"/>
  <c r="Q180" i="2"/>
  <c r="O180" i="2"/>
  <c r="M180" i="2"/>
  <c r="K180" i="2"/>
  <c r="I180" i="2"/>
  <c r="G180" i="2"/>
  <c r="AM180" i="2" s="1"/>
  <c r="E180" i="2"/>
  <c r="AK179" i="2"/>
  <c r="AI179" i="2"/>
  <c r="AG179" i="2"/>
  <c r="AE179" i="2"/>
  <c r="AC179" i="2"/>
  <c r="AA179" i="2"/>
  <c r="Y179" i="2"/>
  <c r="W179" i="2"/>
  <c r="U179" i="2"/>
  <c r="S179" i="2"/>
  <c r="Q179" i="2"/>
  <c r="O179" i="2"/>
  <c r="M179" i="2"/>
  <c r="K179" i="2"/>
  <c r="I179" i="2"/>
  <c r="G179" i="2"/>
  <c r="E179" i="2"/>
  <c r="AM179" i="2" s="1"/>
  <c r="AK178" i="2"/>
  <c r="AI178" i="2"/>
  <c r="AG178" i="2"/>
  <c r="AE178" i="2"/>
  <c r="AC178" i="2"/>
  <c r="AA178" i="2"/>
  <c r="Y178" i="2"/>
  <c r="W178" i="2"/>
  <c r="U178" i="2"/>
  <c r="S178" i="2"/>
  <c r="Q178" i="2"/>
  <c r="O178" i="2"/>
  <c r="M178" i="2"/>
  <c r="K178" i="2"/>
  <c r="I178" i="2"/>
  <c r="G178" i="2"/>
  <c r="AM178" i="2" s="1"/>
  <c r="E178" i="2"/>
  <c r="AK177" i="2"/>
  <c r="AI177" i="2"/>
  <c r="AG177" i="2"/>
  <c r="AE177" i="2"/>
  <c r="AC177" i="2"/>
  <c r="AA177" i="2"/>
  <c r="Y177" i="2"/>
  <c r="W177" i="2"/>
  <c r="U177" i="2"/>
  <c r="S177" i="2"/>
  <c r="Q177" i="2"/>
  <c r="O177" i="2"/>
  <c r="M177" i="2"/>
  <c r="K177" i="2"/>
  <c r="I177" i="2"/>
  <c r="G177" i="2"/>
  <c r="E177" i="2"/>
  <c r="AM177" i="2" s="1"/>
  <c r="AK176" i="2"/>
  <c r="AI176" i="2"/>
  <c r="AG176" i="2"/>
  <c r="AE176" i="2"/>
  <c r="AC176" i="2"/>
  <c r="AA176" i="2"/>
  <c r="Y176" i="2"/>
  <c r="W176" i="2"/>
  <c r="U176" i="2"/>
  <c r="S176" i="2"/>
  <c r="Q176" i="2"/>
  <c r="O176" i="2"/>
  <c r="M176" i="2"/>
  <c r="K176" i="2"/>
  <c r="I176" i="2"/>
  <c r="G176" i="2"/>
  <c r="AM176" i="2" s="1"/>
  <c r="E176" i="2"/>
  <c r="AK175" i="2"/>
  <c r="AI175" i="2"/>
  <c r="AG175" i="2"/>
  <c r="AE175" i="2"/>
  <c r="AC175" i="2"/>
  <c r="AA175" i="2"/>
  <c r="Y175" i="2"/>
  <c r="W175" i="2"/>
  <c r="U175" i="2"/>
  <c r="S175" i="2"/>
  <c r="Q175" i="2"/>
  <c r="O175" i="2"/>
  <c r="M175" i="2"/>
  <c r="K175" i="2"/>
  <c r="I175" i="2"/>
  <c r="G175" i="2"/>
  <c r="E175" i="2"/>
  <c r="AM175" i="2" s="1"/>
  <c r="AK174" i="2"/>
  <c r="AI174" i="2"/>
  <c r="AG174" i="2"/>
  <c r="AE174" i="2"/>
  <c r="AC174" i="2"/>
  <c r="AA174" i="2"/>
  <c r="Y174" i="2"/>
  <c r="W174" i="2"/>
  <c r="U174" i="2"/>
  <c r="S174" i="2"/>
  <c r="Q174" i="2"/>
  <c r="O174" i="2"/>
  <c r="M174" i="2"/>
  <c r="K174" i="2"/>
  <c r="I174" i="2"/>
  <c r="G174" i="2"/>
  <c r="AM174" i="2" s="1"/>
  <c r="E174" i="2"/>
  <c r="AK173" i="2"/>
  <c r="AI173" i="2"/>
  <c r="AG173" i="2"/>
  <c r="AE173" i="2"/>
  <c r="AC173" i="2"/>
  <c r="AA173" i="2"/>
  <c r="Y173" i="2"/>
  <c r="W173" i="2"/>
  <c r="U173" i="2"/>
  <c r="S173" i="2"/>
  <c r="Q173" i="2"/>
  <c r="O173" i="2"/>
  <c r="M173" i="2"/>
  <c r="K173" i="2"/>
  <c r="I173" i="2"/>
  <c r="G173" i="2"/>
  <c r="E173" i="2"/>
  <c r="AM173" i="2" s="1"/>
  <c r="AK172" i="2"/>
  <c r="AI172" i="2"/>
  <c r="AG172" i="2"/>
  <c r="AE172" i="2"/>
  <c r="AC172" i="2"/>
  <c r="AA172" i="2"/>
  <c r="Y172" i="2"/>
  <c r="W172" i="2"/>
  <c r="U172" i="2"/>
  <c r="S172" i="2"/>
  <c r="Q172" i="2"/>
  <c r="O172" i="2"/>
  <c r="M172" i="2"/>
  <c r="K172" i="2"/>
  <c r="I172" i="2"/>
  <c r="G172" i="2"/>
  <c r="AM172" i="2" s="1"/>
  <c r="E172" i="2"/>
  <c r="AK171" i="2"/>
  <c r="AI171" i="2"/>
  <c r="AG171" i="2"/>
  <c r="AE171" i="2"/>
  <c r="AC171" i="2"/>
  <c r="AA171" i="2"/>
  <c r="Y171" i="2"/>
  <c r="W171" i="2"/>
  <c r="U171" i="2"/>
  <c r="S171" i="2"/>
  <c r="Q171" i="2"/>
  <c r="O171" i="2"/>
  <c r="M171" i="2"/>
  <c r="K171" i="2"/>
  <c r="I171" i="2"/>
  <c r="G171" i="2"/>
  <c r="E171" i="2"/>
  <c r="AM171" i="2" s="1"/>
  <c r="AK170" i="2"/>
  <c r="AI170" i="2"/>
  <c r="AG170" i="2"/>
  <c r="AE170" i="2"/>
  <c r="AC170" i="2"/>
  <c r="AA170" i="2"/>
  <c r="Y170" i="2"/>
  <c r="W170" i="2"/>
  <c r="U170" i="2"/>
  <c r="S170" i="2"/>
  <c r="Q170" i="2"/>
  <c r="O170" i="2"/>
  <c r="M170" i="2"/>
  <c r="K170" i="2"/>
  <c r="I170" i="2"/>
  <c r="G170" i="2"/>
  <c r="AM170" i="2" s="1"/>
  <c r="E170" i="2"/>
  <c r="AK169" i="2"/>
  <c r="AI169" i="2"/>
  <c r="AG169" i="2"/>
  <c r="AE169" i="2"/>
  <c r="AC169" i="2"/>
  <c r="AA169" i="2"/>
  <c r="Y169" i="2"/>
  <c r="W169" i="2"/>
  <c r="U169" i="2"/>
  <c r="S169" i="2"/>
  <c r="Q169" i="2"/>
  <c r="O169" i="2"/>
  <c r="M169" i="2"/>
  <c r="K169" i="2"/>
  <c r="I169" i="2"/>
  <c r="G169" i="2"/>
  <c r="E169" i="2"/>
  <c r="AM169" i="2" s="1"/>
  <c r="AK168" i="2"/>
  <c r="AI168" i="2"/>
  <c r="AG168" i="2"/>
  <c r="AE168" i="2"/>
  <c r="AC168" i="2"/>
  <c r="AA168" i="2"/>
  <c r="Y168" i="2"/>
  <c r="W168" i="2"/>
  <c r="U168" i="2"/>
  <c r="S168" i="2"/>
  <c r="Q168" i="2"/>
  <c r="O168" i="2"/>
  <c r="M168" i="2"/>
  <c r="K168" i="2"/>
  <c r="I168" i="2"/>
  <c r="G168" i="2"/>
  <c r="AM168" i="2" s="1"/>
  <c r="E168" i="2"/>
  <c r="AK167" i="2"/>
  <c r="AI167" i="2"/>
  <c r="AG167" i="2"/>
  <c r="AE167" i="2"/>
  <c r="AC167" i="2"/>
  <c r="AA167" i="2"/>
  <c r="Y167" i="2"/>
  <c r="W167" i="2"/>
  <c r="U167" i="2"/>
  <c r="S167" i="2"/>
  <c r="Q167" i="2"/>
  <c r="O167" i="2"/>
  <c r="M167" i="2"/>
  <c r="K167" i="2"/>
  <c r="I167" i="2"/>
  <c r="G167" i="2"/>
  <c r="E167" i="2"/>
  <c r="AM167" i="2" s="1"/>
  <c r="AK166" i="2"/>
  <c r="AI166" i="2"/>
  <c r="AG166" i="2"/>
  <c r="AE166" i="2"/>
  <c r="AC166" i="2"/>
  <c r="AA166" i="2"/>
  <c r="Y166" i="2"/>
  <c r="W166" i="2"/>
  <c r="U166" i="2"/>
  <c r="S166" i="2"/>
  <c r="Q166" i="2"/>
  <c r="O166" i="2"/>
  <c r="M166" i="2"/>
  <c r="K166" i="2"/>
  <c r="I166" i="2"/>
  <c r="G166" i="2"/>
  <c r="AM166" i="2" s="1"/>
  <c r="E166" i="2"/>
  <c r="AK165" i="2"/>
  <c r="AI165" i="2"/>
  <c r="AG165" i="2"/>
  <c r="AE165" i="2"/>
  <c r="AC165" i="2"/>
  <c r="AA165" i="2"/>
  <c r="Y165" i="2"/>
  <c r="W165" i="2"/>
  <c r="U165" i="2"/>
  <c r="S165" i="2"/>
  <c r="Q165" i="2"/>
  <c r="O165" i="2"/>
  <c r="M165" i="2"/>
  <c r="K165" i="2"/>
  <c r="I165" i="2"/>
  <c r="G165" i="2"/>
  <c r="E165" i="2"/>
  <c r="AM165" i="2" s="1"/>
  <c r="AK164" i="2"/>
  <c r="AI164" i="2"/>
  <c r="AG164" i="2"/>
  <c r="AE164" i="2"/>
  <c r="AC164" i="2"/>
  <c r="AA164" i="2"/>
  <c r="Y164" i="2"/>
  <c r="W164" i="2"/>
  <c r="U164" i="2"/>
  <c r="S164" i="2"/>
  <c r="Q164" i="2"/>
  <c r="O164" i="2"/>
  <c r="M164" i="2"/>
  <c r="K164" i="2"/>
  <c r="I164" i="2"/>
  <c r="G164" i="2"/>
  <c r="AM164" i="2" s="1"/>
  <c r="E164" i="2"/>
  <c r="AK163" i="2"/>
  <c r="AI163" i="2"/>
  <c r="AG163" i="2"/>
  <c r="AE163" i="2"/>
  <c r="AC163" i="2"/>
  <c r="AA163" i="2"/>
  <c r="Y163" i="2"/>
  <c r="W163" i="2"/>
  <c r="U163" i="2"/>
  <c r="S163" i="2"/>
  <c r="Q163" i="2"/>
  <c r="O163" i="2"/>
  <c r="M163" i="2"/>
  <c r="K163" i="2"/>
  <c r="I163" i="2"/>
  <c r="G163" i="2"/>
  <c r="E163" i="2"/>
  <c r="AM163" i="2" s="1"/>
  <c r="AK162" i="2"/>
  <c r="AI162" i="2"/>
  <c r="AG162" i="2"/>
  <c r="AE162" i="2"/>
  <c r="AC162" i="2"/>
  <c r="AA162" i="2"/>
  <c r="Y162" i="2"/>
  <c r="W162" i="2"/>
  <c r="U162" i="2"/>
  <c r="S162" i="2"/>
  <c r="Q162" i="2"/>
  <c r="O162" i="2"/>
  <c r="M162" i="2"/>
  <c r="K162" i="2"/>
  <c r="I162" i="2"/>
  <c r="G162" i="2"/>
  <c r="AM162" i="2" s="1"/>
  <c r="E162" i="2"/>
  <c r="AK161" i="2"/>
  <c r="AI161" i="2"/>
  <c r="AG161" i="2"/>
  <c r="AE161" i="2"/>
  <c r="AC161" i="2"/>
  <c r="AA161" i="2"/>
  <c r="Y161" i="2"/>
  <c r="W161" i="2"/>
  <c r="U161" i="2"/>
  <c r="S161" i="2"/>
  <c r="Q161" i="2"/>
  <c r="O161" i="2"/>
  <c r="M161" i="2"/>
  <c r="K161" i="2"/>
  <c r="I161" i="2"/>
  <c r="G161" i="2"/>
  <c r="E161" i="2"/>
  <c r="AM161" i="2" s="1"/>
  <c r="AK160" i="2"/>
  <c r="AI160" i="2"/>
  <c r="AG160" i="2"/>
  <c r="AE160" i="2"/>
  <c r="AC160" i="2"/>
  <c r="AA160" i="2"/>
  <c r="Y160" i="2"/>
  <c r="W160" i="2"/>
  <c r="U160" i="2"/>
  <c r="S160" i="2"/>
  <c r="Q160" i="2"/>
  <c r="O160" i="2"/>
  <c r="M160" i="2"/>
  <c r="K160" i="2"/>
  <c r="I160" i="2"/>
  <c r="G160" i="2"/>
  <c r="AM160" i="2" s="1"/>
  <c r="E160" i="2"/>
  <c r="AK159" i="2"/>
  <c r="AI159" i="2"/>
  <c r="AG159" i="2"/>
  <c r="AE159" i="2"/>
  <c r="AC159" i="2"/>
  <c r="AA159" i="2"/>
  <c r="Y159" i="2"/>
  <c r="W159" i="2"/>
  <c r="U159" i="2"/>
  <c r="S159" i="2"/>
  <c r="Q159" i="2"/>
  <c r="O159" i="2"/>
  <c r="M159" i="2"/>
  <c r="K159" i="2"/>
  <c r="I159" i="2"/>
  <c r="G159" i="2"/>
  <c r="E159" i="2"/>
  <c r="AM159" i="2" s="1"/>
  <c r="AK158" i="2"/>
  <c r="AI158" i="2"/>
  <c r="AG158" i="2"/>
  <c r="AE158" i="2"/>
  <c r="AC158" i="2"/>
  <c r="AA158" i="2"/>
  <c r="Y158" i="2"/>
  <c r="W158" i="2"/>
  <c r="U158" i="2"/>
  <c r="S158" i="2"/>
  <c r="Q158" i="2"/>
  <c r="O158" i="2"/>
  <c r="M158" i="2"/>
  <c r="K158" i="2"/>
  <c r="I158" i="2"/>
  <c r="G158" i="2"/>
  <c r="AM158" i="2" s="1"/>
  <c r="E158" i="2"/>
  <c r="AK157" i="2"/>
  <c r="AI157" i="2"/>
  <c r="AG157" i="2"/>
  <c r="AE157" i="2"/>
  <c r="AC157" i="2"/>
  <c r="AA157" i="2"/>
  <c r="Y157" i="2"/>
  <c r="W157" i="2"/>
  <c r="U157" i="2"/>
  <c r="S157" i="2"/>
  <c r="Q157" i="2"/>
  <c r="O157" i="2"/>
  <c r="M157" i="2"/>
  <c r="K157" i="2"/>
  <c r="I157" i="2"/>
  <c r="G157" i="2"/>
  <c r="E157" i="2"/>
  <c r="AM157" i="2" s="1"/>
  <c r="AK156" i="2"/>
  <c r="AK155" i="2"/>
  <c r="AM155" i="2" s="1"/>
  <c r="AK154" i="2"/>
  <c r="AI154" i="2"/>
  <c r="AG154" i="2"/>
  <c r="AE154" i="2"/>
  <c r="AC154" i="2"/>
  <c r="AA154" i="2"/>
  <c r="Y154" i="2"/>
  <c r="W154" i="2"/>
  <c r="U154" i="2"/>
  <c r="S154" i="2"/>
  <c r="Q154" i="2"/>
  <c r="O154" i="2"/>
  <c r="M154" i="2"/>
  <c r="K154" i="2"/>
  <c r="I154" i="2"/>
  <c r="G154" i="2"/>
  <c r="AM154" i="2" s="1"/>
  <c r="E154" i="2"/>
  <c r="AK153" i="2"/>
  <c r="AI153" i="2"/>
  <c r="AG153" i="2"/>
  <c r="AE153" i="2"/>
  <c r="AC153" i="2"/>
  <c r="AA153" i="2"/>
  <c r="Y153" i="2"/>
  <c r="W153" i="2"/>
  <c r="U153" i="2"/>
  <c r="S153" i="2"/>
  <c r="Q153" i="2"/>
  <c r="O153" i="2"/>
  <c r="M153" i="2"/>
  <c r="K153" i="2"/>
  <c r="I153" i="2"/>
  <c r="G153" i="2"/>
  <c r="E153" i="2"/>
  <c r="AM153" i="2" s="1"/>
  <c r="AK152" i="2"/>
  <c r="AI152" i="2"/>
  <c r="AG152" i="2"/>
  <c r="AE152" i="2"/>
  <c r="AC152" i="2"/>
  <c r="AA152" i="2"/>
  <c r="Y152" i="2"/>
  <c r="W152" i="2"/>
  <c r="U152" i="2"/>
  <c r="S152" i="2"/>
  <c r="Q152" i="2"/>
  <c r="O152" i="2"/>
  <c r="M152" i="2"/>
  <c r="K152" i="2"/>
  <c r="I152" i="2"/>
  <c r="G152" i="2"/>
  <c r="AM152" i="2" s="1"/>
  <c r="E152" i="2"/>
  <c r="AK151" i="2"/>
  <c r="AI151" i="2"/>
  <c r="AG151" i="2"/>
  <c r="AE151" i="2"/>
  <c r="AC151" i="2"/>
  <c r="AA151" i="2"/>
  <c r="Y151" i="2"/>
  <c r="W151" i="2"/>
  <c r="U151" i="2"/>
  <c r="S151" i="2"/>
  <c r="Q151" i="2"/>
  <c r="O151" i="2"/>
  <c r="M151" i="2"/>
  <c r="K151" i="2"/>
  <c r="I151" i="2"/>
  <c r="G151" i="2"/>
  <c r="E151" i="2"/>
  <c r="AM151" i="2" s="1"/>
  <c r="AK150" i="2"/>
  <c r="AI150" i="2"/>
  <c r="AG150" i="2"/>
  <c r="AE150" i="2"/>
  <c r="AC150" i="2"/>
  <c r="AA150" i="2"/>
  <c r="Y150" i="2"/>
  <c r="W150" i="2"/>
  <c r="U150" i="2"/>
  <c r="S150" i="2"/>
  <c r="Q150" i="2"/>
  <c r="O150" i="2"/>
  <c r="M150" i="2"/>
  <c r="K150" i="2"/>
  <c r="I150" i="2"/>
  <c r="G150" i="2"/>
  <c r="AM150" i="2" s="1"/>
  <c r="E150" i="2"/>
  <c r="AK149" i="2"/>
  <c r="AI149" i="2"/>
  <c r="AG149" i="2"/>
  <c r="AE149" i="2"/>
  <c r="AC149" i="2"/>
  <c r="AA149" i="2"/>
  <c r="Y149" i="2"/>
  <c r="W149" i="2"/>
  <c r="U149" i="2"/>
  <c r="S149" i="2"/>
  <c r="Q149" i="2"/>
  <c r="O149" i="2"/>
  <c r="M149" i="2"/>
  <c r="K149" i="2"/>
  <c r="I149" i="2"/>
  <c r="G149" i="2"/>
  <c r="E149" i="2"/>
  <c r="AM149" i="2" s="1"/>
  <c r="AK148" i="2"/>
  <c r="AI148" i="2"/>
  <c r="AG148" i="2"/>
  <c r="AE148" i="2"/>
  <c r="AC148" i="2"/>
  <c r="AA148" i="2"/>
  <c r="Y148" i="2"/>
  <c r="W148" i="2"/>
  <c r="U148" i="2"/>
  <c r="S148" i="2"/>
  <c r="Q148" i="2"/>
  <c r="O148" i="2"/>
  <c r="M148" i="2"/>
  <c r="K148" i="2"/>
  <c r="I148" i="2"/>
  <c r="G148" i="2"/>
  <c r="AM148" i="2" s="1"/>
  <c r="E148" i="2"/>
  <c r="AK147" i="2"/>
  <c r="AI147" i="2"/>
  <c r="AG147" i="2"/>
  <c r="AE147" i="2"/>
  <c r="AC147" i="2"/>
  <c r="AA147" i="2"/>
  <c r="Y147" i="2"/>
  <c r="W147" i="2"/>
  <c r="U147" i="2"/>
  <c r="S147" i="2"/>
  <c r="Q147" i="2"/>
  <c r="O147" i="2"/>
  <c r="M147" i="2"/>
  <c r="K147" i="2"/>
  <c r="I147" i="2"/>
  <c r="G147" i="2"/>
  <c r="E147" i="2"/>
  <c r="AM147" i="2" s="1"/>
  <c r="AK146" i="2"/>
  <c r="AI146" i="2"/>
  <c r="AG146" i="2"/>
  <c r="AE146" i="2"/>
  <c r="AC146" i="2"/>
  <c r="AA146" i="2"/>
  <c r="Y146" i="2"/>
  <c r="W146" i="2"/>
  <c r="U146" i="2"/>
  <c r="S146" i="2"/>
  <c r="Q146" i="2"/>
  <c r="O146" i="2"/>
  <c r="M146" i="2"/>
  <c r="K146" i="2"/>
  <c r="I146" i="2"/>
  <c r="G146" i="2"/>
  <c r="AM146" i="2" s="1"/>
  <c r="E146" i="2"/>
  <c r="AK145" i="2"/>
  <c r="AI145" i="2"/>
  <c r="AG145" i="2"/>
  <c r="AE145" i="2"/>
  <c r="AC145" i="2"/>
  <c r="AA145" i="2"/>
  <c r="Y145" i="2"/>
  <c r="W145" i="2"/>
  <c r="U145" i="2"/>
  <c r="S145" i="2"/>
  <c r="Q145" i="2"/>
  <c r="O145" i="2"/>
  <c r="M145" i="2"/>
  <c r="K145" i="2"/>
  <c r="I145" i="2"/>
  <c r="G145" i="2"/>
  <c r="E145" i="2"/>
  <c r="AM145" i="2" s="1"/>
  <c r="AK144" i="2"/>
  <c r="AI144" i="2"/>
  <c r="AG144" i="2"/>
  <c r="AE144" i="2"/>
  <c r="AC144" i="2"/>
  <c r="AA144" i="2"/>
  <c r="Y144" i="2"/>
  <c r="W144" i="2"/>
  <c r="U144" i="2"/>
  <c r="S144" i="2"/>
  <c r="Q144" i="2"/>
  <c r="O144" i="2"/>
  <c r="M144" i="2"/>
  <c r="K144" i="2"/>
  <c r="I144" i="2"/>
  <c r="G144" i="2"/>
  <c r="AM144" i="2" s="1"/>
  <c r="E144" i="2"/>
  <c r="AK143" i="2"/>
  <c r="AI143" i="2"/>
  <c r="AG143" i="2"/>
  <c r="AE143" i="2"/>
  <c r="AC143" i="2"/>
  <c r="AA143" i="2"/>
  <c r="Y143" i="2"/>
  <c r="W143" i="2"/>
  <c r="U143" i="2"/>
  <c r="S143" i="2"/>
  <c r="Q143" i="2"/>
  <c r="O143" i="2"/>
  <c r="M143" i="2"/>
  <c r="K143" i="2"/>
  <c r="I143" i="2"/>
  <c r="G143" i="2"/>
  <c r="E143" i="2"/>
  <c r="AM143" i="2" s="1"/>
  <c r="AK142" i="2"/>
  <c r="AI142" i="2"/>
  <c r="AG142" i="2"/>
  <c r="AE142" i="2"/>
  <c r="AC142" i="2"/>
  <c r="AA142" i="2"/>
  <c r="Y142" i="2"/>
  <c r="W142" i="2"/>
  <c r="U142" i="2"/>
  <c r="S142" i="2"/>
  <c r="Q142" i="2"/>
  <c r="O142" i="2"/>
  <c r="M142" i="2"/>
  <c r="K142" i="2"/>
  <c r="I142" i="2"/>
  <c r="G142" i="2"/>
  <c r="AM142" i="2" s="1"/>
  <c r="E142" i="2"/>
  <c r="AK141" i="2"/>
  <c r="AI141" i="2"/>
  <c r="AG141" i="2"/>
  <c r="AE141" i="2"/>
  <c r="AC141" i="2"/>
  <c r="AA141" i="2"/>
  <c r="Y141" i="2"/>
  <c r="W141" i="2"/>
  <c r="U141" i="2"/>
  <c r="S141" i="2"/>
  <c r="Q141" i="2"/>
  <c r="O141" i="2"/>
  <c r="M141" i="2"/>
  <c r="K141" i="2"/>
  <c r="I141" i="2"/>
  <c r="G141" i="2"/>
  <c r="E141" i="2"/>
  <c r="AM141" i="2" s="1"/>
  <c r="AK140" i="2"/>
  <c r="AI140" i="2"/>
  <c r="AG140" i="2"/>
  <c r="AE140" i="2"/>
  <c r="AC140" i="2"/>
  <c r="AA140" i="2"/>
  <c r="Y140" i="2"/>
  <c r="W140" i="2"/>
  <c r="U140" i="2"/>
  <c r="S140" i="2"/>
  <c r="Q140" i="2"/>
  <c r="O140" i="2"/>
  <c r="M140" i="2"/>
  <c r="K140" i="2"/>
  <c r="I140" i="2"/>
  <c r="G140" i="2"/>
  <c r="AM140" i="2" s="1"/>
  <c r="E140" i="2"/>
  <c r="AK139" i="2"/>
  <c r="AI139" i="2"/>
  <c r="AG139" i="2"/>
  <c r="AE139" i="2"/>
  <c r="AC139" i="2"/>
  <c r="AA139" i="2"/>
  <c r="Y139" i="2"/>
  <c r="W139" i="2"/>
  <c r="U139" i="2"/>
  <c r="S139" i="2"/>
  <c r="Q139" i="2"/>
  <c r="O139" i="2"/>
  <c r="M139" i="2"/>
  <c r="K139" i="2"/>
  <c r="I139" i="2"/>
  <c r="G139" i="2"/>
  <c r="E139" i="2"/>
  <c r="AM139" i="2" s="1"/>
  <c r="AK138" i="2"/>
  <c r="AI138" i="2"/>
  <c r="AG138" i="2"/>
  <c r="AE138" i="2"/>
  <c r="AC138" i="2"/>
  <c r="AA138" i="2"/>
  <c r="Y138" i="2"/>
  <c r="W138" i="2"/>
  <c r="U138" i="2"/>
  <c r="S138" i="2"/>
  <c r="Q138" i="2"/>
  <c r="O138" i="2"/>
  <c r="M138" i="2"/>
  <c r="K138" i="2"/>
  <c r="I138" i="2"/>
  <c r="G138" i="2"/>
  <c r="AM138" i="2" s="1"/>
  <c r="E138" i="2"/>
  <c r="AK137" i="2"/>
  <c r="AI137" i="2"/>
  <c r="AG137" i="2"/>
  <c r="AE137" i="2"/>
  <c r="AC137" i="2"/>
  <c r="AA137" i="2"/>
  <c r="Y137" i="2"/>
  <c r="W137" i="2"/>
  <c r="U137" i="2"/>
  <c r="S137" i="2"/>
  <c r="Q137" i="2"/>
  <c r="O137" i="2"/>
  <c r="M137" i="2"/>
  <c r="K137" i="2"/>
  <c r="I137" i="2"/>
  <c r="G137" i="2"/>
  <c r="E137" i="2"/>
  <c r="AM137" i="2" s="1"/>
  <c r="AK136" i="2"/>
  <c r="AI136" i="2"/>
  <c r="AG136" i="2"/>
  <c r="AE136" i="2"/>
  <c r="AC136" i="2"/>
  <c r="AA136" i="2"/>
  <c r="Y136" i="2"/>
  <c r="W136" i="2"/>
  <c r="U136" i="2"/>
  <c r="S136" i="2"/>
  <c r="Q136" i="2"/>
  <c r="O136" i="2"/>
  <c r="M136" i="2"/>
  <c r="K136" i="2"/>
  <c r="I136" i="2"/>
  <c r="G136" i="2"/>
  <c r="AM136" i="2" s="1"/>
  <c r="E136" i="2"/>
  <c r="AK135" i="2"/>
  <c r="AI135" i="2"/>
  <c r="AG135" i="2"/>
  <c r="AE135" i="2"/>
  <c r="AC135" i="2"/>
  <c r="AA135" i="2"/>
  <c r="Y135" i="2"/>
  <c r="W135" i="2"/>
  <c r="U135" i="2"/>
  <c r="S135" i="2"/>
  <c r="Q135" i="2"/>
  <c r="O135" i="2"/>
  <c r="M135" i="2"/>
  <c r="K135" i="2"/>
  <c r="I135" i="2"/>
  <c r="G135" i="2"/>
  <c r="E135" i="2"/>
  <c r="AM135" i="2" s="1"/>
  <c r="AK134" i="2"/>
  <c r="AI134" i="2"/>
  <c r="AG134" i="2"/>
  <c r="AE134" i="2"/>
  <c r="AC134" i="2"/>
  <c r="AA134" i="2"/>
  <c r="Y134" i="2"/>
  <c r="W134" i="2"/>
  <c r="U134" i="2"/>
  <c r="S134" i="2"/>
  <c r="Q134" i="2"/>
  <c r="O134" i="2"/>
  <c r="M134" i="2"/>
  <c r="K134" i="2"/>
  <c r="I134" i="2"/>
  <c r="G134" i="2"/>
  <c r="AM134" i="2" s="1"/>
  <c r="E134" i="2"/>
  <c r="AK133" i="2"/>
  <c r="AI133" i="2"/>
  <c r="AG133" i="2"/>
  <c r="AE133" i="2"/>
  <c r="AC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AM133" i="2" s="1"/>
  <c r="AK132" i="2"/>
  <c r="AI132" i="2"/>
  <c r="AG132" i="2"/>
  <c r="AE132" i="2"/>
  <c r="AC132" i="2"/>
  <c r="AA132" i="2"/>
  <c r="Y132" i="2"/>
  <c r="W132" i="2"/>
  <c r="U132" i="2"/>
  <c r="S132" i="2"/>
  <c r="Q132" i="2"/>
  <c r="O132" i="2"/>
  <c r="M132" i="2"/>
  <c r="K132" i="2"/>
  <c r="I132" i="2"/>
  <c r="G132" i="2"/>
  <c r="AM132" i="2" s="1"/>
  <c r="E132" i="2"/>
  <c r="AK131" i="2"/>
  <c r="AI131" i="2"/>
  <c r="AG131" i="2"/>
  <c r="AE131" i="2"/>
  <c r="AC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AM131" i="2" s="1"/>
  <c r="AK130" i="2"/>
  <c r="AI130" i="2"/>
  <c r="AG130" i="2"/>
  <c r="AE130" i="2"/>
  <c r="AC130" i="2"/>
  <c r="AA130" i="2"/>
  <c r="Y130" i="2"/>
  <c r="W130" i="2"/>
  <c r="U130" i="2"/>
  <c r="S130" i="2"/>
  <c r="Q130" i="2"/>
  <c r="O130" i="2"/>
  <c r="M130" i="2"/>
  <c r="K130" i="2"/>
  <c r="I130" i="2"/>
  <c r="G130" i="2"/>
  <c r="AM130" i="2" s="1"/>
  <c r="E130" i="2"/>
  <c r="AK129" i="2"/>
  <c r="AI129" i="2"/>
  <c r="AG129" i="2"/>
  <c r="AE129" i="2"/>
  <c r="AC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AM129" i="2" s="1"/>
  <c r="AK128" i="2"/>
  <c r="AI128" i="2"/>
  <c r="AG128" i="2"/>
  <c r="AE128" i="2"/>
  <c r="AC128" i="2"/>
  <c r="AA128" i="2"/>
  <c r="Y128" i="2"/>
  <c r="W128" i="2"/>
  <c r="U128" i="2"/>
  <c r="S128" i="2"/>
  <c r="Q128" i="2"/>
  <c r="O128" i="2"/>
  <c r="M128" i="2"/>
  <c r="K128" i="2"/>
  <c r="I128" i="2"/>
  <c r="G128" i="2"/>
  <c r="AM128" i="2" s="1"/>
  <c r="E128" i="2"/>
  <c r="AK127" i="2"/>
  <c r="AI127" i="2"/>
  <c r="AG127" i="2"/>
  <c r="AE127" i="2"/>
  <c r="AC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AM127" i="2" s="1"/>
  <c r="AK126" i="2"/>
  <c r="AI126" i="2"/>
  <c r="AG126" i="2"/>
  <c r="AE126" i="2"/>
  <c r="AC126" i="2"/>
  <c r="AA126" i="2"/>
  <c r="Y126" i="2"/>
  <c r="W126" i="2"/>
  <c r="U126" i="2"/>
  <c r="S126" i="2"/>
  <c r="Q126" i="2"/>
  <c r="O126" i="2"/>
  <c r="M126" i="2"/>
  <c r="K126" i="2"/>
  <c r="I126" i="2"/>
  <c r="G126" i="2"/>
  <c r="AM126" i="2" s="1"/>
  <c r="E126" i="2"/>
  <c r="AK125" i="2"/>
  <c r="AI125" i="2"/>
  <c r="AG125" i="2"/>
  <c r="AE125" i="2"/>
  <c r="AC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AM125" i="2" s="1"/>
  <c r="AK124" i="2"/>
  <c r="AI124" i="2"/>
  <c r="AG124" i="2"/>
  <c r="AE124" i="2"/>
  <c r="AC124" i="2"/>
  <c r="AA124" i="2"/>
  <c r="Y124" i="2"/>
  <c r="W124" i="2"/>
  <c r="U124" i="2"/>
  <c r="S124" i="2"/>
  <c r="Q124" i="2"/>
  <c r="O124" i="2"/>
  <c r="M124" i="2"/>
  <c r="K124" i="2"/>
  <c r="I124" i="2"/>
  <c r="G124" i="2"/>
  <c r="AM124" i="2" s="1"/>
  <c r="E124" i="2"/>
  <c r="AK123" i="2"/>
  <c r="AI123" i="2"/>
  <c r="AG123" i="2"/>
  <c r="AE123" i="2"/>
  <c r="AC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AM123" i="2" s="1"/>
  <c r="AK122" i="2"/>
  <c r="AI122" i="2"/>
  <c r="AG122" i="2"/>
  <c r="AE122" i="2"/>
  <c r="AC122" i="2"/>
  <c r="AA122" i="2"/>
  <c r="Y122" i="2"/>
  <c r="W122" i="2"/>
  <c r="U122" i="2"/>
  <c r="S122" i="2"/>
  <c r="Q122" i="2"/>
  <c r="O122" i="2"/>
  <c r="M122" i="2"/>
  <c r="K122" i="2"/>
  <c r="I122" i="2"/>
  <c r="G122" i="2"/>
  <c r="AM122" i="2" s="1"/>
  <c r="E122" i="2"/>
  <c r="AK121" i="2"/>
  <c r="AI121" i="2"/>
  <c r="AG121" i="2"/>
  <c r="AE121" i="2"/>
  <c r="AC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AM121" i="2" s="1"/>
  <c r="AK120" i="2"/>
  <c r="AI120" i="2"/>
  <c r="AG120" i="2"/>
  <c r="AE120" i="2"/>
  <c r="AC120" i="2"/>
  <c r="AA120" i="2"/>
  <c r="Y120" i="2"/>
  <c r="W120" i="2"/>
  <c r="U120" i="2"/>
  <c r="S120" i="2"/>
  <c r="Q120" i="2"/>
  <c r="O120" i="2"/>
  <c r="M120" i="2"/>
  <c r="K120" i="2"/>
  <c r="I120" i="2"/>
  <c r="G120" i="2"/>
  <c r="AM120" i="2" s="1"/>
  <c r="E120" i="2"/>
  <c r="AK119" i="2"/>
  <c r="AI119" i="2"/>
  <c r="AG119" i="2"/>
  <c r="AE119" i="2"/>
  <c r="AC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AM119" i="2" s="1"/>
  <c r="AK118" i="2"/>
  <c r="AI118" i="2"/>
  <c r="AG118" i="2"/>
  <c r="AE118" i="2"/>
  <c r="AC118" i="2"/>
  <c r="AA118" i="2"/>
  <c r="Y118" i="2"/>
  <c r="W118" i="2"/>
  <c r="U118" i="2"/>
  <c r="S118" i="2"/>
  <c r="Q118" i="2"/>
  <c r="O118" i="2"/>
  <c r="M118" i="2"/>
  <c r="K118" i="2"/>
  <c r="I118" i="2"/>
  <c r="G118" i="2"/>
  <c r="AM118" i="2" s="1"/>
  <c r="E118" i="2"/>
  <c r="AK117" i="2"/>
  <c r="AI117" i="2"/>
  <c r="AG117" i="2"/>
  <c r="AE117" i="2"/>
  <c r="AC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AM117" i="2" s="1"/>
  <c r="AK116" i="2"/>
  <c r="AI116" i="2"/>
  <c r="AG116" i="2"/>
  <c r="AE116" i="2"/>
  <c r="AC116" i="2"/>
  <c r="AA116" i="2"/>
  <c r="Y116" i="2"/>
  <c r="W116" i="2"/>
  <c r="U116" i="2"/>
  <c r="S116" i="2"/>
  <c r="Q116" i="2"/>
  <c r="O116" i="2"/>
  <c r="M116" i="2"/>
  <c r="K116" i="2"/>
  <c r="I116" i="2"/>
  <c r="G116" i="2"/>
  <c r="AM116" i="2" s="1"/>
  <c r="E116" i="2"/>
  <c r="AK115" i="2"/>
  <c r="AI115" i="2"/>
  <c r="AG115" i="2"/>
  <c r="AE115" i="2"/>
  <c r="AC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AM115" i="2" s="1"/>
  <c r="AK114" i="2"/>
  <c r="AI114" i="2"/>
  <c r="AG114" i="2"/>
  <c r="AE114" i="2"/>
  <c r="AC114" i="2"/>
  <c r="AA114" i="2"/>
  <c r="Y114" i="2"/>
  <c r="W114" i="2"/>
  <c r="U114" i="2"/>
  <c r="S114" i="2"/>
  <c r="Q114" i="2"/>
  <c r="O114" i="2"/>
  <c r="M114" i="2"/>
  <c r="K114" i="2"/>
  <c r="I114" i="2"/>
  <c r="G114" i="2"/>
  <c r="AM114" i="2" s="1"/>
  <c r="E114" i="2"/>
  <c r="AK113" i="2"/>
  <c r="AI113" i="2"/>
  <c r="AG113" i="2"/>
  <c r="AE113" i="2"/>
  <c r="AC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AM113" i="2" s="1"/>
  <c r="AK112" i="2"/>
  <c r="AI112" i="2"/>
  <c r="AG112" i="2"/>
  <c r="AE112" i="2"/>
  <c r="AC112" i="2"/>
  <c r="AA112" i="2"/>
  <c r="Y112" i="2"/>
  <c r="W112" i="2"/>
  <c r="U112" i="2"/>
  <c r="S112" i="2"/>
  <c r="Q112" i="2"/>
  <c r="O112" i="2"/>
  <c r="M112" i="2"/>
  <c r="K112" i="2"/>
  <c r="I112" i="2"/>
  <c r="G112" i="2"/>
  <c r="AM112" i="2" s="1"/>
  <c r="E112" i="2"/>
  <c r="AK111" i="2"/>
  <c r="AI111" i="2"/>
  <c r="AG111" i="2"/>
  <c r="AE111" i="2"/>
  <c r="AC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AM111" i="2" s="1"/>
  <c r="AK110" i="2"/>
  <c r="AI110" i="2"/>
  <c r="AG110" i="2"/>
  <c r="AE110" i="2"/>
  <c r="AC110" i="2"/>
  <c r="AA110" i="2"/>
  <c r="Y110" i="2"/>
  <c r="W110" i="2"/>
  <c r="U110" i="2"/>
  <c r="S110" i="2"/>
  <c r="Q110" i="2"/>
  <c r="O110" i="2"/>
  <c r="M110" i="2"/>
  <c r="K110" i="2"/>
  <c r="I110" i="2"/>
  <c r="G110" i="2"/>
  <c r="AM110" i="2" s="1"/>
  <c r="E110" i="2"/>
  <c r="AK109" i="2"/>
  <c r="AI109" i="2"/>
  <c r="AG109" i="2"/>
  <c r="AE109" i="2"/>
  <c r="AC109" i="2"/>
  <c r="AA109" i="2"/>
  <c r="Y109" i="2"/>
  <c r="W109" i="2"/>
  <c r="U109" i="2"/>
  <c r="S109" i="2"/>
  <c r="Q109" i="2"/>
  <c r="O109" i="2"/>
  <c r="M109" i="2"/>
  <c r="K109" i="2"/>
  <c r="I109" i="2"/>
  <c r="G109" i="2"/>
  <c r="E109" i="2"/>
  <c r="AM109" i="2" s="1"/>
  <c r="AK108" i="2"/>
  <c r="AI108" i="2"/>
  <c r="AG108" i="2"/>
  <c r="AE108" i="2"/>
  <c r="AC108" i="2"/>
  <c r="AA108" i="2"/>
  <c r="Y108" i="2"/>
  <c r="W108" i="2"/>
  <c r="U108" i="2"/>
  <c r="S108" i="2"/>
  <c r="Q108" i="2"/>
  <c r="O108" i="2"/>
  <c r="M108" i="2"/>
  <c r="K108" i="2"/>
  <c r="I108" i="2"/>
  <c r="G108" i="2"/>
  <c r="AM108" i="2" s="1"/>
  <c r="E108" i="2"/>
  <c r="AK107" i="2"/>
  <c r="AI107" i="2"/>
  <c r="AG107" i="2"/>
  <c r="AE107" i="2"/>
  <c r="AC107" i="2"/>
  <c r="AA107" i="2"/>
  <c r="Y107" i="2"/>
  <c r="W107" i="2"/>
  <c r="U107" i="2"/>
  <c r="S107" i="2"/>
  <c r="Q107" i="2"/>
  <c r="O107" i="2"/>
  <c r="M107" i="2"/>
  <c r="K107" i="2"/>
  <c r="I107" i="2"/>
  <c r="G107" i="2"/>
  <c r="E107" i="2"/>
  <c r="AM107" i="2" s="1"/>
  <c r="AK106" i="2"/>
  <c r="AI106" i="2"/>
  <c r="AG106" i="2"/>
  <c r="AE106" i="2"/>
  <c r="AC106" i="2"/>
  <c r="AA106" i="2"/>
  <c r="Y106" i="2"/>
  <c r="W106" i="2"/>
  <c r="U106" i="2"/>
  <c r="S106" i="2"/>
  <c r="Q106" i="2"/>
  <c r="O106" i="2"/>
  <c r="M106" i="2"/>
  <c r="K106" i="2"/>
  <c r="I106" i="2"/>
  <c r="G106" i="2"/>
  <c r="AM106" i="2" s="1"/>
  <c r="E106" i="2"/>
  <c r="AK105" i="2"/>
  <c r="AI105" i="2"/>
  <c r="AG105" i="2"/>
  <c r="AE105" i="2"/>
  <c r="AC105" i="2"/>
  <c r="AA105" i="2"/>
  <c r="Y105" i="2"/>
  <c r="W105" i="2"/>
  <c r="U105" i="2"/>
  <c r="S105" i="2"/>
  <c r="Q105" i="2"/>
  <c r="O105" i="2"/>
  <c r="M105" i="2"/>
  <c r="K105" i="2"/>
  <c r="I105" i="2"/>
  <c r="G105" i="2"/>
  <c r="E105" i="2"/>
  <c r="AM105" i="2" s="1"/>
  <c r="AK104" i="2"/>
  <c r="AI104" i="2"/>
  <c r="AG104" i="2"/>
  <c r="AE104" i="2"/>
  <c r="AC104" i="2"/>
  <c r="AA104" i="2"/>
  <c r="Y104" i="2"/>
  <c r="W104" i="2"/>
  <c r="U104" i="2"/>
  <c r="S104" i="2"/>
  <c r="Q104" i="2"/>
  <c r="O104" i="2"/>
  <c r="M104" i="2"/>
  <c r="K104" i="2"/>
  <c r="I104" i="2"/>
  <c r="G104" i="2"/>
  <c r="AM104" i="2" s="1"/>
  <c r="E104" i="2"/>
  <c r="AK103" i="2"/>
  <c r="AI103" i="2"/>
  <c r="AG103" i="2"/>
  <c r="AE103" i="2"/>
  <c r="AC103" i="2"/>
  <c r="AA103" i="2"/>
  <c r="Y103" i="2"/>
  <c r="W103" i="2"/>
  <c r="U103" i="2"/>
  <c r="S103" i="2"/>
  <c r="Q103" i="2"/>
  <c r="O103" i="2"/>
  <c r="M103" i="2"/>
  <c r="K103" i="2"/>
  <c r="I103" i="2"/>
  <c r="G103" i="2"/>
  <c r="E103" i="2"/>
  <c r="AM103" i="2" s="1"/>
  <c r="AK102" i="2"/>
  <c r="AI102" i="2"/>
  <c r="AG102" i="2"/>
  <c r="AE102" i="2"/>
  <c r="AC102" i="2"/>
  <c r="AA102" i="2"/>
  <c r="Y102" i="2"/>
  <c r="W102" i="2"/>
  <c r="U102" i="2"/>
  <c r="S102" i="2"/>
  <c r="Q102" i="2"/>
  <c r="O102" i="2"/>
  <c r="M102" i="2"/>
  <c r="K102" i="2"/>
  <c r="I102" i="2"/>
  <c r="G102" i="2"/>
  <c r="AM102" i="2" s="1"/>
  <c r="E102" i="2"/>
  <c r="AK101" i="2"/>
  <c r="AI101" i="2"/>
  <c r="AG101" i="2"/>
  <c r="AE101" i="2"/>
  <c r="AC101" i="2"/>
  <c r="AA101" i="2"/>
  <c r="Y101" i="2"/>
  <c r="W101" i="2"/>
  <c r="U101" i="2"/>
  <c r="S101" i="2"/>
  <c r="Q101" i="2"/>
  <c r="O101" i="2"/>
  <c r="M101" i="2"/>
  <c r="K101" i="2"/>
  <c r="I101" i="2"/>
  <c r="G101" i="2"/>
  <c r="E101" i="2"/>
  <c r="AM101" i="2" s="1"/>
  <c r="AK100" i="2"/>
  <c r="AI100" i="2"/>
  <c r="AG100" i="2"/>
  <c r="AE100" i="2"/>
  <c r="AC100" i="2"/>
  <c r="AA100" i="2"/>
  <c r="Y100" i="2"/>
  <c r="W100" i="2"/>
  <c r="U100" i="2"/>
  <c r="S100" i="2"/>
  <c r="Q100" i="2"/>
  <c r="O100" i="2"/>
  <c r="M100" i="2"/>
  <c r="K100" i="2"/>
  <c r="I100" i="2"/>
  <c r="G100" i="2"/>
  <c r="AM100" i="2" s="1"/>
  <c r="E100" i="2"/>
  <c r="AK99" i="2"/>
  <c r="AI99" i="2"/>
  <c r="AG99" i="2"/>
  <c r="AE99" i="2"/>
  <c r="AC99" i="2"/>
  <c r="AA99" i="2"/>
  <c r="Y99" i="2"/>
  <c r="W99" i="2"/>
  <c r="U99" i="2"/>
  <c r="S99" i="2"/>
  <c r="Q99" i="2"/>
  <c r="O99" i="2"/>
  <c r="M99" i="2"/>
  <c r="K99" i="2"/>
  <c r="I99" i="2"/>
  <c r="G99" i="2"/>
  <c r="E99" i="2"/>
  <c r="AM99" i="2" s="1"/>
  <c r="AK98" i="2"/>
  <c r="AI98" i="2"/>
  <c r="AG98" i="2"/>
  <c r="AE98" i="2"/>
  <c r="AC98" i="2"/>
  <c r="AA98" i="2"/>
  <c r="Y98" i="2"/>
  <c r="W98" i="2"/>
  <c r="U98" i="2"/>
  <c r="S98" i="2"/>
  <c r="Q98" i="2"/>
  <c r="O98" i="2"/>
  <c r="M98" i="2"/>
  <c r="K98" i="2"/>
  <c r="I98" i="2"/>
  <c r="G98" i="2"/>
  <c r="AM98" i="2" s="1"/>
  <c r="E98" i="2"/>
  <c r="AK97" i="2"/>
  <c r="AI97" i="2"/>
  <c r="AG97" i="2"/>
  <c r="AE97" i="2"/>
  <c r="AC97" i="2"/>
  <c r="AA97" i="2"/>
  <c r="Y97" i="2"/>
  <c r="W97" i="2"/>
  <c r="U97" i="2"/>
  <c r="S97" i="2"/>
  <c r="Q97" i="2"/>
  <c r="O97" i="2"/>
  <c r="M97" i="2"/>
  <c r="K97" i="2"/>
  <c r="I97" i="2"/>
  <c r="G97" i="2"/>
  <c r="E97" i="2"/>
  <c r="AM97" i="2" s="1"/>
  <c r="AK96" i="2"/>
  <c r="AI96" i="2"/>
  <c r="AG96" i="2"/>
  <c r="AE96" i="2"/>
  <c r="AC96" i="2"/>
  <c r="AA96" i="2"/>
  <c r="Y96" i="2"/>
  <c r="W96" i="2"/>
  <c r="U96" i="2"/>
  <c r="S96" i="2"/>
  <c r="Q96" i="2"/>
  <c r="O96" i="2"/>
  <c r="M96" i="2"/>
  <c r="K96" i="2"/>
  <c r="I96" i="2"/>
  <c r="G96" i="2"/>
  <c r="AM96" i="2" s="1"/>
  <c r="E96" i="2"/>
  <c r="AK95" i="2"/>
  <c r="AM95" i="2" s="1"/>
  <c r="AK94" i="2"/>
  <c r="AI94" i="2"/>
  <c r="AG94" i="2"/>
  <c r="AE94" i="2"/>
  <c r="AC94" i="2"/>
  <c r="AA94" i="2"/>
  <c r="Y94" i="2"/>
  <c r="W94" i="2"/>
  <c r="U94" i="2"/>
  <c r="S94" i="2"/>
  <c r="Q94" i="2"/>
  <c r="O94" i="2"/>
  <c r="M94" i="2"/>
  <c r="K94" i="2"/>
  <c r="I94" i="2"/>
  <c r="G94" i="2"/>
  <c r="AM94" i="2" s="1"/>
  <c r="E94" i="2"/>
  <c r="AK93" i="2"/>
  <c r="AI93" i="2"/>
  <c r="AG93" i="2"/>
  <c r="AE93" i="2"/>
  <c r="AC93" i="2"/>
  <c r="AA93" i="2"/>
  <c r="Y93" i="2"/>
  <c r="W93" i="2"/>
  <c r="U93" i="2"/>
  <c r="S93" i="2"/>
  <c r="Q93" i="2"/>
  <c r="O93" i="2"/>
  <c r="M93" i="2"/>
  <c r="K93" i="2"/>
  <c r="I93" i="2"/>
  <c r="G93" i="2"/>
  <c r="E93" i="2"/>
  <c r="AM93" i="2" s="1"/>
  <c r="AK92" i="2"/>
  <c r="AI92" i="2"/>
  <c r="AG92" i="2"/>
  <c r="AE92" i="2"/>
  <c r="AC92" i="2"/>
  <c r="AA92" i="2"/>
  <c r="Y92" i="2"/>
  <c r="W92" i="2"/>
  <c r="U92" i="2"/>
  <c r="S92" i="2"/>
  <c r="Q92" i="2"/>
  <c r="O92" i="2"/>
  <c r="M92" i="2"/>
  <c r="K92" i="2"/>
  <c r="I92" i="2"/>
  <c r="G92" i="2"/>
  <c r="AM92" i="2" s="1"/>
  <c r="E92" i="2"/>
  <c r="AK91" i="2"/>
  <c r="AI91" i="2"/>
  <c r="AG91" i="2"/>
  <c r="AE91" i="2"/>
  <c r="AC91" i="2"/>
  <c r="AA91" i="2"/>
  <c r="Y91" i="2"/>
  <c r="W91" i="2"/>
  <c r="U91" i="2"/>
  <c r="S91" i="2"/>
  <c r="Q91" i="2"/>
  <c r="O91" i="2"/>
  <c r="M91" i="2"/>
  <c r="K91" i="2"/>
  <c r="I91" i="2"/>
  <c r="G91" i="2"/>
  <c r="E91" i="2"/>
  <c r="AM91" i="2" s="1"/>
  <c r="AK90" i="2"/>
  <c r="AI90" i="2"/>
  <c r="AG90" i="2"/>
  <c r="AE90" i="2"/>
  <c r="AC90" i="2"/>
  <c r="AA90" i="2"/>
  <c r="Y90" i="2"/>
  <c r="W90" i="2"/>
  <c r="U90" i="2"/>
  <c r="S90" i="2"/>
  <c r="Q90" i="2"/>
  <c r="O90" i="2"/>
  <c r="M90" i="2"/>
  <c r="K90" i="2"/>
  <c r="I90" i="2"/>
  <c r="G90" i="2"/>
  <c r="AM90" i="2" s="1"/>
  <c r="E90" i="2"/>
  <c r="AK89" i="2"/>
  <c r="AI89" i="2"/>
  <c r="AG89" i="2"/>
  <c r="AE89" i="2"/>
  <c r="AC89" i="2"/>
  <c r="AA89" i="2"/>
  <c r="Y89" i="2"/>
  <c r="W89" i="2"/>
  <c r="U89" i="2"/>
  <c r="S89" i="2"/>
  <c r="Q89" i="2"/>
  <c r="O89" i="2"/>
  <c r="M89" i="2"/>
  <c r="K89" i="2"/>
  <c r="I89" i="2"/>
  <c r="G89" i="2"/>
  <c r="E89" i="2"/>
  <c r="AM89" i="2" s="1"/>
  <c r="AK88" i="2"/>
  <c r="AI88" i="2"/>
  <c r="AG88" i="2"/>
  <c r="AE88" i="2"/>
  <c r="AC88" i="2"/>
  <c r="AA88" i="2"/>
  <c r="Y88" i="2"/>
  <c r="W88" i="2"/>
  <c r="U88" i="2"/>
  <c r="S88" i="2"/>
  <c r="Q88" i="2"/>
  <c r="O88" i="2"/>
  <c r="M88" i="2"/>
  <c r="K88" i="2"/>
  <c r="I88" i="2"/>
  <c r="G88" i="2"/>
  <c r="AM88" i="2" s="1"/>
  <c r="E88" i="2"/>
  <c r="AK87" i="2"/>
  <c r="AI87" i="2"/>
  <c r="AG87" i="2"/>
  <c r="AE87" i="2"/>
  <c r="AC87" i="2"/>
  <c r="AA87" i="2"/>
  <c r="Y87" i="2"/>
  <c r="W87" i="2"/>
  <c r="U87" i="2"/>
  <c r="S87" i="2"/>
  <c r="Q87" i="2"/>
  <c r="O87" i="2"/>
  <c r="M87" i="2"/>
  <c r="K87" i="2"/>
  <c r="I87" i="2"/>
  <c r="G87" i="2"/>
  <c r="E87" i="2"/>
  <c r="AM87" i="2" s="1"/>
  <c r="AK86" i="2"/>
  <c r="AI86" i="2"/>
  <c r="AG86" i="2"/>
  <c r="AE86" i="2"/>
  <c r="AC86" i="2"/>
  <c r="AA86" i="2"/>
  <c r="Y86" i="2"/>
  <c r="W86" i="2"/>
  <c r="U86" i="2"/>
  <c r="S86" i="2"/>
  <c r="Q86" i="2"/>
  <c r="O86" i="2"/>
  <c r="M86" i="2"/>
  <c r="K86" i="2"/>
  <c r="I86" i="2"/>
  <c r="G86" i="2"/>
  <c r="AM86" i="2" s="1"/>
  <c r="E86" i="2"/>
  <c r="AK85" i="2"/>
  <c r="AI85" i="2"/>
  <c r="AG85" i="2"/>
  <c r="AE85" i="2"/>
  <c r="AC85" i="2"/>
  <c r="AA85" i="2"/>
  <c r="Y85" i="2"/>
  <c r="W85" i="2"/>
  <c r="U85" i="2"/>
  <c r="S85" i="2"/>
  <c r="Q85" i="2"/>
  <c r="O85" i="2"/>
  <c r="M85" i="2"/>
  <c r="K85" i="2"/>
  <c r="I85" i="2"/>
  <c r="G85" i="2"/>
  <c r="E85" i="2"/>
  <c r="AM85" i="2" s="1"/>
  <c r="AK84" i="2"/>
  <c r="AI84" i="2"/>
  <c r="AG84" i="2"/>
  <c r="AE84" i="2"/>
  <c r="AC84" i="2"/>
  <c r="AA84" i="2"/>
  <c r="Y84" i="2"/>
  <c r="W84" i="2"/>
  <c r="U84" i="2"/>
  <c r="S84" i="2"/>
  <c r="Q84" i="2"/>
  <c r="O84" i="2"/>
  <c r="M84" i="2"/>
  <c r="K84" i="2"/>
  <c r="I84" i="2"/>
  <c r="G84" i="2"/>
  <c r="AM84" i="2" s="1"/>
  <c r="E84" i="2"/>
  <c r="AK83" i="2"/>
  <c r="AI83" i="2"/>
  <c r="AG83" i="2"/>
  <c r="AE83" i="2"/>
  <c r="AC83" i="2"/>
  <c r="AA83" i="2"/>
  <c r="Y83" i="2"/>
  <c r="W83" i="2"/>
  <c r="U83" i="2"/>
  <c r="S83" i="2"/>
  <c r="Q83" i="2"/>
  <c r="O83" i="2"/>
  <c r="M83" i="2"/>
  <c r="K83" i="2"/>
  <c r="I83" i="2"/>
  <c r="G83" i="2"/>
  <c r="E83" i="2"/>
  <c r="AM83" i="2" s="1"/>
  <c r="AK82" i="2"/>
  <c r="AI82" i="2"/>
  <c r="AG82" i="2"/>
  <c r="AE82" i="2"/>
  <c r="AC82" i="2"/>
  <c r="AA82" i="2"/>
  <c r="Y82" i="2"/>
  <c r="W82" i="2"/>
  <c r="U82" i="2"/>
  <c r="S82" i="2"/>
  <c r="Q82" i="2"/>
  <c r="O82" i="2"/>
  <c r="M82" i="2"/>
  <c r="K82" i="2"/>
  <c r="I82" i="2"/>
  <c r="G82" i="2"/>
  <c r="AM82" i="2" s="1"/>
  <c r="E82" i="2"/>
  <c r="AK81" i="2"/>
  <c r="AI81" i="2"/>
  <c r="AG81" i="2"/>
  <c r="AE81" i="2"/>
  <c r="AC81" i="2"/>
  <c r="AA81" i="2"/>
  <c r="Y81" i="2"/>
  <c r="W81" i="2"/>
  <c r="U81" i="2"/>
  <c r="S81" i="2"/>
  <c r="Q81" i="2"/>
  <c r="O81" i="2"/>
  <c r="M81" i="2"/>
  <c r="K81" i="2"/>
  <c r="I81" i="2"/>
  <c r="G81" i="2"/>
  <c r="E81" i="2"/>
  <c r="AM81" i="2" s="1"/>
  <c r="AK80" i="2"/>
  <c r="AI80" i="2"/>
  <c r="AG80" i="2"/>
  <c r="AE80" i="2"/>
  <c r="AC80" i="2"/>
  <c r="AA80" i="2"/>
  <c r="Y80" i="2"/>
  <c r="W80" i="2"/>
  <c r="U80" i="2"/>
  <c r="S80" i="2"/>
  <c r="Q80" i="2"/>
  <c r="O80" i="2"/>
  <c r="M80" i="2"/>
  <c r="K80" i="2"/>
  <c r="I80" i="2"/>
  <c r="G80" i="2"/>
  <c r="AM80" i="2" s="1"/>
  <c r="E80" i="2"/>
  <c r="AK79" i="2"/>
  <c r="AI79" i="2"/>
  <c r="AG79" i="2"/>
  <c r="AE79" i="2"/>
  <c r="AC79" i="2"/>
  <c r="AA79" i="2"/>
  <c r="Y79" i="2"/>
  <c r="W79" i="2"/>
  <c r="U79" i="2"/>
  <c r="S79" i="2"/>
  <c r="Q79" i="2"/>
  <c r="O79" i="2"/>
  <c r="M79" i="2"/>
  <c r="K79" i="2"/>
  <c r="I79" i="2"/>
  <c r="G79" i="2"/>
  <c r="E79" i="2"/>
  <c r="AM79" i="2" s="1"/>
  <c r="AK78" i="2"/>
  <c r="AI78" i="2"/>
  <c r="AG78" i="2"/>
  <c r="AE78" i="2"/>
  <c r="AC78" i="2"/>
  <c r="AA78" i="2"/>
  <c r="Y78" i="2"/>
  <c r="W78" i="2"/>
  <c r="U78" i="2"/>
  <c r="S78" i="2"/>
  <c r="Q78" i="2"/>
  <c r="O78" i="2"/>
  <c r="M78" i="2"/>
  <c r="K78" i="2"/>
  <c r="I78" i="2"/>
  <c r="G78" i="2"/>
  <c r="AM78" i="2" s="1"/>
  <c r="E78" i="2"/>
  <c r="AK77" i="2"/>
  <c r="AI77" i="2"/>
  <c r="AG77" i="2"/>
  <c r="AE77" i="2"/>
  <c r="AC77" i="2"/>
  <c r="AA77" i="2"/>
  <c r="Y77" i="2"/>
  <c r="W77" i="2"/>
  <c r="U77" i="2"/>
  <c r="S77" i="2"/>
  <c r="Q77" i="2"/>
  <c r="O77" i="2"/>
  <c r="M77" i="2"/>
  <c r="K77" i="2"/>
  <c r="I77" i="2"/>
  <c r="G77" i="2"/>
  <c r="E77" i="2"/>
  <c r="AM77" i="2" s="1"/>
  <c r="AK76" i="2"/>
  <c r="AI76" i="2"/>
  <c r="AG76" i="2"/>
  <c r="AE76" i="2"/>
  <c r="AC76" i="2"/>
  <c r="AA76" i="2"/>
  <c r="Y76" i="2"/>
  <c r="W76" i="2"/>
  <c r="U76" i="2"/>
  <c r="S76" i="2"/>
  <c r="Q76" i="2"/>
  <c r="O76" i="2"/>
  <c r="M76" i="2"/>
  <c r="K76" i="2"/>
  <c r="I76" i="2"/>
  <c r="G76" i="2"/>
  <c r="AM76" i="2" s="1"/>
  <c r="E76" i="2"/>
  <c r="AK75" i="2"/>
  <c r="AI75" i="2"/>
  <c r="AG75" i="2"/>
  <c r="AE75" i="2"/>
  <c r="AC75" i="2"/>
  <c r="AA75" i="2"/>
  <c r="Y75" i="2"/>
  <c r="W75" i="2"/>
  <c r="U75" i="2"/>
  <c r="S75" i="2"/>
  <c r="Q75" i="2"/>
  <c r="O75" i="2"/>
  <c r="M75" i="2"/>
  <c r="K75" i="2"/>
  <c r="I75" i="2"/>
  <c r="G75" i="2"/>
  <c r="E75" i="2"/>
  <c r="AM75" i="2" s="1"/>
  <c r="AK74" i="2"/>
  <c r="AI74" i="2"/>
  <c r="AG74" i="2"/>
  <c r="AE74" i="2"/>
  <c r="AC74" i="2"/>
  <c r="AA74" i="2"/>
  <c r="Y74" i="2"/>
  <c r="W74" i="2"/>
  <c r="U74" i="2"/>
  <c r="S74" i="2"/>
  <c r="Q74" i="2"/>
  <c r="O74" i="2"/>
  <c r="M74" i="2"/>
  <c r="K74" i="2"/>
  <c r="I74" i="2"/>
  <c r="G74" i="2"/>
  <c r="AM74" i="2" s="1"/>
  <c r="E74" i="2"/>
  <c r="AK73" i="2"/>
  <c r="AI73" i="2"/>
  <c r="AG73" i="2"/>
  <c r="AE73" i="2"/>
  <c r="AC73" i="2"/>
  <c r="AA73" i="2"/>
  <c r="Y73" i="2"/>
  <c r="W73" i="2"/>
  <c r="U73" i="2"/>
  <c r="S73" i="2"/>
  <c r="Q73" i="2"/>
  <c r="O73" i="2"/>
  <c r="M73" i="2"/>
  <c r="K73" i="2"/>
  <c r="I73" i="2"/>
  <c r="G73" i="2"/>
  <c r="E73" i="2"/>
  <c r="AM73" i="2" s="1"/>
  <c r="AK72" i="2"/>
  <c r="AI72" i="2"/>
  <c r="AG72" i="2"/>
  <c r="AE72" i="2"/>
  <c r="AC72" i="2"/>
  <c r="AA72" i="2"/>
  <c r="Y72" i="2"/>
  <c r="W72" i="2"/>
  <c r="U72" i="2"/>
  <c r="S72" i="2"/>
  <c r="Q72" i="2"/>
  <c r="O72" i="2"/>
  <c r="M72" i="2"/>
  <c r="K72" i="2"/>
  <c r="I72" i="2"/>
  <c r="G72" i="2"/>
  <c r="AM72" i="2" s="1"/>
  <c r="E72" i="2"/>
  <c r="AK71" i="2"/>
  <c r="AI71" i="2"/>
  <c r="AG71" i="2"/>
  <c r="AE71" i="2"/>
  <c r="AC71" i="2"/>
  <c r="AA71" i="2"/>
  <c r="Y71" i="2"/>
  <c r="W71" i="2"/>
  <c r="U71" i="2"/>
  <c r="S71" i="2"/>
  <c r="Q71" i="2"/>
  <c r="O71" i="2"/>
  <c r="M71" i="2"/>
  <c r="K71" i="2"/>
  <c r="I71" i="2"/>
  <c r="G71" i="2"/>
  <c r="E71" i="2"/>
  <c r="AM71" i="2" s="1"/>
  <c r="AK70" i="2"/>
  <c r="AI70" i="2"/>
  <c r="AG70" i="2"/>
  <c r="AE70" i="2"/>
  <c r="AC70" i="2"/>
  <c r="AA70" i="2"/>
  <c r="Y70" i="2"/>
  <c r="W70" i="2"/>
  <c r="U70" i="2"/>
  <c r="S70" i="2"/>
  <c r="Q70" i="2"/>
  <c r="O70" i="2"/>
  <c r="M70" i="2"/>
  <c r="K70" i="2"/>
  <c r="I70" i="2"/>
  <c r="G70" i="2"/>
  <c r="AM70" i="2" s="1"/>
  <c r="E70" i="2"/>
  <c r="AK69" i="2"/>
  <c r="AI69" i="2"/>
  <c r="AG69" i="2"/>
  <c r="AE69" i="2"/>
  <c r="AC69" i="2"/>
  <c r="AA69" i="2"/>
  <c r="Y69" i="2"/>
  <c r="W69" i="2"/>
  <c r="U69" i="2"/>
  <c r="AM69" i="2" s="1"/>
  <c r="S69" i="2"/>
  <c r="AK68" i="2"/>
  <c r="AI68" i="2"/>
  <c r="AG68" i="2"/>
  <c r="AE68" i="2"/>
  <c r="AC68" i="2"/>
  <c r="AA68" i="2"/>
  <c r="Y68" i="2"/>
  <c r="W68" i="2"/>
  <c r="U68" i="2"/>
  <c r="S68" i="2"/>
  <c r="Q68" i="2"/>
  <c r="O68" i="2"/>
  <c r="M68" i="2"/>
  <c r="K68" i="2"/>
  <c r="I68" i="2"/>
  <c r="G68" i="2"/>
  <c r="E68" i="2"/>
  <c r="AM68" i="2" s="1"/>
  <c r="AK67" i="2"/>
  <c r="AI67" i="2"/>
  <c r="AG67" i="2"/>
  <c r="AE67" i="2"/>
  <c r="AC67" i="2"/>
  <c r="AA67" i="2"/>
  <c r="Y67" i="2"/>
  <c r="W67" i="2"/>
  <c r="U67" i="2"/>
  <c r="S67" i="2"/>
  <c r="Q67" i="2"/>
  <c r="O67" i="2"/>
  <c r="M67" i="2"/>
  <c r="K67" i="2"/>
  <c r="I67" i="2"/>
  <c r="G67" i="2"/>
  <c r="AM67" i="2" s="1"/>
  <c r="E67" i="2"/>
  <c r="AK66" i="2"/>
  <c r="AI66" i="2"/>
  <c r="AG66" i="2"/>
  <c r="AE66" i="2"/>
  <c r="AC66" i="2"/>
  <c r="AA66" i="2"/>
  <c r="Y66" i="2"/>
  <c r="W66" i="2"/>
  <c r="U66" i="2"/>
  <c r="S66" i="2"/>
  <c r="Q66" i="2"/>
  <c r="O66" i="2"/>
  <c r="M66" i="2"/>
  <c r="K66" i="2"/>
  <c r="I66" i="2"/>
  <c r="G66" i="2"/>
  <c r="E66" i="2"/>
  <c r="AM66" i="2" s="1"/>
  <c r="AK65" i="2"/>
  <c r="AI65" i="2"/>
  <c r="AG65" i="2"/>
  <c r="AE65" i="2"/>
  <c r="AC65" i="2"/>
  <c r="AA65" i="2"/>
  <c r="Y65" i="2"/>
  <c r="W65" i="2"/>
  <c r="U65" i="2"/>
  <c r="S65" i="2"/>
  <c r="Q65" i="2"/>
  <c r="O65" i="2"/>
  <c r="M65" i="2"/>
  <c r="K65" i="2"/>
  <c r="I65" i="2"/>
  <c r="G65" i="2"/>
  <c r="AM65" i="2" s="1"/>
  <c r="E65" i="2"/>
  <c r="AK64" i="2"/>
  <c r="AI64" i="2"/>
  <c r="AG64" i="2"/>
  <c r="AE64" i="2"/>
  <c r="AC64" i="2"/>
  <c r="AA64" i="2"/>
  <c r="Y64" i="2"/>
  <c r="W64" i="2"/>
  <c r="U64" i="2"/>
  <c r="S64" i="2"/>
  <c r="Q64" i="2"/>
  <c r="O64" i="2"/>
  <c r="M64" i="2"/>
  <c r="K64" i="2"/>
  <c r="I64" i="2"/>
  <c r="G64" i="2"/>
  <c r="E64" i="2"/>
  <c r="AM64" i="2" s="1"/>
  <c r="AK63" i="2"/>
  <c r="AI63" i="2"/>
  <c r="AG63" i="2"/>
  <c r="AE63" i="2"/>
  <c r="AC63" i="2"/>
  <c r="AA63" i="2"/>
  <c r="Y63" i="2"/>
  <c r="W63" i="2"/>
  <c r="U63" i="2"/>
  <c r="S63" i="2"/>
  <c r="Q63" i="2"/>
  <c r="O63" i="2"/>
  <c r="M63" i="2"/>
  <c r="K63" i="2"/>
  <c r="I63" i="2"/>
  <c r="G63" i="2"/>
  <c r="AM63" i="2" s="1"/>
  <c r="E63" i="2"/>
  <c r="AK62" i="2"/>
  <c r="AI62" i="2"/>
  <c r="AG62" i="2"/>
  <c r="AE62" i="2"/>
  <c r="AC62" i="2"/>
  <c r="AA62" i="2"/>
  <c r="Y62" i="2"/>
  <c r="W62" i="2"/>
  <c r="U62" i="2"/>
  <c r="S62" i="2"/>
  <c r="Q62" i="2"/>
  <c r="O62" i="2"/>
  <c r="M62" i="2"/>
  <c r="K62" i="2"/>
  <c r="I62" i="2"/>
  <c r="G62" i="2"/>
  <c r="E62" i="2"/>
  <c r="AM62" i="2" s="1"/>
  <c r="AK61" i="2"/>
  <c r="AI61" i="2"/>
  <c r="AG61" i="2"/>
  <c r="AE61" i="2"/>
  <c r="AC61" i="2"/>
  <c r="AA61" i="2"/>
  <c r="Y61" i="2"/>
  <c r="W61" i="2"/>
  <c r="U61" i="2"/>
  <c r="S61" i="2"/>
  <c r="Q61" i="2"/>
  <c r="O61" i="2"/>
  <c r="M61" i="2"/>
  <c r="K61" i="2"/>
  <c r="I61" i="2"/>
  <c r="G61" i="2"/>
  <c r="AM61" i="2" s="1"/>
  <c r="E61" i="2"/>
  <c r="AK60" i="2"/>
  <c r="AI60" i="2"/>
  <c r="AG60" i="2"/>
  <c r="AE60" i="2"/>
  <c r="AC60" i="2"/>
  <c r="AA60" i="2"/>
  <c r="Y60" i="2"/>
  <c r="W60" i="2"/>
  <c r="U60" i="2"/>
  <c r="S60" i="2"/>
  <c r="Q60" i="2"/>
  <c r="O60" i="2"/>
  <c r="M60" i="2"/>
  <c r="K60" i="2"/>
  <c r="I60" i="2"/>
  <c r="G60" i="2"/>
  <c r="E60" i="2"/>
  <c r="AM60" i="2" s="1"/>
  <c r="AK59" i="2"/>
  <c r="AI59" i="2"/>
  <c r="AG59" i="2"/>
  <c r="AE59" i="2"/>
  <c r="AC59" i="2"/>
  <c r="AA59" i="2"/>
  <c r="Y59" i="2"/>
  <c r="W59" i="2"/>
  <c r="U59" i="2"/>
  <c r="S59" i="2"/>
  <c r="Q59" i="2"/>
  <c r="O59" i="2"/>
  <c r="M59" i="2"/>
  <c r="K59" i="2"/>
  <c r="I59" i="2"/>
  <c r="G59" i="2"/>
  <c r="AM59" i="2" s="1"/>
  <c r="E59" i="2"/>
  <c r="AK58" i="2"/>
  <c r="AI58" i="2"/>
  <c r="AG58" i="2"/>
  <c r="AE58" i="2"/>
  <c r="AC58" i="2"/>
  <c r="AA58" i="2"/>
  <c r="Y58" i="2"/>
  <c r="W58" i="2"/>
  <c r="U58" i="2"/>
  <c r="S58" i="2"/>
  <c r="Q58" i="2"/>
  <c r="O58" i="2"/>
  <c r="M58" i="2"/>
  <c r="K58" i="2"/>
  <c r="I58" i="2"/>
  <c r="G58" i="2"/>
  <c r="E58" i="2"/>
  <c r="AM58" i="2" s="1"/>
  <c r="AK57" i="2"/>
  <c r="AI57" i="2"/>
  <c r="AG57" i="2"/>
  <c r="AE57" i="2"/>
  <c r="AC57" i="2"/>
  <c r="AA57" i="2"/>
  <c r="Y57" i="2"/>
  <c r="W57" i="2"/>
  <c r="U57" i="2"/>
  <c r="S57" i="2"/>
  <c r="Q57" i="2"/>
  <c r="O57" i="2"/>
  <c r="M57" i="2"/>
  <c r="K57" i="2"/>
  <c r="I57" i="2"/>
  <c r="G57" i="2"/>
  <c r="AM57" i="2" s="1"/>
  <c r="E57" i="2"/>
  <c r="AK56" i="2"/>
  <c r="AI56" i="2"/>
  <c r="AG56" i="2"/>
  <c r="AE56" i="2"/>
  <c r="AC56" i="2"/>
  <c r="AA56" i="2"/>
  <c r="Y56" i="2"/>
  <c r="W56" i="2"/>
  <c r="U56" i="2"/>
  <c r="S56" i="2"/>
  <c r="Q56" i="2"/>
  <c r="O56" i="2"/>
  <c r="M56" i="2"/>
  <c r="K56" i="2"/>
  <c r="I56" i="2"/>
  <c r="G56" i="2"/>
  <c r="E56" i="2"/>
  <c r="AM56" i="2" s="1"/>
  <c r="AK55" i="2"/>
  <c r="AK54" i="2"/>
  <c r="AI54" i="2"/>
  <c r="AG54" i="2"/>
  <c r="AE54" i="2"/>
  <c r="AC54" i="2"/>
  <c r="AA54" i="2"/>
  <c r="Y54" i="2"/>
  <c r="W54" i="2"/>
  <c r="U54" i="2"/>
  <c r="S54" i="2"/>
  <c r="Q54" i="2"/>
  <c r="O54" i="2"/>
  <c r="M54" i="2"/>
  <c r="K54" i="2"/>
  <c r="I54" i="2"/>
  <c r="G54" i="2"/>
  <c r="E54" i="2"/>
  <c r="AM54" i="2" s="1"/>
  <c r="AK53" i="2"/>
  <c r="AI53" i="2"/>
  <c r="AG53" i="2"/>
  <c r="AE53" i="2"/>
  <c r="AC53" i="2"/>
  <c r="AA53" i="2"/>
  <c r="Y53" i="2"/>
  <c r="W53" i="2"/>
  <c r="U53" i="2"/>
  <c r="S53" i="2"/>
  <c r="Q53" i="2"/>
  <c r="O53" i="2"/>
  <c r="M53" i="2"/>
  <c r="K53" i="2"/>
  <c r="I53" i="2"/>
  <c r="G53" i="2"/>
  <c r="AM53" i="2" s="1"/>
  <c r="E53" i="2"/>
  <c r="AK52" i="2"/>
  <c r="AI52" i="2"/>
  <c r="AG52" i="2"/>
  <c r="AE52" i="2"/>
  <c r="AC52" i="2"/>
  <c r="AA52" i="2"/>
  <c r="Y52" i="2"/>
  <c r="W52" i="2"/>
  <c r="U52" i="2"/>
  <c r="S52" i="2"/>
  <c r="Q52" i="2"/>
  <c r="O52" i="2"/>
  <c r="M52" i="2"/>
  <c r="K52" i="2"/>
  <c r="I52" i="2"/>
  <c r="G52" i="2"/>
  <c r="E52" i="2"/>
  <c r="AM52" i="2" s="1"/>
  <c r="AK51" i="2"/>
  <c r="AI51" i="2"/>
  <c r="AG51" i="2"/>
  <c r="AE51" i="2"/>
  <c r="AC51" i="2"/>
  <c r="AA51" i="2"/>
  <c r="Y51" i="2"/>
  <c r="W51" i="2"/>
  <c r="U51" i="2"/>
  <c r="S51" i="2"/>
  <c r="Q51" i="2"/>
  <c r="O51" i="2"/>
  <c r="M51" i="2"/>
  <c r="K51" i="2"/>
  <c r="I51" i="2"/>
  <c r="G51" i="2"/>
  <c r="AM51" i="2" s="1"/>
  <c r="E51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AM50" i="2" s="1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AM49" i="2" s="1"/>
  <c r="E49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AM48" i="2" s="1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AM47" i="2" s="1"/>
  <c r="E47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AM46" i="2" s="1"/>
  <c r="AK45" i="2"/>
  <c r="AI45" i="2"/>
  <c r="AG45" i="2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AM45" i="2" s="1"/>
  <c r="E45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AM44" i="2" s="1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AM43" i="2" s="1"/>
  <c r="E43" i="2"/>
  <c r="AK42" i="2"/>
  <c r="AI42" i="2"/>
  <c r="AG42" i="2"/>
  <c r="AE42" i="2"/>
  <c r="AC42" i="2"/>
  <c r="AA42" i="2"/>
  <c r="Y42" i="2"/>
  <c r="W42" i="2"/>
  <c r="U42" i="2"/>
  <c r="S42" i="2"/>
  <c r="Q42" i="2"/>
  <c r="O42" i="2"/>
  <c r="M42" i="2"/>
  <c r="K42" i="2"/>
  <c r="I42" i="2"/>
  <c r="G42" i="2"/>
  <c r="E42" i="2"/>
  <c r="AM42" i="2" s="1"/>
  <c r="AK41" i="2"/>
  <c r="AI41" i="2"/>
  <c r="AG41" i="2"/>
  <c r="AE41" i="2"/>
  <c r="AC41" i="2"/>
  <c r="AA41" i="2"/>
  <c r="Y41" i="2"/>
  <c r="W41" i="2"/>
  <c r="U41" i="2"/>
  <c r="S41" i="2"/>
  <c r="Q41" i="2"/>
  <c r="O41" i="2"/>
  <c r="M41" i="2"/>
  <c r="K41" i="2"/>
  <c r="I41" i="2"/>
  <c r="G41" i="2"/>
  <c r="AM41" i="2" s="1"/>
  <c r="E41" i="2"/>
  <c r="AK40" i="2"/>
  <c r="AI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AM40" i="2" s="1"/>
  <c r="AK39" i="2"/>
  <c r="AI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AM39" i="2" s="1"/>
  <c r="E39" i="2"/>
  <c r="AK38" i="2"/>
  <c r="AI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AM38" i="2" s="1"/>
  <c r="AK37" i="2"/>
  <c r="AI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AM37" i="2" s="1"/>
  <c r="E37" i="2"/>
  <c r="AK36" i="2"/>
  <c r="AI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AM36" i="2" s="1"/>
  <c r="AK35" i="2"/>
  <c r="AI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AM35" i="2" s="1"/>
  <c r="E35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AM34" i="2" s="1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AM33" i="2" s="1"/>
  <c r="E33" i="2"/>
  <c r="AK32" i="2"/>
  <c r="AI32" i="2"/>
  <c r="AG32" i="2"/>
  <c r="AE32" i="2"/>
  <c r="AC32" i="2"/>
  <c r="AA32" i="2"/>
  <c r="Y32" i="2"/>
  <c r="W32" i="2"/>
  <c r="U32" i="2"/>
  <c r="S32" i="2"/>
  <c r="Q32" i="2"/>
  <c r="O32" i="2"/>
  <c r="M32" i="2"/>
  <c r="K32" i="2"/>
  <c r="I32" i="2"/>
  <c r="G32" i="2"/>
  <c r="E32" i="2"/>
  <c r="AM32" i="2" s="1"/>
  <c r="AK31" i="2"/>
  <c r="AI31" i="2"/>
  <c r="AG31" i="2"/>
  <c r="AE31" i="2"/>
  <c r="AC31" i="2"/>
  <c r="AA31" i="2"/>
  <c r="Y31" i="2"/>
  <c r="W31" i="2"/>
  <c r="U31" i="2"/>
  <c r="S31" i="2"/>
  <c r="Q31" i="2"/>
  <c r="O31" i="2"/>
  <c r="M31" i="2"/>
  <c r="K31" i="2"/>
  <c r="I31" i="2"/>
  <c r="G31" i="2"/>
  <c r="AM31" i="2" s="1"/>
  <c r="E31" i="2"/>
  <c r="AK30" i="2"/>
  <c r="AI30" i="2"/>
  <c r="AG30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AM30" i="2" s="1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AM29" i="2" s="1"/>
  <c r="E29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AM28" i="2" s="1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AM27" i="2" s="1"/>
  <c r="E27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AM26" i="2" s="1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AM25" i="2" s="1"/>
  <c r="E25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AM24" i="2" s="1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AM23" i="2" s="1"/>
  <c r="E23" i="2"/>
  <c r="AK22" i="2"/>
  <c r="AI22" i="2"/>
  <c r="AG22" i="2"/>
  <c r="AE22" i="2"/>
  <c r="AC22" i="2"/>
  <c r="AA22" i="2"/>
  <c r="Y22" i="2"/>
  <c r="W22" i="2"/>
  <c r="U22" i="2"/>
  <c r="S22" i="2"/>
  <c r="Q22" i="2"/>
  <c r="O22" i="2"/>
  <c r="M22" i="2"/>
  <c r="K22" i="2"/>
  <c r="I22" i="2"/>
  <c r="G22" i="2"/>
  <c r="E22" i="2"/>
  <c r="AM22" i="2" s="1"/>
  <c r="AK21" i="2"/>
  <c r="AI21" i="2"/>
  <c r="AG21" i="2"/>
  <c r="AE21" i="2"/>
  <c r="AC21" i="2"/>
  <c r="AA21" i="2"/>
  <c r="Y21" i="2"/>
  <c r="W21" i="2"/>
  <c r="U21" i="2"/>
  <c r="S21" i="2"/>
  <c r="Q21" i="2"/>
  <c r="O21" i="2"/>
  <c r="M21" i="2"/>
  <c r="K21" i="2"/>
  <c r="I21" i="2"/>
  <c r="G21" i="2"/>
  <c r="AM21" i="2" s="1"/>
  <c r="E21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AM20" i="2" s="1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AM19" i="2" s="1"/>
  <c r="E19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AM18" i="2" s="1"/>
  <c r="AK17" i="2"/>
  <c r="AI17" i="2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AM17" i="2" s="1"/>
  <c r="E17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AM16" i="2" s="1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AM15" i="2" s="1"/>
  <c r="E15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AM14" i="2" s="1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AM13" i="2" s="1"/>
  <c r="E13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AM12" i="2" s="1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AM11" i="2" s="1"/>
  <c r="E11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AM10" i="2" s="1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AM9" i="2" s="1"/>
  <c r="E9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AM8" i="2" s="1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AM7" i="2" s="1"/>
  <c r="E7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AM6" i="2" s="1"/>
  <c r="AK5" i="2"/>
  <c r="AI5" i="2"/>
  <c r="AI376" i="2" s="1"/>
  <c r="AG5" i="2"/>
  <c r="AE5" i="2"/>
  <c r="AE376" i="2" s="1"/>
  <c r="AC5" i="2"/>
  <c r="AA5" i="2"/>
  <c r="AA376" i="2" s="1"/>
  <c r="Y5" i="2"/>
  <c r="W5" i="2"/>
  <c r="W376" i="2" s="1"/>
  <c r="U5" i="2"/>
  <c r="S5" i="2"/>
  <c r="S376" i="2" s="1"/>
  <c r="Q5" i="2"/>
  <c r="O5" i="2"/>
  <c r="O376" i="2" s="1"/>
  <c r="M5" i="2"/>
  <c r="K5" i="2"/>
  <c r="K376" i="2" s="1"/>
  <c r="I5" i="2"/>
  <c r="G5" i="2"/>
  <c r="G376" i="2" s="1"/>
  <c r="E5" i="2"/>
  <c r="AN6" i="1"/>
  <c r="AO6" i="1"/>
  <c r="AN7" i="1"/>
  <c r="AO7" i="1"/>
  <c r="AN8" i="1"/>
  <c r="AO8" i="1"/>
  <c r="AN9" i="1"/>
  <c r="AO9" i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AN32" i="1"/>
  <c r="AO32" i="1"/>
  <c r="AN33" i="1"/>
  <c r="AO33" i="1"/>
  <c r="AN34" i="1"/>
  <c r="AO34" i="1"/>
  <c r="AN35" i="1"/>
  <c r="AO35" i="1"/>
  <c r="AN36" i="1"/>
  <c r="AO36" i="1"/>
  <c r="AN37" i="1"/>
  <c r="AO37" i="1"/>
  <c r="AN38" i="1"/>
  <c r="AO38" i="1"/>
  <c r="AN39" i="1"/>
  <c r="AO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N47" i="1"/>
  <c r="AO47" i="1"/>
  <c r="AN48" i="1"/>
  <c r="AO48" i="1"/>
  <c r="AN49" i="1"/>
  <c r="AO49" i="1"/>
  <c r="AN50" i="1"/>
  <c r="AO50" i="1"/>
  <c r="AN51" i="1"/>
  <c r="AO51" i="1"/>
  <c r="AN52" i="1"/>
  <c r="AO52" i="1"/>
  <c r="AN53" i="1"/>
  <c r="AO53" i="1"/>
  <c r="AN54" i="1"/>
  <c r="AO54" i="1"/>
  <c r="AN55" i="1"/>
  <c r="AO55" i="1"/>
  <c r="AN56" i="1"/>
  <c r="AO56" i="1"/>
  <c r="AN57" i="1"/>
  <c r="AO57" i="1"/>
  <c r="AN58" i="1"/>
  <c r="AO58" i="1"/>
  <c r="AN59" i="1"/>
  <c r="AO59" i="1"/>
  <c r="AN60" i="1"/>
  <c r="AO60" i="1"/>
  <c r="AN61" i="1"/>
  <c r="AO61" i="1"/>
  <c r="AN62" i="1"/>
  <c r="AO62" i="1"/>
  <c r="AN63" i="1"/>
  <c r="AO63" i="1"/>
  <c r="AN64" i="1"/>
  <c r="AO64" i="1"/>
  <c r="AN65" i="1"/>
  <c r="AO65" i="1"/>
  <c r="AN66" i="1"/>
  <c r="AO66" i="1"/>
  <c r="AN67" i="1"/>
  <c r="AO67" i="1"/>
  <c r="AN68" i="1"/>
  <c r="AO68" i="1"/>
  <c r="AN69" i="1"/>
  <c r="AO69" i="1"/>
  <c r="AN70" i="1"/>
  <c r="AO70" i="1"/>
  <c r="AN71" i="1"/>
  <c r="AO71" i="1"/>
  <c r="AN72" i="1"/>
  <c r="AO72" i="1"/>
  <c r="AN73" i="1"/>
  <c r="AO73" i="1"/>
  <c r="AN74" i="1"/>
  <c r="AO74" i="1"/>
  <c r="AN75" i="1"/>
  <c r="AO75" i="1"/>
  <c r="AN76" i="1"/>
  <c r="AO76" i="1"/>
  <c r="AN77" i="1"/>
  <c r="AO77" i="1"/>
  <c r="AN78" i="1"/>
  <c r="AO78" i="1"/>
  <c r="AN79" i="1"/>
  <c r="AO79" i="1"/>
  <c r="AN80" i="1"/>
  <c r="AO80" i="1"/>
  <c r="AN81" i="1"/>
  <c r="AO81" i="1"/>
  <c r="AN82" i="1"/>
  <c r="AO82" i="1"/>
  <c r="AN83" i="1"/>
  <c r="AO83" i="1"/>
  <c r="AN84" i="1"/>
  <c r="AO84" i="1"/>
  <c r="AN85" i="1"/>
  <c r="AO85" i="1"/>
  <c r="AN86" i="1"/>
  <c r="AO86" i="1"/>
  <c r="AN87" i="1"/>
  <c r="AO87" i="1"/>
  <c r="AN88" i="1"/>
  <c r="AO88" i="1"/>
  <c r="AN89" i="1"/>
  <c r="AO89" i="1"/>
  <c r="AN90" i="1"/>
  <c r="AO90" i="1"/>
  <c r="AN91" i="1"/>
  <c r="AO91" i="1"/>
  <c r="AN92" i="1"/>
  <c r="AO92" i="1"/>
  <c r="AN93" i="1"/>
  <c r="AO93" i="1"/>
  <c r="AN94" i="1"/>
  <c r="AO94" i="1"/>
  <c r="AN95" i="1"/>
  <c r="AO95" i="1"/>
  <c r="AN96" i="1"/>
  <c r="AO96" i="1"/>
  <c r="AN97" i="1"/>
  <c r="AO97" i="1"/>
  <c r="AN98" i="1"/>
  <c r="AO98" i="1"/>
  <c r="AN99" i="1"/>
  <c r="AO99" i="1"/>
  <c r="AN100" i="1"/>
  <c r="AO100" i="1"/>
  <c r="AN101" i="1"/>
  <c r="AO101" i="1"/>
  <c r="AN102" i="1"/>
  <c r="AO102" i="1"/>
  <c r="AN103" i="1"/>
  <c r="AO103" i="1"/>
  <c r="AN104" i="1"/>
  <c r="AO104" i="1"/>
  <c r="AN105" i="1"/>
  <c r="AO105" i="1"/>
  <c r="AN106" i="1"/>
  <c r="AO106" i="1"/>
  <c r="AN107" i="1"/>
  <c r="AO107" i="1"/>
  <c r="AN108" i="1"/>
  <c r="AO108" i="1"/>
  <c r="AN109" i="1"/>
  <c r="AO109" i="1"/>
  <c r="AN110" i="1"/>
  <c r="AO110" i="1"/>
  <c r="AN111" i="1"/>
  <c r="AO111" i="1"/>
  <c r="AN112" i="1"/>
  <c r="AO112" i="1"/>
  <c r="AN113" i="1"/>
  <c r="AO113" i="1"/>
  <c r="AN114" i="1"/>
  <c r="AO114" i="1"/>
  <c r="AN115" i="1"/>
  <c r="AO115" i="1"/>
  <c r="AN116" i="1"/>
  <c r="AO116" i="1"/>
  <c r="AN117" i="1"/>
  <c r="AO117" i="1"/>
  <c r="AN118" i="1"/>
  <c r="AO118" i="1"/>
  <c r="AN119" i="1"/>
  <c r="AO119" i="1"/>
  <c r="AN120" i="1"/>
  <c r="AO120" i="1"/>
  <c r="AN121" i="1"/>
  <c r="AO121" i="1"/>
  <c r="AN122" i="1"/>
  <c r="AO122" i="1"/>
  <c r="AN123" i="1"/>
  <c r="AO123" i="1"/>
  <c r="AN124" i="1"/>
  <c r="AO124" i="1"/>
  <c r="AN125" i="1"/>
  <c r="AO125" i="1"/>
  <c r="AN126" i="1"/>
  <c r="AO126" i="1"/>
  <c r="AN127" i="1"/>
  <c r="AO127" i="1"/>
  <c r="AN128" i="1"/>
  <c r="AO128" i="1"/>
  <c r="AN129" i="1"/>
  <c r="AO129" i="1"/>
  <c r="AN130" i="1"/>
  <c r="AO130" i="1"/>
  <c r="AN131" i="1"/>
  <c r="AO131" i="1"/>
  <c r="AN132" i="1"/>
  <c r="AO132" i="1"/>
  <c r="AN133" i="1"/>
  <c r="AO133" i="1"/>
  <c r="AN134" i="1"/>
  <c r="AO134" i="1"/>
  <c r="AN135" i="1"/>
  <c r="AO135" i="1"/>
  <c r="AN136" i="1"/>
  <c r="AO136" i="1"/>
  <c r="AN137" i="1"/>
  <c r="AO137" i="1"/>
  <c r="AN138" i="1"/>
  <c r="AO138" i="1"/>
  <c r="AN139" i="1"/>
  <c r="AO139" i="1"/>
  <c r="AN140" i="1"/>
  <c r="AO140" i="1"/>
  <c r="AN141" i="1"/>
  <c r="AO141" i="1"/>
  <c r="AN142" i="1"/>
  <c r="AO142" i="1"/>
  <c r="AN143" i="1"/>
  <c r="AO143" i="1"/>
  <c r="AN144" i="1"/>
  <c r="AO144" i="1"/>
  <c r="AN145" i="1"/>
  <c r="AO145" i="1"/>
  <c r="AN146" i="1"/>
  <c r="AO146" i="1"/>
  <c r="AN147" i="1"/>
  <c r="AO147" i="1"/>
  <c r="AN148" i="1"/>
  <c r="AO148" i="1"/>
  <c r="AN149" i="1"/>
  <c r="AO149" i="1"/>
  <c r="AN150" i="1"/>
  <c r="AO150" i="1"/>
  <c r="AN151" i="1"/>
  <c r="AO151" i="1"/>
  <c r="AN152" i="1"/>
  <c r="AO152" i="1"/>
  <c r="AN153" i="1"/>
  <c r="AO153" i="1"/>
  <c r="AN154" i="1"/>
  <c r="AO154" i="1"/>
  <c r="AN155" i="1"/>
  <c r="AO155" i="1"/>
  <c r="AN156" i="1"/>
  <c r="AO156" i="1"/>
  <c r="AN157" i="1"/>
  <c r="AO157" i="1"/>
  <c r="AN158" i="1"/>
  <c r="AO158" i="1"/>
  <c r="AN159" i="1"/>
  <c r="AO159" i="1"/>
  <c r="AN160" i="1"/>
  <c r="AO160" i="1"/>
  <c r="AN161" i="1"/>
  <c r="AO161" i="1"/>
  <c r="AN162" i="1"/>
  <c r="AO162" i="1"/>
  <c r="AN163" i="1"/>
  <c r="AO163" i="1"/>
  <c r="AN164" i="1"/>
  <c r="AO164" i="1"/>
  <c r="AN165" i="1"/>
  <c r="AO165" i="1"/>
  <c r="AN166" i="1"/>
  <c r="AO166" i="1"/>
  <c r="AN167" i="1"/>
  <c r="AO167" i="1"/>
  <c r="AN168" i="1"/>
  <c r="AO168" i="1"/>
  <c r="AN169" i="1"/>
  <c r="AO169" i="1"/>
  <c r="AN170" i="1"/>
  <c r="AO170" i="1"/>
  <c r="AN171" i="1"/>
  <c r="AO171" i="1"/>
  <c r="AN172" i="1"/>
  <c r="AO172" i="1"/>
  <c r="AN173" i="1"/>
  <c r="AO173" i="1"/>
  <c r="AN174" i="1"/>
  <c r="AO174" i="1"/>
  <c r="AN175" i="1"/>
  <c r="AO175" i="1"/>
  <c r="AN176" i="1"/>
  <c r="AO176" i="1"/>
  <c r="AN177" i="1"/>
  <c r="AO177" i="1"/>
  <c r="AN178" i="1"/>
  <c r="AO178" i="1"/>
  <c r="AN179" i="1"/>
  <c r="AO179" i="1"/>
  <c r="AN180" i="1"/>
  <c r="AO180" i="1"/>
  <c r="AN181" i="1"/>
  <c r="AO181" i="1"/>
  <c r="AN182" i="1"/>
  <c r="AO182" i="1"/>
  <c r="AN183" i="1"/>
  <c r="AO183" i="1"/>
  <c r="AN184" i="1"/>
  <c r="AO184" i="1"/>
  <c r="AN185" i="1"/>
  <c r="AO185" i="1"/>
  <c r="AN186" i="1"/>
  <c r="AO186" i="1"/>
  <c r="AN187" i="1"/>
  <c r="AO187" i="1"/>
  <c r="AN188" i="1"/>
  <c r="AO188" i="1"/>
  <c r="AN189" i="1"/>
  <c r="AO189" i="1"/>
  <c r="AN190" i="1"/>
  <c r="AO190" i="1"/>
  <c r="AN191" i="1"/>
  <c r="AO191" i="1"/>
  <c r="AN192" i="1"/>
  <c r="AO192" i="1"/>
  <c r="AN193" i="1"/>
  <c r="AO193" i="1"/>
  <c r="AN194" i="1"/>
  <c r="AO194" i="1"/>
  <c r="AN195" i="1"/>
  <c r="AO195" i="1"/>
  <c r="AN196" i="1"/>
  <c r="AO196" i="1"/>
  <c r="AN197" i="1"/>
  <c r="AO197" i="1"/>
  <c r="AN198" i="1"/>
  <c r="AO198" i="1"/>
  <c r="AN199" i="1"/>
  <c r="AO199" i="1"/>
  <c r="AN200" i="1"/>
  <c r="AO200" i="1"/>
  <c r="AN201" i="1"/>
  <c r="AO201" i="1"/>
  <c r="AN202" i="1"/>
  <c r="AO202" i="1"/>
  <c r="AN203" i="1"/>
  <c r="AO203" i="1"/>
  <c r="AN204" i="1"/>
  <c r="AO204" i="1"/>
  <c r="AN205" i="1"/>
  <c r="AO205" i="1"/>
  <c r="AN206" i="1"/>
  <c r="AO206" i="1"/>
  <c r="AN207" i="1"/>
  <c r="AO207" i="1"/>
  <c r="AN208" i="1"/>
  <c r="AO208" i="1"/>
  <c r="AN209" i="1"/>
  <c r="AO209" i="1"/>
  <c r="AN210" i="1"/>
  <c r="AO210" i="1"/>
  <c r="AN211" i="1"/>
  <c r="AO211" i="1"/>
  <c r="AN212" i="1"/>
  <c r="AO212" i="1"/>
  <c r="AN213" i="1"/>
  <c r="AO213" i="1"/>
  <c r="AN214" i="1"/>
  <c r="AO214" i="1"/>
  <c r="AN215" i="1"/>
  <c r="AO215" i="1"/>
  <c r="AN216" i="1"/>
  <c r="AO216" i="1"/>
  <c r="AN217" i="1"/>
  <c r="AO217" i="1"/>
  <c r="AN218" i="1"/>
  <c r="AO218" i="1"/>
  <c r="AN219" i="1"/>
  <c r="AO219" i="1"/>
  <c r="AN220" i="1"/>
  <c r="AO220" i="1"/>
  <c r="AN221" i="1"/>
  <c r="AO221" i="1"/>
  <c r="AN222" i="1"/>
  <c r="AO222" i="1"/>
  <c r="AN223" i="1"/>
  <c r="AO223" i="1"/>
  <c r="AN224" i="1"/>
  <c r="AO224" i="1"/>
  <c r="AN225" i="1"/>
  <c r="AO225" i="1"/>
  <c r="AN226" i="1"/>
  <c r="AO226" i="1"/>
  <c r="AN227" i="1"/>
  <c r="AO227" i="1"/>
  <c r="AN228" i="1"/>
  <c r="AO228" i="1"/>
  <c r="AN229" i="1"/>
  <c r="AO229" i="1"/>
  <c r="AN230" i="1"/>
  <c r="AO230" i="1"/>
  <c r="AN231" i="1"/>
  <c r="AO231" i="1"/>
  <c r="AN232" i="1"/>
  <c r="AO232" i="1"/>
  <c r="AN233" i="1"/>
  <c r="AO233" i="1"/>
  <c r="AN234" i="1"/>
  <c r="AO234" i="1"/>
  <c r="AN235" i="1"/>
  <c r="AO235" i="1"/>
  <c r="AN236" i="1"/>
  <c r="AO236" i="1"/>
  <c r="AN237" i="1"/>
  <c r="AO237" i="1"/>
  <c r="AN238" i="1"/>
  <c r="AO238" i="1"/>
  <c r="AN239" i="1"/>
  <c r="AO239" i="1"/>
  <c r="AN240" i="1"/>
  <c r="AO240" i="1"/>
  <c r="AN241" i="1"/>
  <c r="AO241" i="1"/>
  <c r="AN242" i="1"/>
  <c r="AO242" i="1"/>
  <c r="AN243" i="1"/>
  <c r="AO243" i="1"/>
  <c r="AN244" i="1"/>
  <c r="AO244" i="1"/>
  <c r="AN245" i="1"/>
  <c r="AO245" i="1"/>
  <c r="AN246" i="1"/>
  <c r="AO246" i="1"/>
  <c r="AN247" i="1"/>
  <c r="AO247" i="1"/>
  <c r="AN248" i="1"/>
  <c r="AO248" i="1"/>
  <c r="AN249" i="1"/>
  <c r="AO249" i="1"/>
  <c r="AN250" i="1"/>
  <c r="AO250" i="1"/>
  <c r="AN251" i="1"/>
  <c r="AO251" i="1"/>
  <c r="AN252" i="1"/>
  <c r="AO252" i="1"/>
  <c r="AN253" i="1"/>
  <c r="AO253" i="1"/>
  <c r="AN254" i="1"/>
  <c r="AO254" i="1"/>
  <c r="AN255" i="1"/>
  <c r="AO255" i="1"/>
  <c r="AN256" i="1"/>
  <c r="AO256" i="1"/>
  <c r="AN257" i="1"/>
  <c r="AO257" i="1"/>
  <c r="AN258" i="1"/>
  <c r="AO258" i="1"/>
  <c r="AN259" i="1"/>
  <c r="AO259" i="1"/>
  <c r="AN260" i="1"/>
  <c r="AO260" i="1"/>
  <c r="AN261" i="1"/>
  <c r="AO261" i="1"/>
  <c r="AN262" i="1"/>
  <c r="AO262" i="1"/>
  <c r="AN263" i="1"/>
  <c r="AO263" i="1"/>
  <c r="AN264" i="1"/>
  <c r="AO264" i="1"/>
  <c r="AN265" i="1"/>
  <c r="AO265" i="1"/>
  <c r="AN266" i="1"/>
  <c r="AO266" i="1"/>
  <c r="AN267" i="1"/>
  <c r="AO267" i="1"/>
  <c r="AN268" i="1"/>
  <c r="AO268" i="1"/>
  <c r="AN269" i="1"/>
  <c r="AO269" i="1"/>
  <c r="AN270" i="1"/>
  <c r="AO270" i="1"/>
  <c r="AN271" i="1"/>
  <c r="AO271" i="1"/>
  <c r="AN272" i="1"/>
  <c r="AO272" i="1"/>
  <c r="AN273" i="1"/>
  <c r="AO273" i="1"/>
  <c r="AN274" i="1"/>
  <c r="AO274" i="1"/>
  <c r="AN275" i="1"/>
  <c r="AO275" i="1"/>
  <c r="AN276" i="1"/>
  <c r="AO276" i="1"/>
  <c r="AN277" i="1"/>
  <c r="AO277" i="1"/>
  <c r="AN278" i="1"/>
  <c r="AO278" i="1"/>
  <c r="AN279" i="1"/>
  <c r="AO279" i="1"/>
  <c r="AN280" i="1"/>
  <c r="AO280" i="1"/>
  <c r="AN281" i="1"/>
  <c r="AO281" i="1"/>
  <c r="AN282" i="1"/>
  <c r="AO282" i="1"/>
  <c r="AN283" i="1"/>
  <c r="AO283" i="1"/>
  <c r="AN284" i="1"/>
  <c r="AO284" i="1"/>
  <c r="AN285" i="1"/>
  <c r="AO285" i="1"/>
  <c r="AN286" i="1"/>
  <c r="AO286" i="1"/>
  <c r="AN287" i="1"/>
  <c r="AO287" i="1"/>
  <c r="AN288" i="1"/>
  <c r="AO288" i="1"/>
  <c r="AN289" i="1"/>
  <c r="AO289" i="1"/>
  <c r="AN290" i="1"/>
  <c r="AO290" i="1"/>
  <c r="AN291" i="1"/>
  <c r="AO291" i="1"/>
  <c r="AN292" i="1"/>
  <c r="AO292" i="1"/>
  <c r="AN293" i="1"/>
  <c r="AO293" i="1"/>
  <c r="AN294" i="1"/>
  <c r="AO294" i="1"/>
  <c r="AN295" i="1"/>
  <c r="AO295" i="1"/>
  <c r="AN296" i="1"/>
  <c r="AO296" i="1"/>
  <c r="AN297" i="1"/>
  <c r="AO297" i="1"/>
  <c r="AN298" i="1"/>
  <c r="AO298" i="1"/>
  <c r="AN299" i="1"/>
  <c r="AO299" i="1"/>
  <c r="AN300" i="1"/>
  <c r="AO300" i="1"/>
  <c r="AN301" i="1"/>
  <c r="AO301" i="1"/>
  <c r="AN302" i="1"/>
  <c r="AO302" i="1"/>
  <c r="AN303" i="1"/>
  <c r="AO303" i="1"/>
  <c r="AN304" i="1"/>
  <c r="AO304" i="1"/>
  <c r="AN305" i="1"/>
  <c r="AO305" i="1"/>
  <c r="AN306" i="1"/>
  <c r="AO306" i="1"/>
  <c r="AN307" i="1"/>
  <c r="AO307" i="1"/>
  <c r="AN308" i="1"/>
  <c r="AO308" i="1"/>
  <c r="AN309" i="1"/>
  <c r="AO309" i="1"/>
  <c r="AN310" i="1"/>
  <c r="AO310" i="1"/>
  <c r="AN311" i="1"/>
  <c r="AO311" i="1"/>
  <c r="AN312" i="1"/>
  <c r="AO312" i="1"/>
  <c r="AN313" i="1"/>
  <c r="AO313" i="1"/>
  <c r="AN314" i="1"/>
  <c r="AO314" i="1"/>
  <c r="AN315" i="1"/>
  <c r="AO315" i="1"/>
  <c r="AN316" i="1"/>
  <c r="AO316" i="1"/>
  <c r="AN317" i="1"/>
  <c r="AO317" i="1"/>
  <c r="AN318" i="1"/>
  <c r="AO318" i="1"/>
  <c r="AN319" i="1"/>
  <c r="AO319" i="1"/>
  <c r="AN320" i="1"/>
  <c r="AO320" i="1"/>
  <c r="AN321" i="1"/>
  <c r="AO321" i="1"/>
  <c r="AN322" i="1"/>
  <c r="AO322" i="1"/>
  <c r="AN323" i="1"/>
  <c r="AO323" i="1"/>
  <c r="AN324" i="1"/>
  <c r="AO324" i="1"/>
  <c r="AN325" i="1"/>
  <c r="AO325" i="1"/>
  <c r="AN326" i="1"/>
  <c r="AO326" i="1"/>
  <c r="AN327" i="1"/>
  <c r="AO327" i="1"/>
  <c r="AN328" i="1"/>
  <c r="AO328" i="1"/>
  <c r="AN329" i="1"/>
  <c r="AO329" i="1"/>
  <c r="AN330" i="1"/>
  <c r="AO330" i="1"/>
  <c r="AN331" i="1"/>
  <c r="AO331" i="1"/>
  <c r="AN332" i="1"/>
  <c r="AO332" i="1"/>
  <c r="AN333" i="1"/>
  <c r="AO333" i="1"/>
  <c r="AN334" i="1"/>
  <c r="AO334" i="1"/>
  <c r="AN335" i="1"/>
  <c r="AO335" i="1"/>
  <c r="AN336" i="1"/>
  <c r="AO336" i="1"/>
  <c r="AN337" i="1"/>
  <c r="AO337" i="1"/>
  <c r="AN338" i="1"/>
  <c r="AO338" i="1"/>
  <c r="AN339" i="1"/>
  <c r="AO339" i="1"/>
  <c r="AN340" i="1"/>
  <c r="AO340" i="1"/>
  <c r="AN341" i="1"/>
  <c r="AO341" i="1"/>
  <c r="AN342" i="1"/>
  <c r="AO342" i="1"/>
  <c r="AN343" i="1"/>
  <c r="AO343" i="1"/>
  <c r="AN344" i="1"/>
  <c r="AO344" i="1"/>
  <c r="AN345" i="1"/>
  <c r="AO345" i="1"/>
  <c r="AN346" i="1"/>
  <c r="AO346" i="1"/>
  <c r="AN347" i="1"/>
  <c r="AO347" i="1"/>
  <c r="AN348" i="1"/>
  <c r="AO348" i="1"/>
  <c r="AN349" i="1"/>
  <c r="AO349" i="1"/>
  <c r="AN350" i="1"/>
  <c r="AO350" i="1"/>
  <c r="AN351" i="1"/>
  <c r="AO351" i="1"/>
  <c r="AN352" i="1"/>
  <c r="AO352" i="1"/>
  <c r="AN353" i="1"/>
  <c r="AO353" i="1"/>
  <c r="AN354" i="1"/>
  <c r="AO354" i="1"/>
  <c r="AN355" i="1"/>
  <c r="AO355" i="1"/>
  <c r="AN356" i="1"/>
  <c r="AO356" i="1"/>
  <c r="AN357" i="1"/>
  <c r="AO357" i="1"/>
  <c r="AN358" i="1"/>
  <c r="AO358" i="1"/>
  <c r="AN359" i="1"/>
  <c r="AO359" i="1"/>
  <c r="AN360" i="1"/>
  <c r="AO360" i="1"/>
  <c r="AN361" i="1"/>
  <c r="AO361" i="1"/>
  <c r="AN362" i="1"/>
  <c r="AO362" i="1"/>
  <c r="AN363" i="1"/>
  <c r="AO363" i="1"/>
  <c r="AN364" i="1"/>
  <c r="AO364" i="1"/>
  <c r="AN365" i="1"/>
  <c r="AO365" i="1"/>
  <c r="AN366" i="1"/>
  <c r="AO366" i="1"/>
  <c r="AN367" i="1"/>
  <c r="AO367" i="1"/>
  <c r="AN368" i="1"/>
  <c r="AO368" i="1"/>
  <c r="AN369" i="1"/>
  <c r="AO369" i="1"/>
  <c r="AN370" i="1"/>
  <c r="AO370" i="1"/>
  <c r="AN371" i="1"/>
  <c r="AO371" i="1"/>
  <c r="AN372" i="1"/>
  <c r="AO372" i="1"/>
  <c r="AN373" i="1"/>
  <c r="AO373" i="1"/>
  <c r="AN374" i="1"/>
  <c r="AO374" i="1"/>
  <c r="AN375" i="1"/>
  <c r="AO375" i="1"/>
  <c r="AN376" i="1"/>
  <c r="AO376" i="1"/>
  <c r="AN377" i="1"/>
  <c r="AO377" i="1"/>
  <c r="AN378" i="1"/>
  <c r="AO378" i="1"/>
  <c r="AN379" i="1"/>
  <c r="AO379" i="1"/>
  <c r="AN380" i="1"/>
  <c r="AO380" i="1"/>
  <c r="AN381" i="1"/>
  <c r="AO381" i="1"/>
  <c r="AN382" i="1"/>
  <c r="AO382" i="1"/>
  <c r="AN383" i="1"/>
  <c r="AO383" i="1"/>
  <c r="AN384" i="1"/>
  <c r="AO384" i="1"/>
  <c r="AN385" i="1"/>
  <c r="AO385" i="1"/>
  <c r="AN386" i="1"/>
  <c r="AO386" i="1"/>
  <c r="AN387" i="1"/>
  <c r="AO387" i="1"/>
  <c r="AN388" i="1"/>
  <c r="AO388" i="1"/>
  <c r="AN389" i="1"/>
  <c r="AO389" i="1"/>
  <c r="AN390" i="1"/>
  <c r="AO390" i="1"/>
  <c r="AN391" i="1"/>
  <c r="AO391" i="1"/>
  <c r="AN392" i="1"/>
  <c r="AO392" i="1"/>
  <c r="AN393" i="1"/>
  <c r="AO393" i="1"/>
  <c r="AN394" i="1"/>
  <c r="AO394" i="1"/>
  <c r="AN395" i="1"/>
  <c r="AO395" i="1"/>
  <c r="AN396" i="1"/>
  <c r="AO396" i="1"/>
  <c r="AN397" i="1"/>
  <c r="AO397" i="1"/>
  <c r="AN398" i="1"/>
  <c r="AO398" i="1"/>
  <c r="AN399" i="1"/>
  <c r="AO399" i="1"/>
  <c r="AN400" i="1"/>
  <c r="AO400" i="1"/>
  <c r="AN401" i="1"/>
  <c r="AO401" i="1"/>
  <c r="AN402" i="1"/>
  <c r="AO402" i="1"/>
  <c r="AN403" i="1"/>
  <c r="AO403" i="1"/>
  <c r="AN404" i="1"/>
  <c r="AO404" i="1"/>
  <c r="AN405" i="1"/>
  <c r="AO405" i="1"/>
  <c r="AN406" i="1"/>
  <c r="AO406" i="1"/>
  <c r="AN407" i="1"/>
  <c r="AO407" i="1"/>
  <c r="AN408" i="1"/>
  <c r="AO408" i="1"/>
  <c r="AN409" i="1"/>
  <c r="AO409" i="1"/>
  <c r="AN410" i="1"/>
  <c r="AO410" i="1"/>
  <c r="AN411" i="1"/>
  <c r="AO411" i="1"/>
  <c r="AN412" i="1"/>
  <c r="AO412" i="1"/>
  <c r="AN413" i="1"/>
  <c r="AO413" i="1"/>
  <c r="AN414" i="1"/>
  <c r="AO414" i="1"/>
  <c r="AN415" i="1"/>
  <c r="AO415" i="1"/>
  <c r="AN416" i="1"/>
  <c r="AO416" i="1"/>
  <c r="AN417" i="1"/>
  <c r="AO417" i="1"/>
  <c r="AN418" i="1"/>
  <c r="AO418" i="1"/>
  <c r="AN419" i="1"/>
  <c r="AO419" i="1"/>
  <c r="AN420" i="1"/>
  <c r="AO420" i="1"/>
  <c r="AN421" i="1"/>
  <c r="AO421" i="1"/>
  <c r="AN422" i="1"/>
  <c r="AO422" i="1"/>
  <c r="AN423" i="1"/>
  <c r="AO423" i="1"/>
  <c r="AN424" i="1"/>
  <c r="AO424" i="1"/>
  <c r="AN425" i="1"/>
  <c r="AO425" i="1"/>
  <c r="AN426" i="1"/>
  <c r="AO426" i="1"/>
  <c r="AN427" i="1"/>
  <c r="AO427" i="1"/>
  <c r="AN428" i="1"/>
  <c r="AO428" i="1"/>
  <c r="AN429" i="1"/>
  <c r="AO429" i="1"/>
  <c r="AN430" i="1"/>
  <c r="AO430" i="1"/>
  <c r="AN431" i="1"/>
  <c r="AO431" i="1"/>
  <c r="AN432" i="1"/>
  <c r="AO432" i="1"/>
  <c r="AN433" i="1"/>
  <c r="AO433" i="1"/>
  <c r="AN434" i="1"/>
  <c r="AO434" i="1"/>
  <c r="AN435" i="1"/>
  <c r="AO435" i="1"/>
  <c r="AN436" i="1"/>
  <c r="AO436" i="1"/>
  <c r="AN437" i="1"/>
  <c r="AO437" i="1"/>
  <c r="AN438" i="1"/>
  <c r="AO438" i="1"/>
  <c r="AN439" i="1"/>
  <c r="AO439" i="1"/>
  <c r="AN440" i="1"/>
  <c r="AO440" i="1"/>
  <c r="AN441" i="1"/>
  <c r="AO441" i="1"/>
  <c r="AN442" i="1"/>
  <c r="AO442" i="1"/>
  <c r="AN443" i="1"/>
  <c r="AO443" i="1"/>
  <c r="AN444" i="1"/>
  <c r="AO444" i="1"/>
  <c r="AN445" i="1"/>
  <c r="AO445" i="1"/>
  <c r="AN446" i="1"/>
  <c r="AO446" i="1"/>
  <c r="AN447" i="1"/>
  <c r="AO447" i="1"/>
  <c r="AN448" i="1"/>
  <c r="AO448" i="1"/>
  <c r="AN449" i="1"/>
  <c r="AO449" i="1"/>
  <c r="AN450" i="1"/>
  <c r="AO450" i="1"/>
  <c r="AN451" i="1"/>
  <c r="AO451" i="1"/>
  <c r="AN452" i="1"/>
  <c r="AO452" i="1"/>
  <c r="AN453" i="1"/>
  <c r="AO453" i="1"/>
  <c r="AN454" i="1"/>
  <c r="AO454" i="1"/>
  <c r="AN455" i="1"/>
  <c r="AO455" i="1"/>
  <c r="AN456" i="1"/>
  <c r="AO456" i="1"/>
  <c r="AN457" i="1"/>
  <c r="AO457" i="1"/>
  <c r="AN458" i="1"/>
  <c r="AO458" i="1"/>
  <c r="AN459" i="1"/>
  <c r="AO459" i="1"/>
  <c r="AN460" i="1"/>
  <c r="AO460" i="1"/>
  <c r="AN461" i="1"/>
  <c r="AO461" i="1"/>
  <c r="AN462" i="1"/>
  <c r="AO462" i="1"/>
  <c r="AN463" i="1"/>
  <c r="AO463" i="1"/>
  <c r="AN464" i="1"/>
  <c r="AO464" i="1"/>
  <c r="AN465" i="1"/>
  <c r="AO465" i="1"/>
  <c r="AN466" i="1"/>
  <c r="AO466" i="1"/>
  <c r="AN467" i="1"/>
  <c r="AO467" i="1"/>
  <c r="AN468" i="1"/>
  <c r="AO468" i="1"/>
  <c r="AN469" i="1"/>
  <c r="AO469" i="1"/>
  <c r="AN470" i="1"/>
  <c r="AO470" i="1"/>
  <c r="AN471" i="1"/>
  <c r="AO471" i="1"/>
  <c r="AN472" i="1"/>
  <c r="AO472" i="1"/>
  <c r="AN473" i="1"/>
  <c r="AO473" i="1"/>
  <c r="AN474" i="1"/>
  <c r="AO474" i="1"/>
  <c r="AN475" i="1"/>
  <c r="AO475" i="1"/>
  <c r="AN476" i="1"/>
  <c r="AO476" i="1"/>
  <c r="AN477" i="1"/>
  <c r="AO477" i="1"/>
  <c r="AN478" i="1"/>
  <c r="AO478" i="1"/>
  <c r="AN479" i="1"/>
  <c r="AO479" i="1"/>
  <c r="AN480" i="1"/>
  <c r="AO480" i="1"/>
  <c r="AN481" i="1"/>
  <c r="AO481" i="1"/>
  <c r="AN482" i="1"/>
  <c r="AO482" i="1"/>
  <c r="AN483" i="1"/>
  <c r="AO483" i="1"/>
  <c r="AN484" i="1"/>
  <c r="AO484" i="1"/>
  <c r="AN485" i="1"/>
  <c r="AO485" i="1"/>
  <c r="AN486" i="1"/>
  <c r="AO486" i="1"/>
  <c r="AN487" i="1"/>
  <c r="AO487" i="1"/>
  <c r="AN488" i="1"/>
  <c r="AO488" i="1"/>
  <c r="AN489" i="1"/>
  <c r="AO489" i="1"/>
  <c r="AN490" i="1"/>
  <c r="AO490" i="1"/>
  <c r="AN491" i="1"/>
  <c r="AO491" i="1"/>
  <c r="AN492" i="1"/>
  <c r="AO492" i="1"/>
  <c r="AN493" i="1"/>
  <c r="AO493" i="1"/>
  <c r="AN494" i="1"/>
  <c r="AO494" i="1"/>
  <c r="AN495" i="1"/>
  <c r="AO495" i="1"/>
  <c r="AN496" i="1"/>
  <c r="AO496" i="1"/>
  <c r="AN497" i="1"/>
  <c r="AO497" i="1"/>
  <c r="AN498" i="1"/>
  <c r="AO498" i="1"/>
  <c r="AN499" i="1"/>
  <c r="AO499" i="1"/>
  <c r="AN500" i="1"/>
  <c r="AO500" i="1"/>
  <c r="AN501" i="1"/>
  <c r="AO501" i="1"/>
  <c r="AN502" i="1"/>
  <c r="AO502" i="1"/>
  <c r="AN503" i="1"/>
  <c r="AO503" i="1"/>
  <c r="AN504" i="1"/>
  <c r="AO504" i="1"/>
  <c r="AN505" i="1"/>
  <c r="AO505" i="1"/>
  <c r="AN506" i="1"/>
  <c r="AO506" i="1"/>
  <c r="AN507" i="1"/>
  <c r="AO507" i="1"/>
  <c r="AN508" i="1"/>
  <c r="AO508" i="1"/>
  <c r="AN509" i="1"/>
  <c r="AO509" i="1"/>
  <c r="AN510" i="1"/>
  <c r="AO510" i="1"/>
  <c r="AN511" i="1"/>
  <c r="AO511" i="1"/>
  <c r="AN512" i="1"/>
  <c r="AO512" i="1"/>
  <c r="AN513" i="1"/>
  <c r="AO513" i="1"/>
  <c r="AN514" i="1"/>
  <c r="AO514" i="1"/>
  <c r="AN515" i="1"/>
  <c r="AO515" i="1"/>
  <c r="AN516" i="1"/>
  <c r="AO516" i="1"/>
  <c r="AN517" i="1"/>
  <c r="AO517" i="1"/>
  <c r="AN518" i="1"/>
  <c r="AO518" i="1"/>
  <c r="AN519" i="1"/>
  <c r="AO519" i="1"/>
  <c r="AN520" i="1"/>
  <c r="AO520" i="1"/>
  <c r="AN521" i="1"/>
  <c r="AO521" i="1"/>
  <c r="AN522" i="1"/>
  <c r="AO522" i="1"/>
  <c r="AN523" i="1"/>
  <c r="AO523" i="1"/>
  <c r="AN524" i="1"/>
  <c r="AO524" i="1"/>
  <c r="AN525" i="1"/>
  <c r="AO525" i="1"/>
  <c r="AN526" i="1"/>
  <c r="AO526" i="1"/>
  <c r="AN527" i="1"/>
  <c r="AO527" i="1"/>
  <c r="AN528" i="1"/>
  <c r="AO528" i="1"/>
  <c r="AN529" i="1"/>
  <c r="AO529" i="1"/>
  <c r="AN530" i="1"/>
  <c r="AO530" i="1"/>
  <c r="AN531" i="1"/>
  <c r="AO531" i="1"/>
  <c r="AN532" i="1"/>
  <c r="AO532" i="1"/>
  <c r="AN533" i="1"/>
  <c r="AO533" i="1"/>
  <c r="AN534" i="1"/>
  <c r="AO534" i="1"/>
  <c r="AN535" i="1"/>
  <c r="AO535" i="1"/>
  <c r="AN536" i="1"/>
  <c r="AO536" i="1"/>
  <c r="AN537" i="1"/>
  <c r="AO537" i="1"/>
  <c r="AN538" i="1"/>
  <c r="AO538" i="1"/>
  <c r="AN539" i="1"/>
  <c r="AO539" i="1"/>
  <c r="AN540" i="1"/>
  <c r="AO540" i="1"/>
  <c r="AN541" i="1"/>
  <c r="AO541" i="1"/>
  <c r="AN542" i="1"/>
  <c r="AO542" i="1"/>
  <c r="AN543" i="1"/>
  <c r="AO543" i="1"/>
  <c r="AN544" i="1"/>
  <c r="AO544" i="1"/>
  <c r="AN545" i="1"/>
  <c r="AO545" i="1"/>
  <c r="AN546" i="1"/>
  <c r="AO546" i="1"/>
  <c r="AN547" i="1"/>
  <c r="AO547" i="1"/>
  <c r="AN548" i="1"/>
  <c r="AO548" i="1"/>
  <c r="AN549" i="1"/>
  <c r="AO549" i="1"/>
  <c r="AN550" i="1"/>
  <c r="AO550" i="1"/>
  <c r="AN551" i="1"/>
  <c r="AO551" i="1"/>
  <c r="AN552" i="1"/>
  <c r="AO552" i="1"/>
  <c r="AN553" i="1"/>
  <c r="AO553" i="1"/>
  <c r="AN554" i="1"/>
  <c r="AO554" i="1"/>
  <c r="AN555" i="1"/>
  <c r="AO555" i="1"/>
  <c r="AN556" i="1"/>
  <c r="AO556" i="1"/>
  <c r="AN557" i="1"/>
  <c r="AO557" i="1"/>
  <c r="AN558" i="1"/>
  <c r="AO558" i="1"/>
  <c r="AN559" i="1"/>
  <c r="AO559" i="1"/>
  <c r="AN560" i="1"/>
  <c r="AO560" i="1"/>
  <c r="AN561" i="1"/>
  <c r="AO561" i="1"/>
  <c r="AN562" i="1"/>
  <c r="AO562" i="1"/>
  <c r="AN563" i="1"/>
  <c r="AO563" i="1"/>
  <c r="AN5" i="1"/>
  <c r="AJ563" i="1"/>
  <c r="AH563" i="1"/>
  <c r="AF563" i="1"/>
  <c r="AD563" i="1"/>
  <c r="AB563" i="1"/>
  <c r="Z563" i="1"/>
  <c r="X563" i="1"/>
  <c r="V563" i="1"/>
  <c r="T563" i="1"/>
  <c r="R563" i="1"/>
  <c r="P563" i="1"/>
  <c r="N563" i="1"/>
  <c r="L563" i="1"/>
  <c r="J563" i="1"/>
  <c r="H563" i="1"/>
  <c r="F563" i="1"/>
  <c r="AM562" i="1"/>
  <c r="AK562" i="1"/>
  <c r="AI562" i="1"/>
  <c r="AG562" i="1"/>
  <c r="AE562" i="1"/>
  <c r="AC562" i="1"/>
  <c r="AA562" i="1"/>
  <c r="Y562" i="1"/>
  <c r="W562" i="1"/>
  <c r="U562" i="1"/>
  <c r="S562" i="1"/>
  <c r="Q562" i="1"/>
  <c r="O562" i="1"/>
  <c r="M562" i="1"/>
  <c r="K562" i="1"/>
  <c r="I562" i="1"/>
  <c r="G562" i="1"/>
  <c r="AM561" i="1"/>
  <c r="AK561" i="1"/>
  <c r="AI561" i="1"/>
  <c r="AG561" i="1"/>
  <c r="AE561" i="1"/>
  <c r="AC561" i="1"/>
  <c r="AA561" i="1"/>
  <c r="Y561" i="1"/>
  <c r="W561" i="1"/>
  <c r="U561" i="1"/>
  <c r="S561" i="1"/>
  <c r="Q561" i="1"/>
  <c r="O561" i="1"/>
  <c r="M561" i="1"/>
  <c r="K561" i="1"/>
  <c r="I561" i="1"/>
  <c r="G561" i="1"/>
  <c r="AM560" i="1"/>
  <c r="AK560" i="1"/>
  <c r="AI560" i="1"/>
  <c r="AG560" i="1"/>
  <c r="AE560" i="1"/>
  <c r="AC560" i="1"/>
  <c r="AA560" i="1"/>
  <c r="Y560" i="1"/>
  <c r="W560" i="1"/>
  <c r="U560" i="1"/>
  <c r="S560" i="1"/>
  <c r="Q560" i="1"/>
  <c r="O560" i="1"/>
  <c r="M560" i="1"/>
  <c r="K560" i="1"/>
  <c r="I560" i="1"/>
  <c r="G560" i="1"/>
  <c r="AM559" i="1"/>
  <c r="AK559" i="1"/>
  <c r="AI559" i="1"/>
  <c r="AG559" i="1"/>
  <c r="AE559" i="1"/>
  <c r="AC559" i="1"/>
  <c r="AA559" i="1"/>
  <c r="Y559" i="1"/>
  <c r="W559" i="1"/>
  <c r="U559" i="1"/>
  <c r="S559" i="1"/>
  <c r="Q559" i="1"/>
  <c r="O559" i="1"/>
  <c r="M559" i="1"/>
  <c r="K559" i="1"/>
  <c r="I559" i="1"/>
  <c r="G559" i="1"/>
  <c r="AM558" i="1"/>
  <c r="AK558" i="1"/>
  <c r="AI558" i="1"/>
  <c r="AG558" i="1"/>
  <c r="AE558" i="1"/>
  <c r="AC558" i="1"/>
  <c r="AA558" i="1"/>
  <c r="Y558" i="1"/>
  <c r="W558" i="1"/>
  <c r="U558" i="1"/>
  <c r="S558" i="1"/>
  <c r="Q558" i="1"/>
  <c r="O558" i="1"/>
  <c r="M558" i="1"/>
  <c r="K558" i="1"/>
  <c r="I558" i="1"/>
  <c r="G558" i="1"/>
  <c r="AM557" i="1"/>
  <c r="AK557" i="1"/>
  <c r="AI557" i="1"/>
  <c r="AG557" i="1"/>
  <c r="AE557" i="1"/>
  <c r="AC557" i="1"/>
  <c r="AA557" i="1"/>
  <c r="Y557" i="1"/>
  <c r="W557" i="1"/>
  <c r="U557" i="1"/>
  <c r="S557" i="1"/>
  <c r="Q557" i="1"/>
  <c r="O557" i="1"/>
  <c r="M557" i="1"/>
  <c r="K557" i="1"/>
  <c r="I557" i="1"/>
  <c r="G557" i="1"/>
  <c r="AM556" i="1"/>
  <c r="AK556" i="1"/>
  <c r="AI556" i="1"/>
  <c r="AG556" i="1"/>
  <c r="AE556" i="1"/>
  <c r="AC556" i="1"/>
  <c r="AA556" i="1"/>
  <c r="Y556" i="1"/>
  <c r="W556" i="1"/>
  <c r="U556" i="1"/>
  <c r="S556" i="1"/>
  <c r="Q556" i="1"/>
  <c r="O556" i="1"/>
  <c r="M556" i="1"/>
  <c r="K556" i="1"/>
  <c r="I556" i="1"/>
  <c r="G556" i="1"/>
  <c r="AM555" i="1"/>
  <c r="AK555" i="1"/>
  <c r="AI555" i="1"/>
  <c r="AG555" i="1"/>
  <c r="AE555" i="1"/>
  <c r="AC555" i="1"/>
  <c r="AA555" i="1"/>
  <c r="Y555" i="1"/>
  <c r="W555" i="1"/>
  <c r="U555" i="1"/>
  <c r="S555" i="1"/>
  <c r="Q555" i="1"/>
  <c r="O555" i="1"/>
  <c r="M555" i="1"/>
  <c r="K555" i="1"/>
  <c r="I555" i="1"/>
  <c r="G555" i="1"/>
  <c r="AM554" i="1"/>
  <c r="AK554" i="1"/>
  <c r="AI554" i="1"/>
  <c r="AG554" i="1"/>
  <c r="AE554" i="1"/>
  <c r="AC554" i="1"/>
  <c r="AA554" i="1"/>
  <c r="Y554" i="1"/>
  <c r="W554" i="1"/>
  <c r="U554" i="1"/>
  <c r="S554" i="1"/>
  <c r="Q554" i="1"/>
  <c r="O554" i="1"/>
  <c r="M554" i="1"/>
  <c r="K554" i="1"/>
  <c r="I554" i="1"/>
  <c r="G554" i="1"/>
  <c r="AM553" i="1"/>
  <c r="AK553" i="1"/>
  <c r="AI553" i="1"/>
  <c r="AG553" i="1"/>
  <c r="AE553" i="1"/>
  <c r="AC553" i="1"/>
  <c r="AA553" i="1"/>
  <c r="Y553" i="1"/>
  <c r="W553" i="1"/>
  <c r="U553" i="1"/>
  <c r="S553" i="1"/>
  <c r="Q553" i="1"/>
  <c r="O553" i="1"/>
  <c r="M553" i="1"/>
  <c r="K553" i="1"/>
  <c r="I553" i="1"/>
  <c r="G553" i="1"/>
  <c r="AM552" i="1"/>
  <c r="AK552" i="1"/>
  <c r="AI552" i="1"/>
  <c r="AG552" i="1"/>
  <c r="AE552" i="1"/>
  <c r="AC552" i="1"/>
  <c r="AA552" i="1"/>
  <c r="Y552" i="1"/>
  <c r="W552" i="1"/>
  <c r="U552" i="1"/>
  <c r="S552" i="1"/>
  <c r="Q552" i="1"/>
  <c r="O552" i="1"/>
  <c r="M552" i="1"/>
  <c r="K552" i="1"/>
  <c r="I552" i="1"/>
  <c r="G552" i="1"/>
  <c r="AM551" i="1"/>
  <c r="AK551" i="1"/>
  <c r="AI551" i="1"/>
  <c r="AG551" i="1"/>
  <c r="AE551" i="1"/>
  <c r="AC551" i="1"/>
  <c r="AA551" i="1"/>
  <c r="Y551" i="1"/>
  <c r="W551" i="1"/>
  <c r="U551" i="1"/>
  <c r="S551" i="1"/>
  <c r="Q551" i="1"/>
  <c r="O551" i="1"/>
  <c r="M551" i="1"/>
  <c r="K551" i="1"/>
  <c r="I551" i="1"/>
  <c r="G551" i="1"/>
  <c r="AM550" i="1"/>
  <c r="AK550" i="1"/>
  <c r="AI550" i="1"/>
  <c r="AG550" i="1"/>
  <c r="AE550" i="1"/>
  <c r="AC550" i="1"/>
  <c r="AA550" i="1"/>
  <c r="Y550" i="1"/>
  <c r="W550" i="1"/>
  <c r="U550" i="1"/>
  <c r="S550" i="1"/>
  <c r="Q550" i="1"/>
  <c r="O550" i="1"/>
  <c r="M550" i="1"/>
  <c r="K550" i="1"/>
  <c r="I550" i="1"/>
  <c r="G550" i="1"/>
  <c r="AM549" i="1"/>
  <c r="AK549" i="1"/>
  <c r="AI549" i="1"/>
  <c r="AG549" i="1"/>
  <c r="AE549" i="1"/>
  <c r="AC549" i="1"/>
  <c r="AA549" i="1"/>
  <c r="Y549" i="1"/>
  <c r="W549" i="1"/>
  <c r="U549" i="1"/>
  <c r="S549" i="1"/>
  <c r="Q549" i="1"/>
  <c r="O549" i="1"/>
  <c r="M549" i="1"/>
  <c r="K549" i="1"/>
  <c r="I549" i="1"/>
  <c r="G549" i="1"/>
  <c r="AM548" i="1"/>
  <c r="AK548" i="1"/>
  <c r="AI548" i="1"/>
  <c r="AG548" i="1"/>
  <c r="AE548" i="1"/>
  <c r="AC548" i="1"/>
  <c r="AA548" i="1"/>
  <c r="Y548" i="1"/>
  <c r="W548" i="1"/>
  <c r="U548" i="1"/>
  <c r="S548" i="1"/>
  <c r="Q548" i="1"/>
  <c r="O548" i="1"/>
  <c r="M548" i="1"/>
  <c r="K548" i="1"/>
  <c r="I548" i="1"/>
  <c r="G548" i="1"/>
  <c r="AM547" i="1"/>
  <c r="AK547" i="1"/>
  <c r="AI547" i="1"/>
  <c r="AG547" i="1"/>
  <c r="AE547" i="1"/>
  <c r="AC547" i="1"/>
  <c r="AA547" i="1"/>
  <c r="Y547" i="1"/>
  <c r="W547" i="1"/>
  <c r="U547" i="1"/>
  <c r="S547" i="1"/>
  <c r="Q547" i="1"/>
  <c r="O547" i="1"/>
  <c r="M547" i="1"/>
  <c r="K547" i="1"/>
  <c r="I547" i="1"/>
  <c r="G547" i="1"/>
  <c r="AM546" i="1"/>
  <c r="AK546" i="1"/>
  <c r="AI546" i="1"/>
  <c r="AG546" i="1"/>
  <c r="AE546" i="1"/>
  <c r="AC546" i="1"/>
  <c r="AA546" i="1"/>
  <c r="Y546" i="1"/>
  <c r="W546" i="1"/>
  <c r="U546" i="1"/>
  <c r="S546" i="1"/>
  <c r="Q546" i="1"/>
  <c r="O546" i="1"/>
  <c r="M546" i="1"/>
  <c r="K546" i="1"/>
  <c r="I546" i="1"/>
  <c r="G546" i="1"/>
  <c r="AM545" i="1"/>
  <c r="AK545" i="1"/>
  <c r="AI545" i="1"/>
  <c r="AG545" i="1"/>
  <c r="AE545" i="1"/>
  <c r="AC545" i="1"/>
  <c r="AA545" i="1"/>
  <c r="Y545" i="1"/>
  <c r="W545" i="1"/>
  <c r="U545" i="1"/>
  <c r="S545" i="1"/>
  <c r="Q545" i="1"/>
  <c r="O545" i="1"/>
  <c r="M545" i="1"/>
  <c r="K545" i="1"/>
  <c r="I545" i="1"/>
  <c r="G545" i="1"/>
  <c r="AM544" i="1"/>
  <c r="AK544" i="1"/>
  <c r="AI544" i="1"/>
  <c r="AG544" i="1"/>
  <c r="AE544" i="1"/>
  <c r="AC544" i="1"/>
  <c r="AA544" i="1"/>
  <c r="Y544" i="1"/>
  <c r="W544" i="1"/>
  <c r="U544" i="1"/>
  <c r="S544" i="1"/>
  <c r="Q544" i="1"/>
  <c r="O544" i="1"/>
  <c r="M544" i="1"/>
  <c r="K544" i="1"/>
  <c r="I544" i="1"/>
  <c r="G544" i="1"/>
  <c r="AM543" i="1"/>
  <c r="AK543" i="1"/>
  <c r="AI543" i="1"/>
  <c r="AG543" i="1"/>
  <c r="AE543" i="1"/>
  <c r="AC543" i="1"/>
  <c r="AA543" i="1"/>
  <c r="Y543" i="1"/>
  <c r="W543" i="1"/>
  <c r="U543" i="1"/>
  <c r="S543" i="1"/>
  <c r="Q543" i="1"/>
  <c r="O543" i="1"/>
  <c r="M543" i="1"/>
  <c r="K543" i="1"/>
  <c r="I543" i="1"/>
  <c r="G543" i="1"/>
  <c r="AM542" i="1"/>
  <c r="AK542" i="1"/>
  <c r="AI542" i="1"/>
  <c r="AG542" i="1"/>
  <c r="AE542" i="1"/>
  <c r="AC542" i="1"/>
  <c r="AA542" i="1"/>
  <c r="Y542" i="1"/>
  <c r="W542" i="1"/>
  <c r="U542" i="1"/>
  <c r="S542" i="1"/>
  <c r="Q542" i="1"/>
  <c r="O542" i="1"/>
  <c r="M542" i="1"/>
  <c r="K542" i="1"/>
  <c r="I542" i="1"/>
  <c r="G542" i="1"/>
  <c r="AM541" i="1"/>
  <c r="AK541" i="1"/>
  <c r="AI541" i="1"/>
  <c r="AG541" i="1"/>
  <c r="AE541" i="1"/>
  <c r="AC541" i="1"/>
  <c r="AA541" i="1"/>
  <c r="Y541" i="1"/>
  <c r="W541" i="1"/>
  <c r="U541" i="1"/>
  <c r="S541" i="1"/>
  <c r="Q541" i="1"/>
  <c r="O541" i="1"/>
  <c r="M541" i="1"/>
  <c r="K541" i="1"/>
  <c r="I541" i="1"/>
  <c r="G541" i="1"/>
  <c r="AM540" i="1"/>
  <c r="AK540" i="1"/>
  <c r="AI540" i="1"/>
  <c r="AG540" i="1"/>
  <c r="AE540" i="1"/>
  <c r="AC540" i="1"/>
  <c r="AA540" i="1"/>
  <c r="Y540" i="1"/>
  <c r="W540" i="1"/>
  <c r="U540" i="1"/>
  <c r="S540" i="1"/>
  <c r="Q540" i="1"/>
  <c r="O540" i="1"/>
  <c r="M540" i="1"/>
  <c r="K540" i="1"/>
  <c r="I540" i="1"/>
  <c r="G540" i="1"/>
  <c r="AM539" i="1"/>
  <c r="AK539" i="1"/>
  <c r="AI539" i="1"/>
  <c r="AG539" i="1"/>
  <c r="AE539" i="1"/>
  <c r="AC539" i="1"/>
  <c r="AA539" i="1"/>
  <c r="Y539" i="1"/>
  <c r="W539" i="1"/>
  <c r="U539" i="1"/>
  <c r="S539" i="1"/>
  <c r="Q539" i="1"/>
  <c r="O539" i="1"/>
  <c r="M539" i="1"/>
  <c r="K539" i="1"/>
  <c r="I539" i="1"/>
  <c r="G539" i="1"/>
  <c r="AM538" i="1"/>
  <c r="AK538" i="1"/>
  <c r="AI538" i="1"/>
  <c r="AG538" i="1"/>
  <c r="AE538" i="1"/>
  <c r="AC538" i="1"/>
  <c r="AA538" i="1"/>
  <c r="Y538" i="1"/>
  <c r="W538" i="1"/>
  <c r="U538" i="1"/>
  <c r="S538" i="1"/>
  <c r="Q538" i="1"/>
  <c r="O538" i="1"/>
  <c r="M538" i="1"/>
  <c r="K538" i="1"/>
  <c r="I538" i="1"/>
  <c r="G538" i="1"/>
  <c r="AM537" i="1"/>
  <c r="AK537" i="1"/>
  <c r="AI537" i="1"/>
  <c r="AG537" i="1"/>
  <c r="AE537" i="1"/>
  <c r="AC537" i="1"/>
  <c r="AA537" i="1"/>
  <c r="Y537" i="1"/>
  <c r="W537" i="1"/>
  <c r="U537" i="1"/>
  <c r="S537" i="1"/>
  <c r="Q537" i="1"/>
  <c r="O537" i="1"/>
  <c r="M537" i="1"/>
  <c r="K537" i="1"/>
  <c r="I537" i="1"/>
  <c r="G537" i="1"/>
  <c r="AM536" i="1"/>
  <c r="AK536" i="1"/>
  <c r="AI536" i="1"/>
  <c r="AG536" i="1"/>
  <c r="AE536" i="1"/>
  <c r="AC536" i="1"/>
  <c r="AA536" i="1"/>
  <c r="Y536" i="1"/>
  <c r="W536" i="1"/>
  <c r="U536" i="1"/>
  <c r="S536" i="1"/>
  <c r="Q536" i="1"/>
  <c r="O536" i="1"/>
  <c r="M536" i="1"/>
  <c r="K536" i="1"/>
  <c r="I536" i="1"/>
  <c r="G536" i="1"/>
  <c r="AM535" i="1"/>
  <c r="AK535" i="1"/>
  <c r="AI535" i="1"/>
  <c r="AG535" i="1"/>
  <c r="AE535" i="1"/>
  <c r="AC535" i="1"/>
  <c r="AA535" i="1"/>
  <c r="Y535" i="1"/>
  <c r="W535" i="1"/>
  <c r="U535" i="1"/>
  <c r="S535" i="1"/>
  <c r="Q535" i="1"/>
  <c r="O535" i="1"/>
  <c r="M535" i="1"/>
  <c r="K535" i="1"/>
  <c r="I535" i="1"/>
  <c r="G535" i="1"/>
  <c r="AM534" i="1"/>
  <c r="AK534" i="1"/>
  <c r="AI534" i="1"/>
  <c r="AG534" i="1"/>
  <c r="AE534" i="1"/>
  <c r="AC534" i="1"/>
  <c r="AA534" i="1"/>
  <c r="Y534" i="1"/>
  <c r="W534" i="1"/>
  <c r="U534" i="1"/>
  <c r="S534" i="1"/>
  <c r="Q534" i="1"/>
  <c r="O534" i="1"/>
  <c r="M534" i="1"/>
  <c r="K534" i="1"/>
  <c r="I534" i="1"/>
  <c r="G534" i="1"/>
  <c r="AM533" i="1"/>
  <c r="AK533" i="1"/>
  <c r="AI533" i="1"/>
  <c r="AG533" i="1"/>
  <c r="AE533" i="1"/>
  <c r="AC533" i="1"/>
  <c r="AA533" i="1"/>
  <c r="Y533" i="1"/>
  <c r="W533" i="1"/>
  <c r="U533" i="1"/>
  <c r="S533" i="1"/>
  <c r="Q533" i="1"/>
  <c r="O533" i="1"/>
  <c r="M533" i="1"/>
  <c r="K533" i="1"/>
  <c r="I533" i="1"/>
  <c r="G533" i="1"/>
  <c r="AM532" i="1"/>
  <c r="AK532" i="1"/>
  <c r="AI532" i="1"/>
  <c r="AG532" i="1"/>
  <c r="AE532" i="1"/>
  <c r="AC532" i="1"/>
  <c r="AA532" i="1"/>
  <c r="Y532" i="1"/>
  <c r="W532" i="1"/>
  <c r="U532" i="1"/>
  <c r="S532" i="1"/>
  <c r="Q532" i="1"/>
  <c r="O532" i="1"/>
  <c r="M532" i="1"/>
  <c r="K532" i="1"/>
  <c r="I532" i="1"/>
  <c r="G532" i="1"/>
  <c r="AM531" i="1"/>
  <c r="AK531" i="1"/>
  <c r="AI531" i="1"/>
  <c r="AG531" i="1"/>
  <c r="AE531" i="1"/>
  <c r="AC531" i="1"/>
  <c r="AA531" i="1"/>
  <c r="Y531" i="1"/>
  <c r="W531" i="1"/>
  <c r="U531" i="1"/>
  <c r="S531" i="1"/>
  <c r="Q531" i="1"/>
  <c r="O531" i="1"/>
  <c r="M531" i="1"/>
  <c r="K531" i="1"/>
  <c r="I531" i="1"/>
  <c r="G531" i="1"/>
  <c r="AM530" i="1"/>
  <c r="AK530" i="1"/>
  <c r="AI530" i="1"/>
  <c r="AG530" i="1"/>
  <c r="AE530" i="1"/>
  <c r="AC530" i="1"/>
  <c r="AA530" i="1"/>
  <c r="Y530" i="1"/>
  <c r="W530" i="1"/>
  <c r="U530" i="1"/>
  <c r="S530" i="1"/>
  <c r="Q530" i="1"/>
  <c r="O530" i="1"/>
  <c r="M530" i="1"/>
  <c r="K530" i="1"/>
  <c r="I530" i="1"/>
  <c r="G530" i="1"/>
  <c r="AM529" i="1"/>
  <c r="AK529" i="1"/>
  <c r="AI529" i="1"/>
  <c r="AG529" i="1"/>
  <c r="AE529" i="1"/>
  <c r="AC529" i="1"/>
  <c r="AA529" i="1"/>
  <c r="Y529" i="1"/>
  <c r="W529" i="1"/>
  <c r="U529" i="1"/>
  <c r="S529" i="1"/>
  <c r="Q529" i="1"/>
  <c r="O529" i="1"/>
  <c r="M529" i="1"/>
  <c r="K529" i="1"/>
  <c r="I529" i="1"/>
  <c r="G529" i="1"/>
  <c r="AM528" i="1"/>
  <c r="AK528" i="1"/>
  <c r="AI528" i="1"/>
  <c r="AG528" i="1"/>
  <c r="AE528" i="1"/>
  <c r="AC528" i="1"/>
  <c r="AA528" i="1"/>
  <c r="Y528" i="1"/>
  <c r="W528" i="1"/>
  <c r="U528" i="1"/>
  <c r="S528" i="1"/>
  <c r="Q528" i="1"/>
  <c r="O528" i="1"/>
  <c r="M528" i="1"/>
  <c r="K528" i="1"/>
  <c r="I528" i="1"/>
  <c r="G528" i="1"/>
  <c r="AM527" i="1"/>
  <c r="AK527" i="1"/>
  <c r="AI527" i="1"/>
  <c r="AG527" i="1"/>
  <c r="AE527" i="1"/>
  <c r="AC527" i="1"/>
  <c r="AA527" i="1"/>
  <c r="Y527" i="1"/>
  <c r="W527" i="1"/>
  <c r="U527" i="1"/>
  <c r="S527" i="1"/>
  <c r="Q527" i="1"/>
  <c r="O527" i="1"/>
  <c r="M527" i="1"/>
  <c r="K527" i="1"/>
  <c r="I527" i="1"/>
  <c r="G527" i="1"/>
  <c r="AM526" i="1"/>
  <c r="AK526" i="1"/>
  <c r="AI526" i="1"/>
  <c r="AG526" i="1"/>
  <c r="AE526" i="1"/>
  <c r="AC526" i="1"/>
  <c r="AA526" i="1"/>
  <c r="Y526" i="1"/>
  <c r="W526" i="1"/>
  <c r="U526" i="1"/>
  <c r="S526" i="1"/>
  <c r="Q526" i="1"/>
  <c r="O526" i="1"/>
  <c r="M526" i="1"/>
  <c r="K526" i="1"/>
  <c r="I526" i="1"/>
  <c r="G526" i="1"/>
  <c r="AM525" i="1"/>
  <c r="AK525" i="1"/>
  <c r="AI525" i="1"/>
  <c r="AG525" i="1"/>
  <c r="AE525" i="1"/>
  <c r="AC525" i="1"/>
  <c r="AA525" i="1"/>
  <c r="Y525" i="1"/>
  <c r="W525" i="1"/>
  <c r="U525" i="1"/>
  <c r="S525" i="1"/>
  <c r="Q525" i="1"/>
  <c r="O525" i="1"/>
  <c r="M525" i="1"/>
  <c r="K525" i="1"/>
  <c r="I525" i="1"/>
  <c r="G525" i="1"/>
  <c r="AM524" i="1"/>
  <c r="AK524" i="1"/>
  <c r="AI524" i="1"/>
  <c r="AG524" i="1"/>
  <c r="AE524" i="1"/>
  <c r="AC524" i="1"/>
  <c r="AA524" i="1"/>
  <c r="Y524" i="1"/>
  <c r="W524" i="1"/>
  <c r="U524" i="1"/>
  <c r="S524" i="1"/>
  <c r="Q524" i="1"/>
  <c r="O524" i="1"/>
  <c r="M524" i="1"/>
  <c r="K524" i="1"/>
  <c r="I524" i="1"/>
  <c r="G524" i="1"/>
  <c r="AM523" i="1"/>
  <c r="AK523" i="1"/>
  <c r="AI523" i="1"/>
  <c r="AG523" i="1"/>
  <c r="AE523" i="1"/>
  <c r="AC523" i="1"/>
  <c r="AA523" i="1"/>
  <c r="Y523" i="1"/>
  <c r="W523" i="1"/>
  <c r="U523" i="1"/>
  <c r="S523" i="1"/>
  <c r="Q523" i="1"/>
  <c r="O523" i="1"/>
  <c r="M523" i="1"/>
  <c r="K523" i="1"/>
  <c r="I523" i="1"/>
  <c r="G523" i="1"/>
  <c r="AM522" i="1"/>
  <c r="AK522" i="1"/>
  <c r="AI522" i="1"/>
  <c r="AG522" i="1"/>
  <c r="AE522" i="1"/>
  <c r="AC522" i="1"/>
  <c r="AA522" i="1"/>
  <c r="Y522" i="1"/>
  <c r="W522" i="1"/>
  <c r="U522" i="1"/>
  <c r="S522" i="1"/>
  <c r="Q522" i="1"/>
  <c r="O522" i="1"/>
  <c r="M522" i="1"/>
  <c r="K522" i="1"/>
  <c r="I522" i="1"/>
  <c r="G522" i="1"/>
  <c r="AM521" i="1"/>
  <c r="AK521" i="1"/>
  <c r="AI521" i="1"/>
  <c r="AG521" i="1"/>
  <c r="AE521" i="1"/>
  <c r="AC521" i="1"/>
  <c r="AA521" i="1"/>
  <c r="Y521" i="1"/>
  <c r="W521" i="1"/>
  <c r="U521" i="1"/>
  <c r="S521" i="1"/>
  <c r="Q521" i="1"/>
  <c r="O521" i="1"/>
  <c r="M521" i="1"/>
  <c r="K521" i="1"/>
  <c r="I521" i="1"/>
  <c r="G521" i="1"/>
  <c r="AM520" i="1"/>
  <c r="AK520" i="1"/>
  <c r="AI520" i="1"/>
  <c r="AG520" i="1"/>
  <c r="AE520" i="1"/>
  <c r="AC520" i="1"/>
  <c r="AA520" i="1"/>
  <c r="Y520" i="1"/>
  <c r="W520" i="1"/>
  <c r="U520" i="1"/>
  <c r="S520" i="1"/>
  <c r="Q520" i="1"/>
  <c r="O520" i="1"/>
  <c r="M520" i="1"/>
  <c r="K520" i="1"/>
  <c r="I520" i="1"/>
  <c r="G520" i="1"/>
  <c r="AM519" i="1"/>
  <c r="AK519" i="1"/>
  <c r="AI519" i="1"/>
  <c r="AG519" i="1"/>
  <c r="AE519" i="1"/>
  <c r="AC519" i="1"/>
  <c r="AA519" i="1"/>
  <c r="Y519" i="1"/>
  <c r="W519" i="1"/>
  <c r="U519" i="1"/>
  <c r="S519" i="1"/>
  <c r="Q519" i="1"/>
  <c r="O519" i="1"/>
  <c r="M519" i="1"/>
  <c r="K519" i="1"/>
  <c r="I519" i="1"/>
  <c r="G519" i="1"/>
  <c r="AM518" i="1"/>
  <c r="AK518" i="1"/>
  <c r="AI518" i="1"/>
  <c r="AG518" i="1"/>
  <c r="AE518" i="1"/>
  <c r="AC518" i="1"/>
  <c r="AA518" i="1"/>
  <c r="Y518" i="1"/>
  <c r="W518" i="1"/>
  <c r="U518" i="1"/>
  <c r="S518" i="1"/>
  <c r="Q518" i="1"/>
  <c r="O518" i="1"/>
  <c r="M518" i="1"/>
  <c r="K518" i="1"/>
  <c r="I518" i="1"/>
  <c r="G518" i="1"/>
  <c r="AM517" i="1"/>
  <c r="AK517" i="1"/>
  <c r="AI517" i="1"/>
  <c r="AG517" i="1"/>
  <c r="AE517" i="1"/>
  <c r="AC517" i="1"/>
  <c r="AA517" i="1"/>
  <c r="Y517" i="1"/>
  <c r="W517" i="1"/>
  <c r="U517" i="1"/>
  <c r="S517" i="1"/>
  <c r="Q517" i="1"/>
  <c r="O517" i="1"/>
  <c r="M517" i="1"/>
  <c r="K517" i="1"/>
  <c r="I517" i="1"/>
  <c r="G517" i="1"/>
  <c r="AM516" i="1"/>
  <c r="AK516" i="1"/>
  <c r="AI516" i="1"/>
  <c r="AG516" i="1"/>
  <c r="AE516" i="1"/>
  <c r="AC516" i="1"/>
  <c r="AA516" i="1"/>
  <c r="Y516" i="1"/>
  <c r="W516" i="1"/>
  <c r="U516" i="1"/>
  <c r="S516" i="1"/>
  <c r="Q516" i="1"/>
  <c r="O516" i="1"/>
  <c r="M516" i="1"/>
  <c r="K516" i="1"/>
  <c r="I516" i="1"/>
  <c r="G516" i="1"/>
  <c r="AM515" i="1"/>
  <c r="AK515" i="1"/>
  <c r="AI515" i="1"/>
  <c r="AG515" i="1"/>
  <c r="AE515" i="1"/>
  <c r="AC515" i="1"/>
  <c r="AA515" i="1"/>
  <c r="Y515" i="1"/>
  <c r="W515" i="1"/>
  <c r="U515" i="1"/>
  <c r="S515" i="1"/>
  <c r="Q515" i="1"/>
  <c r="O515" i="1"/>
  <c r="M515" i="1"/>
  <c r="K515" i="1"/>
  <c r="I515" i="1"/>
  <c r="G515" i="1"/>
  <c r="AM514" i="1"/>
  <c r="AK514" i="1"/>
  <c r="AI514" i="1"/>
  <c r="AG514" i="1"/>
  <c r="AE514" i="1"/>
  <c r="AC514" i="1"/>
  <c r="AA514" i="1"/>
  <c r="Y514" i="1"/>
  <c r="W514" i="1"/>
  <c r="U514" i="1"/>
  <c r="S514" i="1"/>
  <c r="Q514" i="1"/>
  <c r="O514" i="1"/>
  <c r="M514" i="1"/>
  <c r="K514" i="1"/>
  <c r="I514" i="1"/>
  <c r="G514" i="1"/>
  <c r="AM513" i="1"/>
  <c r="AK513" i="1"/>
  <c r="AI513" i="1"/>
  <c r="AG513" i="1"/>
  <c r="AE513" i="1"/>
  <c r="AC513" i="1"/>
  <c r="AA513" i="1"/>
  <c r="Y513" i="1"/>
  <c r="W513" i="1"/>
  <c r="U513" i="1"/>
  <c r="S513" i="1"/>
  <c r="Q513" i="1"/>
  <c r="O513" i="1"/>
  <c r="M513" i="1"/>
  <c r="K513" i="1"/>
  <c r="I513" i="1"/>
  <c r="G513" i="1"/>
  <c r="AM512" i="1"/>
  <c r="AK512" i="1"/>
  <c r="AI512" i="1"/>
  <c r="AG512" i="1"/>
  <c r="AE512" i="1"/>
  <c r="AC512" i="1"/>
  <c r="AA512" i="1"/>
  <c r="Y512" i="1"/>
  <c r="W512" i="1"/>
  <c r="U512" i="1"/>
  <c r="S512" i="1"/>
  <c r="Q512" i="1"/>
  <c r="O512" i="1"/>
  <c r="M512" i="1"/>
  <c r="K512" i="1"/>
  <c r="I512" i="1"/>
  <c r="G512" i="1"/>
  <c r="AM511" i="1"/>
  <c r="AK511" i="1"/>
  <c r="AI511" i="1"/>
  <c r="AG511" i="1"/>
  <c r="AE511" i="1"/>
  <c r="AC511" i="1"/>
  <c r="AA511" i="1"/>
  <c r="Y511" i="1"/>
  <c r="W511" i="1"/>
  <c r="U511" i="1"/>
  <c r="S511" i="1"/>
  <c r="Q511" i="1"/>
  <c r="O511" i="1"/>
  <c r="M511" i="1"/>
  <c r="K511" i="1"/>
  <c r="I511" i="1"/>
  <c r="G511" i="1"/>
  <c r="AM510" i="1"/>
  <c r="AK510" i="1"/>
  <c r="AI510" i="1"/>
  <c r="AG510" i="1"/>
  <c r="AE510" i="1"/>
  <c r="AC510" i="1"/>
  <c r="AA510" i="1"/>
  <c r="Y510" i="1"/>
  <c r="W510" i="1"/>
  <c r="U510" i="1"/>
  <c r="S510" i="1"/>
  <c r="Q510" i="1"/>
  <c r="O510" i="1"/>
  <c r="M510" i="1"/>
  <c r="K510" i="1"/>
  <c r="I510" i="1"/>
  <c r="G510" i="1"/>
  <c r="AM509" i="1"/>
  <c r="AK509" i="1"/>
  <c r="AI509" i="1"/>
  <c r="AG509" i="1"/>
  <c r="AE509" i="1"/>
  <c r="AC509" i="1"/>
  <c r="AA509" i="1"/>
  <c r="Y509" i="1"/>
  <c r="W509" i="1"/>
  <c r="U509" i="1"/>
  <c r="S509" i="1"/>
  <c r="Q509" i="1"/>
  <c r="O509" i="1"/>
  <c r="M509" i="1"/>
  <c r="K509" i="1"/>
  <c r="I509" i="1"/>
  <c r="G509" i="1"/>
  <c r="AM508" i="1"/>
  <c r="AK508" i="1"/>
  <c r="AI508" i="1"/>
  <c r="AG508" i="1"/>
  <c r="AE508" i="1"/>
  <c r="AC508" i="1"/>
  <c r="AA508" i="1"/>
  <c r="Y508" i="1"/>
  <c r="W508" i="1"/>
  <c r="U508" i="1"/>
  <c r="S508" i="1"/>
  <c r="Q508" i="1"/>
  <c r="O508" i="1"/>
  <c r="M508" i="1"/>
  <c r="K508" i="1"/>
  <c r="I508" i="1"/>
  <c r="G508" i="1"/>
  <c r="AM507" i="1"/>
  <c r="AK507" i="1"/>
  <c r="AI507" i="1"/>
  <c r="AG507" i="1"/>
  <c r="AE507" i="1"/>
  <c r="AC507" i="1"/>
  <c r="AA507" i="1"/>
  <c r="Y507" i="1"/>
  <c r="W507" i="1"/>
  <c r="U507" i="1"/>
  <c r="S507" i="1"/>
  <c r="Q507" i="1"/>
  <c r="O507" i="1"/>
  <c r="M507" i="1"/>
  <c r="K507" i="1"/>
  <c r="I507" i="1"/>
  <c r="G507" i="1"/>
  <c r="AM506" i="1"/>
  <c r="AK506" i="1"/>
  <c r="AI506" i="1"/>
  <c r="AG506" i="1"/>
  <c r="AE506" i="1"/>
  <c r="AC506" i="1"/>
  <c r="AA506" i="1"/>
  <c r="Y506" i="1"/>
  <c r="W506" i="1"/>
  <c r="U506" i="1"/>
  <c r="S506" i="1"/>
  <c r="Q506" i="1"/>
  <c r="O506" i="1"/>
  <c r="M506" i="1"/>
  <c r="K506" i="1"/>
  <c r="I506" i="1"/>
  <c r="G506" i="1"/>
  <c r="AM505" i="1"/>
  <c r="AK505" i="1"/>
  <c r="AI505" i="1"/>
  <c r="AG505" i="1"/>
  <c r="AE505" i="1"/>
  <c r="AC505" i="1"/>
  <c r="AA505" i="1"/>
  <c r="Y505" i="1"/>
  <c r="W505" i="1"/>
  <c r="U505" i="1"/>
  <c r="S505" i="1"/>
  <c r="Q505" i="1"/>
  <c r="O505" i="1"/>
  <c r="M505" i="1"/>
  <c r="K505" i="1"/>
  <c r="I505" i="1"/>
  <c r="G505" i="1"/>
  <c r="AM504" i="1"/>
  <c r="AK504" i="1"/>
  <c r="AI504" i="1"/>
  <c r="AG504" i="1"/>
  <c r="AE504" i="1"/>
  <c r="AC504" i="1"/>
  <c r="AA504" i="1"/>
  <c r="Y504" i="1"/>
  <c r="W504" i="1"/>
  <c r="U504" i="1"/>
  <c r="S504" i="1"/>
  <c r="Q504" i="1"/>
  <c r="O504" i="1"/>
  <c r="M504" i="1"/>
  <c r="K504" i="1"/>
  <c r="I504" i="1"/>
  <c r="G504" i="1"/>
  <c r="AM503" i="1"/>
  <c r="AK503" i="1"/>
  <c r="AI503" i="1"/>
  <c r="AG503" i="1"/>
  <c r="AE503" i="1"/>
  <c r="AC503" i="1"/>
  <c r="AA503" i="1"/>
  <c r="Y503" i="1"/>
  <c r="W503" i="1"/>
  <c r="U503" i="1"/>
  <c r="S503" i="1"/>
  <c r="Q503" i="1"/>
  <c r="O503" i="1"/>
  <c r="M503" i="1"/>
  <c r="K503" i="1"/>
  <c r="I503" i="1"/>
  <c r="G503" i="1"/>
  <c r="AM502" i="1"/>
  <c r="AK502" i="1"/>
  <c r="AI502" i="1"/>
  <c r="AG502" i="1"/>
  <c r="AE502" i="1"/>
  <c r="AC502" i="1"/>
  <c r="AA502" i="1"/>
  <c r="Y502" i="1"/>
  <c r="W502" i="1"/>
  <c r="U502" i="1"/>
  <c r="S502" i="1"/>
  <c r="Q502" i="1"/>
  <c r="O502" i="1"/>
  <c r="M502" i="1"/>
  <c r="K502" i="1"/>
  <c r="I502" i="1"/>
  <c r="G502" i="1"/>
  <c r="AM501" i="1"/>
  <c r="AK501" i="1"/>
  <c r="AI501" i="1"/>
  <c r="AG501" i="1"/>
  <c r="AE501" i="1"/>
  <c r="AC501" i="1"/>
  <c r="AA501" i="1"/>
  <c r="Y501" i="1"/>
  <c r="W501" i="1"/>
  <c r="U501" i="1"/>
  <c r="S501" i="1"/>
  <c r="Q501" i="1"/>
  <c r="O501" i="1"/>
  <c r="M501" i="1"/>
  <c r="K501" i="1"/>
  <c r="I501" i="1"/>
  <c r="G501" i="1"/>
  <c r="AM500" i="1"/>
  <c r="AK500" i="1"/>
  <c r="AI500" i="1"/>
  <c r="AG500" i="1"/>
  <c r="AE500" i="1"/>
  <c r="AC500" i="1"/>
  <c r="AA500" i="1"/>
  <c r="Y500" i="1"/>
  <c r="W500" i="1"/>
  <c r="U500" i="1"/>
  <c r="S500" i="1"/>
  <c r="Q500" i="1"/>
  <c r="O500" i="1"/>
  <c r="M500" i="1"/>
  <c r="K500" i="1"/>
  <c r="I500" i="1"/>
  <c r="G500" i="1"/>
  <c r="AM499" i="1"/>
  <c r="AK499" i="1"/>
  <c r="AI499" i="1"/>
  <c r="AG499" i="1"/>
  <c r="AE499" i="1"/>
  <c r="AC499" i="1"/>
  <c r="AA499" i="1"/>
  <c r="Y499" i="1"/>
  <c r="W499" i="1"/>
  <c r="U499" i="1"/>
  <c r="S499" i="1"/>
  <c r="Q499" i="1"/>
  <c r="O499" i="1"/>
  <c r="M499" i="1"/>
  <c r="K499" i="1"/>
  <c r="I499" i="1"/>
  <c r="G499" i="1"/>
  <c r="AM498" i="1"/>
  <c r="AK498" i="1"/>
  <c r="AI498" i="1"/>
  <c r="AG498" i="1"/>
  <c r="AE498" i="1"/>
  <c r="AC498" i="1"/>
  <c r="AA498" i="1"/>
  <c r="Y498" i="1"/>
  <c r="W498" i="1"/>
  <c r="U498" i="1"/>
  <c r="S498" i="1"/>
  <c r="Q498" i="1"/>
  <c r="O498" i="1"/>
  <c r="M498" i="1"/>
  <c r="K498" i="1"/>
  <c r="I498" i="1"/>
  <c r="G498" i="1"/>
  <c r="AM497" i="1"/>
  <c r="AK497" i="1"/>
  <c r="AI497" i="1"/>
  <c r="AG497" i="1"/>
  <c r="AE497" i="1"/>
  <c r="AC497" i="1"/>
  <c r="AA497" i="1"/>
  <c r="Y497" i="1"/>
  <c r="W497" i="1"/>
  <c r="U497" i="1"/>
  <c r="S497" i="1"/>
  <c r="Q497" i="1"/>
  <c r="O497" i="1"/>
  <c r="M497" i="1"/>
  <c r="K497" i="1"/>
  <c r="I497" i="1"/>
  <c r="G497" i="1"/>
  <c r="AM496" i="1"/>
  <c r="AK496" i="1"/>
  <c r="AI496" i="1"/>
  <c r="AG496" i="1"/>
  <c r="AE496" i="1"/>
  <c r="AC496" i="1"/>
  <c r="AA496" i="1"/>
  <c r="Y496" i="1"/>
  <c r="W496" i="1"/>
  <c r="U496" i="1"/>
  <c r="S496" i="1"/>
  <c r="Q496" i="1"/>
  <c r="O496" i="1"/>
  <c r="M496" i="1"/>
  <c r="K496" i="1"/>
  <c r="I496" i="1"/>
  <c r="G496" i="1"/>
  <c r="AM495" i="1"/>
  <c r="AK495" i="1"/>
  <c r="AI495" i="1"/>
  <c r="AG495" i="1"/>
  <c r="AE495" i="1"/>
  <c r="AC495" i="1"/>
  <c r="AA495" i="1"/>
  <c r="Y495" i="1"/>
  <c r="W495" i="1"/>
  <c r="U495" i="1"/>
  <c r="S495" i="1"/>
  <c r="Q495" i="1"/>
  <c r="O495" i="1"/>
  <c r="M495" i="1"/>
  <c r="K495" i="1"/>
  <c r="I495" i="1"/>
  <c r="G495" i="1"/>
  <c r="AM494" i="1"/>
  <c r="AK494" i="1"/>
  <c r="AI494" i="1"/>
  <c r="AG494" i="1"/>
  <c r="AE494" i="1"/>
  <c r="AC494" i="1"/>
  <c r="AA494" i="1"/>
  <c r="Y494" i="1"/>
  <c r="W494" i="1"/>
  <c r="U494" i="1"/>
  <c r="S494" i="1"/>
  <c r="Q494" i="1"/>
  <c r="O494" i="1"/>
  <c r="M494" i="1"/>
  <c r="K494" i="1"/>
  <c r="I494" i="1"/>
  <c r="G494" i="1"/>
  <c r="AM493" i="1"/>
  <c r="AK493" i="1"/>
  <c r="AI493" i="1"/>
  <c r="AG493" i="1"/>
  <c r="AE493" i="1"/>
  <c r="AC493" i="1"/>
  <c r="AA493" i="1"/>
  <c r="Y493" i="1"/>
  <c r="W493" i="1"/>
  <c r="U493" i="1"/>
  <c r="S493" i="1"/>
  <c r="Q493" i="1"/>
  <c r="O493" i="1"/>
  <c r="M493" i="1"/>
  <c r="K493" i="1"/>
  <c r="I493" i="1"/>
  <c r="G493" i="1"/>
  <c r="AM492" i="1"/>
  <c r="AK492" i="1"/>
  <c r="AI492" i="1"/>
  <c r="AG492" i="1"/>
  <c r="AE492" i="1"/>
  <c r="AC492" i="1"/>
  <c r="AA492" i="1"/>
  <c r="Y492" i="1"/>
  <c r="W492" i="1"/>
  <c r="U492" i="1"/>
  <c r="S492" i="1"/>
  <c r="Q492" i="1"/>
  <c r="O492" i="1"/>
  <c r="M492" i="1"/>
  <c r="K492" i="1"/>
  <c r="I492" i="1"/>
  <c r="G492" i="1"/>
  <c r="AM491" i="1"/>
  <c r="AK491" i="1"/>
  <c r="AI491" i="1"/>
  <c r="AG491" i="1"/>
  <c r="AE491" i="1"/>
  <c r="AC491" i="1"/>
  <c r="AA491" i="1"/>
  <c r="Y491" i="1"/>
  <c r="W491" i="1"/>
  <c r="U491" i="1"/>
  <c r="S491" i="1"/>
  <c r="Q491" i="1"/>
  <c r="O491" i="1"/>
  <c r="M491" i="1"/>
  <c r="K491" i="1"/>
  <c r="I491" i="1"/>
  <c r="G491" i="1"/>
  <c r="AM490" i="1"/>
  <c r="AK490" i="1"/>
  <c r="AI490" i="1"/>
  <c r="AG490" i="1"/>
  <c r="AE490" i="1"/>
  <c r="AC490" i="1"/>
  <c r="AA490" i="1"/>
  <c r="Y490" i="1"/>
  <c r="W490" i="1"/>
  <c r="U490" i="1"/>
  <c r="S490" i="1"/>
  <c r="Q490" i="1"/>
  <c r="O490" i="1"/>
  <c r="M490" i="1"/>
  <c r="K490" i="1"/>
  <c r="I490" i="1"/>
  <c r="G490" i="1"/>
  <c r="AM489" i="1"/>
  <c r="AK489" i="1"/>
  <c r="AI489" i="1"/>
  <c r="AG489" i="1"/>
  <c r="AE489" i="1"/>
  <c r="AC489" i="1"/>
  <c r="AA489" i="1"/>
  <c r="Y489" i="1"/>
  <c r="W489" i="1"/>
  <c r="U489" i="1"/>
  <c r="S489" i="1"/>
  <c r="Q489" i="1"/>
  <c r="O489" i="1"/>
  <c r="M489" i="1"/>
  <c r="K489" i="1"/>
  <c r="I489" i="1"/>
  <c r="G489" i="1"/>
  <c r="AM488" i="1"/>
  <c r="AK488" i="1"/>
  <c r="AI488" i="1"/>
  <c r="AG488" i="1"/>
  <c r="AE488" i="1"/>
  <c r="AC488" i="1"/>
  <c r="AA488" i="1"/>
  <c r="Y488" i="1"/>
  <c r="W488" i="1"/>
  <c r="U488" i="1"/>
  <c r="S488" i="1"/>
  <c r="Q488" i="1"/>
  <c r="O488" i="1"/>
  <c r="M488" i="1"/>
  <c r="K488" i="1"/>
  <c r="I488" i="1"/>
  <c r="G488" i="1"/>
  <c r="AM487" i="1"/>
  <c r="AK487" i="1"/>
  <c r="AI487" i="1"/>
  <c r="AG487" i="1"/>
  <c r="AE487" i="1"/>
  <c r="AC487" i="1"/>
  <c r="AA487" i="1"/>
  <c r="Y487" i="1"/>
  <c r="W487" i="1"/>
  <c r="U487" i="1"/>
  <c r="S487" i="1"/>
  <c r="Q487" i="1"/>
  <c r="O487" i="1"/>
  <c r="M487" i="1"/>
  <c r="K487" i="1"/>
  <c r="I487" i="1"/>
  <c r="G487" i="1"/>
  <c r="AM486" i="1"/>
  <c r="AK486" i="1"/>
  <c r="AI486" i="1"/>
  <c r="AG486" i="1"/>
  <c r="AE486" i="1"/>
  <c r="AC486" i="1"/>
  <c r="AA486" i="1"/>
  <c r="Y486" i="1"/>
  <c r="W486" i="1"/>
  <c r="U486" i="1"/>
  <c r="S486" i="1"/>
  <c r="Q486" i="1"/>
  <c r="O486" i="1"/>
  <c r="M486" i="1"/>
  <c r="K486" i="1"/>
  <c r="I486" i="1"/>
  <c r="G486" i="1"/>
  <c r="AM485" i="1"/>
  <c r="AK485" i="1"/>
  <c r="AI485" i="1"/>
  <c r="AG485" i="1"/>
  <c r="AE485" i="1"/>
  <c r="AC485" i="1"/>
  <c r="AA485" i="1"/>
  <c r="Y485" i="1"/>
  <c r="W485" i="1"/>
  <c r="U485" i="1"/>
  <c r="S485" i="1"/>
  <c r="Q485" i="1"/>
  <c r="O485" i="1"/>
  <c r="M485" i="1"/>
  <c r="K485" i="1"/>
  <c r="I485" i="1"/>
  <c r="G485" i="1"/>
  <c r="AM484" i="1"/>
  <c r="AK484" i="1"/>
  <c r="AI484" i="1"/>
  <c r="AG484" i="1"/>
  <c r="AE484" i="1"/>
  <c r="AC484" i="1"/>
  <c r="AA484" i="1"/>
  <c r="Y484" i="1"/>
  <c r="W484" i="1"/>
  <c r="U484" i="1"/>
  <c r="S484" i="1"/>
  <c r="Q484" i="1"/>
  <c r="O484" i="1"/>
  <c r="M484" i="1"/>
  <c r="K484" i="1"/>
  <c r="I484" i="1"/>
  <c r="G484" i="1"/>
  <c r="AM483" i="1"/>
  <c r="AK483" i="1"/>
  <c r="AI483" i="1"/>
  <c r="AG483" i="1"/>
  <c r="AE483" i="1"/>
  <c r="AC483" i="1"/>
  <c r="AA483" i="1"/>
  <c r="Y483" i="1"/>
  <c r="W483" i="1"/>
  <c r="U483" i="1"/>
  <c r="S483" i="1"/>
  <c r="Q483" i="1"/>
  <c r="O483" i="1"/>
  <c r="M483" i="1"/>
  <c r="K483" i="1"/>
  <c r="I483" i="1"/>
  <c r="G483" i="1"/>
  <c r="AM482" i="1"/>
  <c r="AK482" i="1"/>
  <c r="AI482" i="1"/>
  <c r="AG482" i="1"/>
  <c r="AE482" i="1"/>
  <c r="AC482" i="1"/>
  <c r="AA482" i="1"/>
  <c r="Y482" i="1"/>
  <c r="W482" i="1"/>
  <c r="U482" i="1"/>
  <c r="S482" i="1"/>
  <c r="Q482" i="1"/>
  <c r="O482" i="1"/>
  <c r="M482" i="1"/>
  <c r="K482" i="1"/>
  <c r="I482" i="1"/>
  <c r="G482" i="1"/>
  <c r="AM481" i="1"/>
  <c r="AK481" i="1"/>
  <c r="AI481" i="1"/>
  <c r="AG481" i="1"/>
  <c r="AE481" i="1"/>
  <c r="AC481" i="1"/>
  <c r="AA481" i="1"/>
  <c r="Y481" i="1"/>
  <c r="W481" i="1"/>
  <c r="U481" i="1"/>
  <c r="S481" i="1"/>
  <c r="Q481" i="1"/>
  <c r="O481" i="1"/>
  <c r="M481" i="1"/>
  <c r="K481" i="1"/>
  <c r="I481" i="1"/>
  <c r="G481" i="1"/>
  <c r="AM480" i="1"/>
  <c r="AK480" i="1"/>
  <c r="AI480" i="1"/>
  <c r="AG480" i="1"/>
  <c r="AE480" i="1"/>
  <c r="AC480" i="1"/>
  <c r="AA480" i="1"/>
  <c r="Y480" i="1"/>
  <c r="W480" i="1"/>
  <c r="U480" i="1"/>
  <c r="S480" i="1"/>
  <c r="Q480" i="1"/>
  <c r="O480" i="1"/>
  <c r="M480" i="1"/>
  <c r="K480" i="1"/>
  <c r="I480" i="1"/>
  <c r="G480" i="1"/>
  <c r="AM479" i="1"/>
  <c r="AK479" i="1"/>
  <c r="AI479" i="1"/>
  <c r="AG479" i="1"/>
  <c r="AE479" i="1"/>
  <c r="AC479" i="1"/>
  <c r="AA479" i="1"/>
  <c r="Y479" i="1"/>
  <c r="W479" i="1"/>
  <c r="U479" i="1"/>
  <c r="S479" i="1"/>
  <c r="Q479" i="1"/>
  <c r="O479" i="1"/>
  <c r="M479" i="1"/>
  <c r="K479" i="1"/>
  <c r="I479" i="1"/>
  <c r="G479" i="1"/>
  <c r="AM478" i="1"/>
  <c r="AK478" i="1"/>
  <c r="AI478" i="1"/>
  <c r="AG478" i="1"/>
  <c r="AE478" i="1"/>
  <c r="AC478" i="1"/>
  <c r="AA478" i="1"/>
  <c r="Y478" i="1"/>
  <c r="W478" i="1"/>
  <c r="U478" i="1"/>
  <c r="S478" i="1"/>
  <c r="Q478" i="1"/>
  <c r="O478" i="1"/>
  <c r="M478" i="1"/>
  <c r="K478" i="1"/>
  <c r="I478" i="1"/>
  <c r="G478" i="1"/>
  <c r="AM477" i="1"/>
  <c r="AK477" i="1"/>
  <c r="AI477" i="1"/>
  <c r="AG477" i="1"/>
  <c r="AE477" i="1"/>
  <c r="AC477" i="1"/>
  <c r="AA477" i="1"/>
  <c r="Y477" i="1"/>
  <c r="W477" i="1"/>
  <c r="U477" i="1"/>
  <c r="S477" i="1"/>
  <c r="Q477" i="1"/>
  <c r="O477" i="1"/>
  <c r="M477" i="1"/>
  <c r="K477" i="1"/>
  <c r="I477" i="1"/>
  <c r="G477" i="1"/>
  <c r="AM476" i="1"/>
  <c r="AK476" i="1"/>
  <c r="AI476" i="1"/>
  <c r="AG476" i="1"/>
  <c r="AE476" i="1"/>
  <c r="AC476" i="1"/>
  <c r="AA476" i="1"/>
  <c r="Y476" i="1"/>
  <c r="W476" i="1"/>
  <c r="U476" i="1"/>
  <c r="S476" i="1"/>
  <c r="Q476" i="1"/>
  <c r="O476" i="1"/>
  <c r="M476" i="1"/>
  <c r="K476" i="1"/>
  <c r="I476" i="1"/>
  <c r="G476" i="1"/>
  <c r="AM475" i="1"/>
  <c r="AK475" i="1"/>
  <c r="AI475" i="1"/>
  <c r="AG475" i="1"/>
  <c r="AE475" i="1"/>
  <c r="AC475" i="1"/>
  <c r="AA475" i="1"/>
  <c r="Y475" i="1"/>
  <c r="W475" i="1"/>
  <c r="U475" i="1"/>
  <c r="S475" i="1"/>
  <c r="Q475" i="1"/>
  <c r="O475" i="1"/>
  <c r="M475" i="1"/>
  <c r="K475" i="1"/>
  <c r="I475" i="1"/>
  <c r="G475" i="1"/>
  <c r="AM474" i="1"/>
  <c r="AK474" i="1"/>
  <c r="AI474" i="1"/>
  <c r="AG474" i="1"/>
  <c r="AE474" i="1"/>
  <c r="AC474" i="1"/>
  <c r="AA474" i="1"/>
  <c r="Y474" i="1"/>
  <c r="W474" i="1"/>
  <c r="U474" i="1"/>
  <c r="S474" i="1"/>
  <c r="Q474" i="1"/>
  <c r="O474" i="1"/>
  <c r="M474" i="1"/>
  <c r="K474" i="1"/>
  <c r="I474" i="1"/>
  <c r="G474" i="1"/>
  <c r="AM473" i="1"/>
  <c r="AK473" i="1"/>
  <c r="AI473" i="1"/>
  <c r="AG473" i="1"/>
  <c r="AE473" i="1"/>
  <c r="AC473" i="1"/>
  <c r="AA473" i="1"/>
  <c r="Y473" i="1"/>
  <c r="W473" i="1"/>
  <c r="U473" i="1"/>
  <c r="S473" i="1"/>
  <c r="Q473" i="1"/>
  <c r="O473" i="1"/>
  <c r="M473" i="1"/>
  <c r="K473" i="1"/>
  <c r="I473" i="1"/>
  <c r="G473" i="1"/>
  <c r="AM472" i="1"/>
  <c r="AK472" i="1"/>
  <c r="AI472" i="1"/>
  <c r="AG472" i="1"/>
  <c r="AE472" i="1"/>
  <c r="AC472" i="1"/>
  <c r="AA472" i="1"/>
  <c r="Y472" i="1"/>
  <c r="W472" i="1"/>
  <c r="U472" i="1"/>
  <c r="S472" i="1"/>
  <c r="Q472" i="1"/>
  <c r="O472" i="1"/>
  <c r="M472" i="1"/>
  <c r="K472" i="1"/>
  <c r="I472" i="1"/>
  <c r="G472" i="1"/>
  <c r="AM471" i="1"/>
  <c r="AK471" i="1"/>
  <c r="AI471" i="1"/>
  <c r="AG471" i="1"/>
  <c r="AE471" i="1"/>
  <c r="AC471" i="1"/>
  <c r="AA471" i="1"/>
  <c r="Y471" i="1"/>
  <c r="W471" i="1"/>
  <c r="U471" i="1"/>
  <c r="S471" i="1"/>
  <c r="Q471" i="1"/>
  <c r="O471" i="1"/>
  <c r="M471" i="1"/>
  <c r="K471" i="1"/>
  <c r="I471" i="1"/>
  <c r="G471" i="1"/>
  <c r="AM470" i="1"/>
  <c r="AK470" i="1"/>
  <c r="AI470" i="1"/>
  <c r="AG470" i="1"/>
  <c r="AE470" i="1"/>
  <c r="AC470" i="1"/>
  <c r="AA470" i="1"/>
  <c r="Y470" i="1"/>
  <c r="W470" i="1"/>
  <c r="U470" i="1"/>
  <c r="S470" i="1"/>
  <c r="Q470" i="1"/>
  <c r="O470" i="1"/>
  <c r="M470" i="1"/>
  <c r="K470" i="1"/>
  <c r="I470" i="1"/>
  <c r="G470" i="1"/>
  <c r="AM469" i="1"/>
  <c r="AK469" i="1"/>
  <c r="AI469" i="1"/>
  <c r="AG469" i="1"/>
  <c r="AE469" i="1"/>
  <c r="AC469" i="1"/>
  <c r="AA469" i="1"/>
  <c r="Y469" i="1"/>
  <c r="W469" i="1"/>
  <c r="U469" i="1"/>
  <c r="S469" i="1"/>
  <c r="Q469" i="1"/>
  <c r="O469" i="1"/>
  <c r="M469" i="1"/>
  <c r="K469" i="1"/>
  <c r="I469" i="1"/>
  <c r="G469" i="1"/>
  <c r="AM468" i="1"/>
  <c r="AK468" i="1"/>
  <c r="AI468" i="1"/>
  <c r="AG468" i="1"/>
  <c r="AE468" i="1"/>
  <c r="AC468" i="1"/>
  <c r="AA468" i="1"/>
  <c r="Y468" i="1"/>
  <c r="W468" i="1"/>
  <c r="U468" i="1"/>
  <c r="S468" i="1"/>
  <c r="Q468" i="1"/>
  <c r="O468" i="1"/>
  <c r="M468" i="1"/>
  <c r="K468" i="1"/>
  <c r="I468" i="1"/>
  <c r="G468" i="1"/>
  <c r="AM467" i="1"/>
  <c r="AK467" i="1"/>
  <c r="AI467" i="1"/>
  <c r="AG467" i="1"/>
  <c r="AE467" i="1"/>
  <c r="AC467" i="1"/>
  <c r="AA467" i="1"/>
  <c r="Y467" i="1"/>
  <c r="W467" i="1"/>
  <c r="U467" i="1"/>
  <c r="S467" i="1"/>
  <c r="Q467" i="1"/>
  <c r="O467" i="1"/>
  <c r="M467" i="1"/>
  <c r="K467" i="1"/>
  <c r="I467" i="1"/>
  <c r="G467" i="1"/>
  <c r="AM466" i="1"/>
  <c r="AK466" i="1"/>
  <c r="AI466" i="1"/>
  <c r="AG466" i="1"/>
  <c r="AE466" i="1"/>
  <c r="AC466" i="1"/>
  <c r="AA466" i="1"/>
  <c r="Y466" i="1"/>
  <c r="W466" i="1"/>
  <c r="U466" i="1"/>
  <c r="S466" i="1"/>
  <c r="Q466" i="1"/>
  <c r="O466" i="1"/>
  <c r="M466" i="1"/>
  <c r="K466" i="1"/>
  <c r="I466" i="1"/>
  <c r="G466" i="1"/>
  <c r="AM465" i="1"/>
  <c r="AK465" i="1"/>
  <c r="AI465" i="1"/>
  <c r="AG465" i="1"/>
  <c r="AE465" i="1"/>
  <c r="AC465" i="1"/>
  <c r="AA465" i="1"/>
  <c r="Y465" i="1"/>
  <c r="W465" i="1"/>
  <c r="U465" i="1"/>
  <c r="S465" i="1"/>
  <c r="Q465" i="1"/>
  <c r="O465" i="1"/>
  <c r="M465" i="1"/>
  <c r="K465" i="1"/>
  <c r="I465" i="1"/>
  <c r="G465" i="1"/>
  <c r="AM464" i="1"/>
  <c r="AK464" i="1"/>
  <c r="AI464" i="1"/>
  <c r="AG464" i="1"/>
  <c r="AE464" i="1"/>
  <c r="AC464" i="1"/>
  <c r="AA464" i="1"/>
  <c r="Y464" i="1"/>
  <c r="W464" i="1"/>
  <c r="U464" i="1"/>
  <c r="S464" i="1"/>
  <c r="Q464" i="1"/>
  <c r="O464" i="1"/>
  <c r="M464" i="1"/>
  <c r="K464" i="1"/>
  <c r="I464" i="1"/>
  <c r="G464" i="1"/>
  <c r="AM463" i="1"/>
  <c r="AK463" i="1"/>
  <c r="AI463" i="1"/>
  <c r="AG463" i="1"/>
  <c r="AE463" i="1"/>
  <c r="AC463" i="1"/>
  <c r="AA463" i="1"/>
  <c r="Y463" i="1"/>
  <c r="W463" i="1"/>
  <c r="U463" i="1"/>
  <c r="S463" i="1"/>
  <c r="Q463" i="1"/>
  <c r="O463" i="1"/>
  <c r="M463" i="1"/>
  <c r="K463" i="1"/>
  <c r="I463" i="1"/>
  <c r="G463" i="1"/>
  <c r="AM462" i="1"/>
  <c r="AK462" i="1"/>
  <c r="AI462" i="1"/>
  <c r="AG462" i="1"/>
  <c r="AE462" i="1"/>
  <c r="AC462" i="1"/>
  <c r="AA462" i="1"/>
  <c r="Y462" i="1"/>
  <c r="W462" i="1"/>
  <c r="U462" i="1"/>
  <c r="S462" i="1"/>
  <c r="Q462" i="1"/>
  <c r="O462" i="1"/>
  <c r="M462" i="1"/>
  <c r="K462" i="1"/>
  <c r="I462" i="1"/>
  <c r="G462" i="1"/>
  <c r="AM461" i="1"/>
  <c r="AK461" i="1"/>
  <c r="AI461" i="1"/>
  <c r="AG461" i="1"/>
  <c r="AE461" i="1"/>
  <c r="AC461" i="1"/>
  <c r="AA461" i="1"/>
  <c r="Y461" i="1"/>
  <c r="W461" i="1"/>
  <c r="U461" i="1"/>
  <c r="S461" i="1"/>
  <c r="Q461" i="1"/>
  <c r="O461" i="1"/>
  <c r="M461" i="1"/>
  <c r="K461" i="1"/>
  <c r="I461" i="1"/>
  <c r="G461" i="1"/>
  <c r="AM460" i="1"/>
  <c r="AK460" i="1"/>
  <c r="AI460" i="1"/>
  <c r="AG460" i="1"/>
  <c r="AE460" i="1"/>
  <c r="AC460" i="1"/>
  <c r="AA460" i="1"/>
  <c r="Y460" i="1"/>
  <c r="W460" i="1"/>
  <c r="U460" i="1"/>
  <c r="S460" i="1"/>
  <c r="Q460" i="1"/>
  <c r="O460" i="1"/>
  <c r="M460" i="1"/>
  <c r="K460" i="1"/>
  <c r="I460" i="1"/>
  <c r="G460" i="1"/>
  <c r="AM459" i="1"/>
  <c r="AK459" i="1"/>
  <c r="AI459" i="1"/>
  <c r="AG459" i="1"/>
  <c r="AE459" i="1"/>
  <c r="AC459" i="1"/>
  <c r="AA459" i="1"/>
  <c r="Y459" i="1"/>
  <c r="W459" i="1"/>
  <c r="U459" i="1"/>
  <c r="S459" i="1"/>
  <c r="Q459" i="1"/>
  <c r="O459" i="1"/>
  <c r="M459" i="1"/>
  <c r="K459" i="1"/>
  <c r="I459" i="1"/>
  <c r="G459" i="1"/>
  <c r="AM458" i="1"/>
  <c r="AK458" i="1"/>
  <c r="AI458" i="1"/>
  <c r="AG458" i="1"/>
  <c r="AE458" i="1"/>
  <c r="AC458" i="1"/>
  <c r="AA458" i="1"/>
  <c r="Y458" i="1"/>
  <c r="W458" i="1"/>
  <c r="U458" i="1"/>
  <c r="S458" i="1"/>
  <c r="Q458" i="1"/>
  <c r="O458" i="1"/>
  <c r="M458" i="1"/>
  <c r="K458" i="1"/>
  <c r="I458" i="1"/>
  <c r="G458" i="1"/>
  <c r="AM457" i="1"/>
  <c r="AK457" i="1"/>
  <c r="AI457" i="1"/>
  <c r="AG457" i="1"/>
  <c r="AE457" i="1"/>
  <c r="AC457" i="1"/>
  <c r="AA457" i="1"/>
  <c r="Y457" i="1"/>
  <c r="W457" i="1"/>
  <c r="U457" i="1"/>
  <c r="S457" i="1"/>
  <c r="Q457" i="1"/>
  <c r="O457" i="1"/>
  <c r="M457" i="1"/>
  <c r="K457" i="1"/>
  <c r="I457" i="1"/>
  <c r="G457" i="1"/>
  <c r="AM456" i="1"/>
  <c r="AK456" i="1"/>
  <c r="AI456" i="1"/>
  <c r="AG456" i="1"/>
  <c r="AE456" i="1"/>
  <c r="AC456" i="1"/>
  <c r="AA456" i="1"/>
  <c r="Y456" i="1"/>
  <c r="W456" i="1"/>
  <c r="U456" i="1"/>
  <c r="S456" i="1"/>
  <c r="Q456" i="1"/>
  <c r="O456" i="1"/>
  <c r="M456" i="1"/>
  <c r="K456" i="1"/>
  <c r="I456" i="1"/>
  <c r="G456" i="1"/>
  <c r="AM455" i="1"/>
  <c r="AK455" i="1"/>
  <c r="AI455" i="1"/>
  <c r="AG455" i="1"/>
  <c r="AE455" i="1"/>
  <c r="AC455" i="1"/>
  <c r="AA455" i="1"/>
  <c r="Y455" i="1"/>
  <c r="W455" i="1"/>
  <c r="U455" i="1"/>
  <c r="S455" i="1"/>
  <c r="Q455" i="1"/>
  <c r="O455" i="1"/>
  <c r="M455" i="1"/>
  <c r="K455" i="1"/>
  <c r="I455" i="1"/>
  <c r="G455" i="1"/>
  <c r="AM454" i="1"/>
  <c r="AK454" i="1"/>
  <c r="AI454" i="1"/>
  <c r="AG454" i="1"/>
  <c r="AE454" i="1"/>
  <c r="AC454" i="1"/>
  <c r="AA454" i="1"/>
  <c r="Y454" i="1"/>
  <c r="W454" i="1"/>
  <c r="U454" i="1"/>
  <c r="S454" i="1"/>
  <c r="Q454" i="1"/>
  <c r="O454" i="1"/>
  <c r="M454" i="1"/>
  <c r="K454" i="1"/>
  <c r="I454" i="1"/>
  <c r="G454" i="1"/>
  <c r="AM453" i="1"/>
  <c r="AK453" i="1"/>
  <c r="AI453" i="1"/>
  <c r="AG453" i="1"/>
  <c r="AE453" i="1"/>
  <c r="AC453" i="1"/>
  <c r="AA453" i="1"/>
  <c r="Y453" i="1"/>
  <c r="W453" i="1"/>
  <c r="U453" i="1"/>
  <c r="S453" i="1"/>
  <c r="Q453" i="1"/>
  <c r="O453" i="1"/>
  <c r="M453" i="1"/>
  <c r="K453" i="1"/>
  <c r="I453" i="1"/>
  <c r="G453" i="1"/>
  <c r="AM452" i="1"/>
  <c r="AK452" i="1"/>
  <c r="AI452" i="1"/>
  <c r="AG452" i="1"/>
  <c r="AE452" i="1"/>
  <c r="AC452" i="1"/>
  <c r="AA452" i="1"/>
  <c r="Y452" i="1"/>
  <c r="W452" i="1"/>
  <c r="U452" i="1"/>
  <c r="S452" i="1"/>
  <c r="Q452" i="1"/>
  <c r="O452" i="1"/>
  <c r="M452" i="1"/>
  <c r="K452" i="1"/>
  <c r="I452" i="1"/>
  <c r="G452" i="1"/>
  <c r="AM451" i="1"/>
  <c r="AK451" i="1"/>
  <c r="AI451" i="1"/>
  <c r="AG451" i="1"/>
  <c r="AE451" i="1"/>
  <c r="AC451" i="1"/>
  <c r="AA451" i="1"/>
  <c r="Y451" i="1"/>
  <c r="W451" i="1"/>
  <c r="U451" i="1"/>
  <c r="S451" i="1"/>
  <c r="Q451" i="1"/>
  <c r="O451" i="1"/>
  <c r="M451" i="1"/>
  <c r="K451" i="1"/>
  <c r="I451" i="1"/>
  <c r="G451" i="1"/>
  <c r="AM450" i="1"/>
  <c r="AK450" i="1"/>
  <c r="AI450" i="1"/>
  <c r="AG450" i="1"/>
  <c r="AE450" i="1"/>
  <c r="AC450" i="1"/>
  <c r="AA450" i="1"/>
  <c r="Y450" i="1"/>
  <c r="W450" i="1"/>
  <c r="U450" i="1"/>
  <c r="S450" i="1"/>
  <c r="Q450" i="1"/>
  <c r="O450" i="1"/>
  <c r="M450" i="1"/>
  <c r="K450" i="1"/>
  <c r="I450" i="1"/>
  <c r="G450" i="1"/>
  <c r="AM449" i="1"/>
  <c r="AK449" i="1"/>
  <c r="AI449" i="1"/>
  <c r="AG449" i="1"/>
  <c r="AE449" i="1"/>
  <c r="AC449" i="1"/>
  <c r="AA449" i="1"/>
  <c r="Y449" i="1"/>
  <c r="W449" i="1"/>
  <c r="U449" i="1"/>
  <c r="S449" i="1"/>
  <c r="Q449" i="1"/>
  <c r="O449" i="1"/>
  <c r="M449" i="1"/>
  <c r="K449" i="1"/>
  <c r="I449" i="1"/>
  <c r="G449" i="1"/>
  <c r="AM448" i="1"/>
  <c r="AK448" i="1"/>
  <c r="AI448" i="1"/>
  <c r="AG448" i="1"/>
  <c r="AE448" i="1"/>
  <c r="AC448" i="1"/>
  <c r="AA448" i="1"/>
  <c r="Y448" i="1"/>
  <c r="W448" i="1"/>
  <c r="U448" i="1"/>
  <c r="S448" i="1"/>
  <c r="Q448" i="1"/>
  <c r="O448" i="1"/>
  <c r="M448" i="1"/>
  <c r="K448" i="1"/>
  <c r="I448" i="1"/>
  <c r="G448" i="1"/>
  <c r="AM447" i="1"/>
  <c r="AK447" i="1"/>
  <c r="AI447" i="1"/>
  <c r="AG447" i="1"/>
  <c r="AE447" i="1"/>
  <c r="AC447" i="1"/>
  <c r="AA447" i="1"/>
  <c r="Y447" i="1"/>
  <c r="W447" i="1"/>
  <c r="U447" i="1"/>
  <c r="S447" i="1"/>
  <c r="Q447" i="1"/>
  <c r="O447" i="1"/>
  <c r="M447" i="1"/>
  <c r="K447" i="1"/>
  <c r="I447" i="1"/>
  <c r="G447" i="1"/>
  <c r="AM446" i="1"/>
  <c r="AK446" i="1"/>
  <c r="AI446" i="1"/>
  <c r="AG446" i="1"/>
  <c r="AE446" i="1"/>
  <c r="AC446" i="1"/>
  <c r="AA446" i="1"/>
  <c r="Y446" i="1"/>
  <c r="W446" i="1"/>
  <c r="U446" i="1"/>
  <c r="S446" i="1"/>
  <c r="Q446" i="1"/>
  <c r="O446" i="1"/>
  <c r="M446" i="1"/>
  <c r="K446" i="1"/>
  <c r="I446" i="1"/>
  <c r="G446" i="1"/>
  <c r="AM445" i="1"/>
  <c r="AK445" i="1"/>
  <c r="AI445" i="1"/>
  <c r="AG445" i="1"/>
  <c r="AE445" i="1"/>
  <c r="AC445" i="1"/>
  <c r="AA445" i="1"/>
  <c r="Y445" i="1"/>
  <c r="W445" i="1"/>
  <c r="U445" i="1"/>
  <c r="S445" i="1"/>
  <c r="Q445" i="1"/>
  <c r="O445" i="1"/>
  <c r="M445" i="1"/>
  <c r="K445" i="1"/>
  <c r="I445" i="1"/>
  <c r="G445" i="1"/>
  <c r="AM444" i="1"/>
  <c r="AK444" i="1"/>
  <c r="AI444" i="1"/>
  <c r="AG444" i="1"/>
  <c r="AE444" i="1"/>
  <c r="AC444" i="1"/>
  <c r="AA444" i="1"/>
  <c r="Y444" i="1"/>
  <c r="W444" i="1"/>
  <c r="U444" i="1"/>
  <c r="S444" i="1"/>
  <c r="Q444" i="1"/>
  <c r="O444" i="1"/>
  <c r="M444" i="1"/>
  <c r="K444" i="1"/>
  <c r="I444" i="1"/>
  <c r="G444" i="1"/>
  <c r="AM443" i="1"/>
  <c r="AK443" i="1"/>
  <c r="AI443" i="1"/>
  <c r="AG443" i="1"/>
  <c r="AE443" i="1"/>
  <c r="AC443" i="1"/>
  <c r="AA443" i="1"/>
  <c r="Y443" i="1"/>
  <c r="W443" i="1"/>
  <c r="U443" i="1"/>
  <c r="S443" i="1"/>
  <c r="Q443" i="1"/>
  <c r="O443" i="1"/>
  <c r="M443" i="1"/>
  <c r="K443" i="1"/>
  <c r="I443" i="1"/>
  <c r="G443" i="1"/>
  <c r="AM442" i="1"/>
  <c r="AK442" i="1"/>
  <c r="AI442" i="1"/>
  <c r="AG442" i="1"/>
  <c r="AE442" i="1"/>
  <c r="AC442" i="1"/>
  <c r="AA442" i="1"/>
  <c r="Y442" i="1"/>
  <c r="W442" i="1"/>
  <c r="U442" i="1"/>
  <c r="S442" i="1"/>
  <c r="Q442" i="1"/>
  <c r="O442" i="1"/>
  <c r="M442" i="1"/>
  <c r="K442" i="1"/>
  <c r="I442" i="1"/>
  <c r="G442" i="1"/>
  <c r="AM441" i="1"/>
  <c r="AK441" i="1"/>
  <c r="AI441" i="1"/>
  <c r="AG441" i="1"/>
  <c r="AE441" i="1"/>
  <c r="AC441" i="1"/>
  <c r="AA441" i="1"/>
  <c r="Y441" i="1"/>
  <c r="W441" i="1"/>
  <c r="U441" i="1"/>
  <c r="S441" i="1"/>
  <c r="Q441" i="1"/>
  <c r="O441" i="1"/>
  <c r="M441" i="1"/>
  <c r="K441" i="1"/>
  <c r="I441" i="1"/>
  <c r="G441" i="1"/>
  <c r="AM440" i="1"/>
  <c r="AK440" i="1"/>
  <c r="AI440" i="1"/>
  <c r="AG440" i="1"/>
  <c r="AE440" i="1"/>
  <c r="AC440" i="1"/>
  <c r="AA440" i="1"/>
  <c r="Y440" i="1"/>
  <c r="W440" i="1"/>
  <c r="U440" i="1"/>
  <c r="S440" i="1"/>
  <c r="Q440" i="1"/>
  <c r="O440" i="1"/>
  <c r="M440" i="1"/>
  <c r="K440" i="1"/>
  <c r="I440" i="1"/>
  <c r="G440" i="1"/>
  <c r="AM439" i="1"/>
  <c r="AK439" i="1"/>
  <c r="AI439" i="1"/>
  <c r="AG439" i="1"/>
  <c r="AE439" i="1"/>
  <c r="AC439" i="1"/>
  <c r="AA439" i="1"/>
  <c r="Y439" i="1"/>
  <c r="W439" i="1"/>
  <c r="U439" i="1"/>
  <c r="S439" i="1"/>
  <c r="Q439" i="1"/>
  <c r="O439" i="1"/>
  <c r="M439" i="1"/>
  <c r="K439" i="1"/>
  <c r="I439" i="1"/>
  <c r="G439" i="1"/>
  <c r="AM438" i="1"/>
  <c r="AK438" i="1"/>
  <c r="AI438" i="1"/>
  <c r="AG438" i="1"/>
  <c r="AE438" i="1"/>
  <c r="AC438" i="1"/>
  <c r="AA438" i="1"/>
  <c r="Y438" i="1"/>
  <c r="W438" i="1"/>
  <c r="U438" i="1"/>
  <c r="S438" i="1"/>
  <c r="Q438" i="1"/>
  <c r="O438" i="1"/>
  <c r="M438" i="1"/>
  <c r="K438" i="1"/>
  <c r="I438" i="1"/>
  <c r="G438" i="1"/>
  <c r="AM437" i="1"/>
  <c r="AK437" i="1"/>
  <c r="AI437" i="1"/>
  <c r="AG437" i="1"/>
  <c r="AE437" i="1"/>
  <c r="AC437" i="1"/>
  <c r="AA437" i="1"/>
  <c r="Y437" i="1"/>
  <c r="W437" i="1"/>
  <c r="U437" i="1"/>
  <c r="S437" i="1"/>
  <c r="Q437" i="1"/>
  <c r="O437" i="1"/>
  <c r="M437" i="1"/>
  <c r="K437" i="1"/>
  <c r="I437" i="1"/>
  <c r="G437" i="1"/>
  <c r="AM436" i="1"/>
  <c r="AK436" i="1"/>
  <c r="AI436" i="1"/>
  <c r="AG436" i="1"/>
  <c r="AE436" i="1"/>
  <c r="AC436" i="1"/>
  <c r="AA436" i="1"/>
  <c r="Y436" i="1"/>
  <c r="W436" i="1"/>
  <c r="U436" i="1"/>
  <c r="S436" i="1"/>
  <c r="Q436" i="1"/>
  <c r="O436" i="1"/>
  <c r="M436" i="1"/>
  <c r="K436" i="1"/>
  <c r="I436" i="1"/>
  <c r="G436" i="1"/>
  <c r="AM435" i="1"/>
  <c r="AK435" i="1"/>
  <c r="AI435" i="1"/>
  <c r="AG435" i="1"/>
  <c r="AE435" i="1"/>
  <c r="AC435" i="1"/>
  <c r="AA435" i="1"/>
  <c r="Y435" i="1"/>
  <c r="W435" i="1"/>
  <c r="U435" i="1"/>
  <c r="S435" i="1"/>
  <c r="Q435" i="1"/>
  <c r="O435" i="1"/>
  <c r="M435" i="1"/>
  <c r="K435" i="1"/>
  <c r="I435" i="1"/>
  <c r="G435" i="1"/>
  <c r="AM434" i="1"/>
  <c r="AK434" i="1"/>
  <c r="AI434" i="1"/>
  <c r="AG434" i="1"/>
  <c r="AE434" i="1"/>
  <c r="AC434" i="1"/>
  <c r="AA434" i="1"/>
  <c r="Y434" i="1"/>
  <c r="W434" i="1"/>
  <c r="U434" i="1"/>
  <c r="S434" i="1"/>
  <c r="Q434" i="1"/>
  <c r="O434" i="1"/>
  <c r="M434" i="1"/>
  <c r="K434" i="1"/>
  <c r="I434" i="1"/>
  <c r="G434" i="1"/>
  <c r="AM433" i="1"/>
  <c r="AK433" i="1"/>
  <c r="AI433" i="1"/>
  <c r="AG433" i="1"/>
  <c r="AE433" i="1"/>
  <c r="AC433" i="1"/>
  <c r="AA433" i="1"/>
  <c r="Y433" i="1"/>
  <c r="W433" i="1"/>
  <c r="U433" i="1"/>
  <c r="S433" i="1"/>
  <c r="Q433" i="1"/>
  <c r="O433" i="1"/>
  <c r="M433" i="1"/>
  <c r="K433" i="1"/>
  <c r="I433" i="1"/>
  <c r="G433" i="1"/>
  <c r="AM432" i="1"/>
  <c r="AK432" i="1"/>
  <c r="AI432" i="1"/>
  <c r="AG432" i="1"/>
  <c r="AE432" i="1"/>
  <c r="AC432" i="1"/>
  <c r="AA432" i="1"/>
  <c r="Y432" i="1"/>
  <c r="W432" i="1"/>
  <c r="U432" i="1"/>
  <c r="S432" i="1"/>
  <c r="Q432" i="1"/>
  <c r="O432" i="1"/>
  <c r="M432" i="1"/>
  <c r="K432" i="1"/>
  <c r="I432" i="1"/>
  <c r="G432" i="1"/>
  <c r="AM431" i="1"/>
  <c r="AK431" i="1"/>
  <c r="AI431" i="1"/>
  <c r="AG431" i="1"/>
  <c r="AE431" i="1"/>
  <c r="AC431" i="1"/>
  <c r="AA431" i="1"/>
  <c r="Y431" i="1"/>
  <c r="W431" i="1"/>
  <c r="U431" i="1"/>
  <c r="S431" i="1"/>
  <c r="Q431" i="1"/>
  <c r="O431" i="1"/>
  <c r="M431" i="1"/>
  <c r="K431" i="1"/>
  <c r="I431" i="1"/>
  <c r="G431" i="1"/>
  <c r="AM430" i="1"/>
  <c r="AK430" i="1"/>
  <c r="AI430" i="1"/>
  <c r="AG430" i="1"/>
  <c r="AE430" i="1"/>
  <c r="AC430" i="1"/>
  <c r="AA430" i="1"/>
  <c r="Y430" i="1"/>
  <c r="W430" i="1"/>
  <c r="U430" i="1"/>
  <c r="S430" i="1"/>
  <c r="Q430" i="1"/>
  <c r="O430" i="1"/>
  <c r="M430" i="1"/>
  <c r="K430" i="1"/>
  <c r="I430" i="1"/>
  <c r="G430" i="1"/>
  <c r="AM429" i="1"/>
  <c r="AK429" i="1"/>
  <c r="AI429" i="1"/>
  <c r="AG429" i="1"/>
  <c r="AE429" i="1"/>
  <c r="AC429" i="1"/>
  <c r="AA429" i="1"/>
  <c r="Y429" i="1"/>
  <c r="W429" i="1"/>
  <c r="U429" i="1"/>
  <c r="S429" i="1"/>
  <c r="Q429" i="1"/>
  <c r="O429" i="1"/>
  <c r="M429" i="1"/>
  <c r="K429" i="1"/>
  <c r="I429" i="1"/>
  <c r="G429" i="1"/>
  <c r="AM428" i="1"/>
  <c r="AK428" i="1"/>
  <c r="AI428" i="1"/>
  <c r="AG428" i="1"/>
  <c r="AE428" i="1"/>
  <c r="AC428" i="1"/>
  <c r="AA428" i="1"/>
  <c r="Y428" i="1"/>
  <c r="W428" i="1"/>
  <c r="U428" i="1"/>
  <c r="S428" i="1"/>
  <c r="Q428" i="1"/>
  <c r="O428" i="1"/>
  <c r="M428" i="1"/>
  <c r="K428" i="1"/>
  <c r="I428" i="1"/>
  <c r="G428" i="1"/>
  <c r="AM427" i="1"/>
  <c r="AK427" i="1"/>
  <c r="AI427" i="1"/>
  <c r="AG427" i="1"/>
  <c r="AE427" i="1"/>
  <c r="AC427" i="1"/>
  <c r="AA427" i="1"/>
  <c r="Y427" i="1"/>
  <c r="W427" i="1"/>
  <c r="U427" i="1"/>
  <c r="S427" i="1"/>
  <c r="Q427" i="1"/>
  <c r="O427" i="1"/>
  <c r="M427" i="1"/>
  <c r="K427" i="1"/>
  <c r="I427" i="1"/>
  <c r="G427" i="1"/>
  <c r="AM426" i="1"/>
  <c r="AK426" i="1"/>
  <c r="AI426" i="1"/>
  <c r="AG426" i="1"/>
  <c r="AE426" i="1"/>
  <c r="AC426" i="1"/>
  <c r="AA426" i="1"/>
  <c r="Y426" i="1"/>
  <c r="W426" i="1"/>
  <c r="U426" i="1"/>
  <c r="S426" i="1"/>
  <c r="Q426" i="1"/>
  <c r="O426" i="1"/>
  <c r="M426" i="1"/>
  <c r="K426" i="1"/>
  <c r="I426" i="1"/>
  <c r="G426" i="1"/>
  <c r="AM425" i="1"/>
  <c r="AK425" i="1"/>
  <c r="AI425" i="1"/>
  <c r="AG425" i="1"/>
  <c r="AE425" i="1"/>
  <c r="AC425" i="1"/>
  <c r="AA425" i="1"/>
  <c r="Y425" i="1"/>
  <c r="W425" i="1"/>
  <c r="U425" i="1"/>
  <c r="S425" i="1"/>
  <c r="Q425" i="1"/>
  <c r="O425" i="1"/>
  <c r="M425" i="1"/>
  <c r="K425" i="1"/>
  <c r="I425" i="1"/>
  <c r="G425" i="1"/>
  <c r="AM424" i="1"/>
  <c r="AK424" i="1"/>
  <c r="AI424" i="1"/>
  <c r="AG424" i="1"/>
  <c r="AE424" i="1"/>
  <c r="AC424" i="1"/>
  <c r="AA424" i="1"/>
  <c r="Y424" i="1"/>
  <c r="W424" i="1"/>
  <c r="U424" i="1"/>
  <c r="S424" i="1"/>
  <c r="Q424" i="1"/>
  <c r="O424" i="1"/>
  <c r="M424" i="1"/>
  <c r="K424" i="1"/>
  <c r="I424" i="1"/>
  <c r="G424" i="1"/>
  <c r="AM423" i="1"/>
  <c r="AK423" i="1"/>
  <c r="AI423" i="1"/>
  <c r="AG423" i="1"/>
  <c r="AE423" i="1"/>
  <c r="AC423" i="1"/>
  <c r="AA423" i="1"/>
  <c r="Y423" i="1"/>
  <c r="W423" i="1"/>
  <c r="U423" i="1"/>
  <c r="S423" i="1"/>
  <c r="Q423" i="1"/>
  <c r="O423" i="1"/>
  <c r="M423" i="1"/>
  <c r="K423" i="1"/>
  <c r="I423" i="1"/>
  <c r="G423" i="1"/>
  <c r="AM422" i="1"/>
  <c r="AK422" i="1"/>
  <c r="AI422" i="1"/>
  <c r="AG422" i="1"/>
  <c r="AE422" i="1"/>
  <c r="AC422" i="1"/>
  <c r="AA422" i="1"/>
  <c r="Y422" i="1"/>
  <c r="W422" i="1"/>
  <c r="U422" i="1"/>
  <c r="S422" i="1"/>
  <c r="Q422" i="1"/>
  <c r="O422" i="1"/>
  <c r="M422" i="1"/>
  <c r="K422" i="1"/>
  <c r="I422" i="1"/>
  <c r="G422" i="1"/>
  <c r="AM421" i="1"/>
  <c r="AK421" i="1"/>
  <c r="AI421" i="1"/>
  <c r="AG421" i="1"/>
  <c r="AE421" i="1"/>
  <c r="AC421" i="1"/>
  <c r="AA421" i="1"/>
  <c r="Y421" i="1"/>
  <c r="W421" i="1"/>
  <c r="U421" i="1"/>
  <c r="S421" i="1"/>
  <c r="Q421" i="1"/>
  <c r="O421" i="1"/>
  <c r="M421" i="1"/>
  <c r="K421" i="1"/>
  <c r="I421" i="1"/>
  <c r="G421" i="1"/>
  <c r="AM420" i="1"/>
  <c r="AK420" i="1"/>
  <c r="AI420" i="1"/>
  <c r="AG420" i="1"/>
  <c r="AE420" i="1"/>
  <c r="AC420" i="1"/>
  <c r="AA420" i="1"/>
  <c r="Y420" i="1"/>
  <c r="W420" i="1"/>
  <c r="U420" i="1"/>
  <c r="S420" i="1"/>
  <c r="Q420" i="1"/>
  <c r="O420" i="1"/>
  <c r="M420" i="1"/>
  <c r="K420" i="1"/>
  <c r="I420" i="1"/>
  <c r="G420" i="1"/>
  <c r="AM419" i="1"/>
  <c r="AK419" i="1"/>
  <c r="AI419" i="1"/>
  <c r="AG419" i="1"/>
  <c r="AE419" i="1"/>
  <c r="AC419" i="1"/>
  <c r="AA419" i="1"/>
  <c r="Y419" i="1"/>
  <c r="W419" i="1"/>
  <c r="U419" i="1"/>
  <c r="S419" i="1"/>
  <c r="Q419" i="1"/>
  <c r="O419" i="1"/>
  <c r="M419" i="1"/>
  <c r="K419" i="1"/>
  <c r="I419" i="1"/>
  <c r="G419" i="1"/>
  <c r="AM418" i="1"/>
  <c r="AK418" i="1"/>
  <c r="AI418" i="1"/>
  <c r="AG418" i="1"/>
  <c r="AE418" i="1"/>
  <c r="AC418" i="1"/>
  <c r="AA418" i="1"/>
  <c r="Y418" i="1"/>
  <c r="W418" i="1"/>
  <c r="U418" i="1"/>
  <c r="S418" i="1"/>
  <c r="Q418" i="1"/>
  <c r="O418" i="1"/>
  <c r="M418" i="1"/>
  <c r="K418" i="1"/>
  <c r="I418" i="1"/>
  <c r="G418" i="1"/>
  <c r="AM417" i="1"/>
  <c r="AK417" i="1"/>
  <c r="AI417" i="1"/>
  <c r="AG417" i="1"/>
  <c r="AE417" i="1"/>
  <c r="AC417" i="1"/>
  <c r="AA417" i="1"/>
  <c r="Y417" i="1"/>
  <c r="W417" i="1"/>
  <c r="U417" i="1"/>
  <c r="S417" i="1"/>
  <c r="Q417" i="1"/>
  <c r="O417" i="1"/>
  <c r="M417" i="1"/>
  <c r="K417" i="1"/>
  <c r="I417" i="1"/>
  <c r="G417" i="1"/>
  <c r="AM416" i="1"/>
  <c r="AK416" i="1"/>
  <c r="AI416" i="1"/>
  <c r="AG416" i="1"/>
  <c r="AE416" i="1"/>
  <c r="AC416" i="1"/>
  <c r="AA416" i="1"/>
  <c r="Y416" i="1"/>
  <c r="W416" i="1"/>
  <c r="U416" i="1"/>
  <c r="S416" i="1"/>
  <c r="Q416" i="1"/>
  <c r="O416" i="1"/>
  <c r="M416" i="1"/>
  <c r="K416" i="1"/>
  <c r="I416" i="1"/>
  <c r="G416" i="1"/>
  <c r="AM415" i="1"/>
  <c r="AK415" i="1"/>
  <c r="AI415" i="1"/>
  <c r="AG415" i="1"/>
  <c r="AE415" i="1"/>
  <c r="AC415" i="1"/>
  <c r="AA415" i="1"/>
  <c r="Y415" i="1"/>
  <c r="W415" i="1"/>
  <c r="U415" i="1"/>
  <c r="S415" i="1"/>
  <c r="Q415" i="1"/>
  <c r="O415" i="1"/>
  <c r="M415" i="1"/>
  <c r="K415" i="1"/>
  <c r="I415" i="1"/>
  <c r="G415" i="1"/>
  <c r="AM414" i="1"/>
  <c r="AK414" i="1"/>
  <c r="AI414" i="1"/>
  <c r="AG414" i="1"/>
  <c r="AE414" i="1"/>
  <c r="AC414" i="1"/>
  <c r="AA414" i="1"/>
  <c r="Y414" i="1"/>
  <c r="W414" i="1"/>
  <c r="U414" i="1"/>
  <c r="S414" i="1"/>
  <c r="Q414" i="1"/>
  <c r="O414" i="1"/>
  <c r="M414" i="1"/>
  <c r="K414" i="1"/>
  <c r="I414" i="1"/>
  <c r="G414" i="1"/>
  <c r="AM413" i="1"/>
  <c r="AK413" i="1"/>
  <c r="AI413" i="1"/>
  <c r="AG413" i="1"/>
  <c r="AE413" i="1"/>
  <c r="AC413" i="1"/>
  <c r="AA413" i="1"/>
  <c r="Y413" i="1"/>
  <c r="W413" i="1"/>
  <c r="U413" i="1"/>
  <c r="S413" i="1"/>
  <c r="Q413" i="1"/>
  <c r="O413" i="1"/>
  <c r="M413" i="1"/>
  <c r="K413" i="1"/>
  <c r="I413" i="1"/>
  <c r="G413" i="1"/>
  <c r="AM412" i="1"/>
  <c r="AK412" i="1"/>
  <c r="AI412" i="1"/>
  <c r="AG412" i="1"/>
  <c r="AE412" i="1"/>
  <c r="AC412" i="1"/>
  <c r="AA412" i="1"/>
  <c r="Y412" i="1"/>
  <c r="W412" i="1"/>
  <c r="U412" i="1"/>
  <c r="S412" i="1"/>
  <c r="Q412" i="1"/>
  <c r="O412" i="1"/>
  <c r="M412" i="1"/>
  <c r="K412" i="1"/>
  <c r="I412" i="1"/>
  <c r="G412" i="1"/>
  <c r="AM411" i="1"/>
  <c r="AK411" i="1"/>
  <c r="AI411" i="1"/>
  <c r="AG411" i="1"/>
  <c r="AE411" i="1"/>
  <c r="AC411" i="1"/>
  <c r="AA411" i="1"/>
  <c r="Y411" i="1"/>
  <c r="W411" i="1"/>
  <c r="U411" i="1"/>
  <c r="S411" i="1"/>
  <c r="Q411" i="1"/>
  <c r="O411" i="1"/>
  <c r="M411" i="1"/>
  <c r="K411" i="1"/>
  <c r="I411" i="1"/>
  <c r="G411" i="1"/>
  <c r="AM410" i="1"/>
  <c r="AK410" i="1"/>
  <c r="AI410" i="1"/>
  <c r="AG410" i="1"/>
  <c r="AE410" i="1"/>
  <c r="AC410" i="1"/>
  <c r="AA410" i="1"/>
  <c r="Y410" i="1"/>
  <c r="W410" i="1"/>
  <c r="U410" i="1"/>
  <c r="S410" i="1"/>
  <c r="Q410" i="1"/>
  <c r="O410" i="1"/>
  <c r="M410" i="1"/>
  <c r="K410" i="1"/>
  <c r="I410" i="1"/>
  <c r="G410" i="1"/>
  <c r="AM409" i="1"/>
  <c r="AK409" i="1"/>
  <c r="AI409" i="1"/>
  <c r="AG409" i="1"/>
  <c r="AE409" i="1"/>
  <c r="AC409" i="1"/>
  <c r="AA409" i="1"/>
  <c r="Y409" i="1"/>
  <c r="W409" i="1"/>
  <c r="U409" i="1"/>
  <c r="S409" i="1"/>
  <c r="Q409" i="1"/>
  <c r="O409" i="1"/>
  <c r="M409" i="1"/>
  <c r="K409" i="1"/>
  <c r="I409" i="1"/>
  <c r="G409" i="1"/>
  <c r="AM408" i="1"/>
  <c r="AK408" i="1"/>
  <c r="AI408" i="1"/>
  <c r="AG408" i="1"/>
  <c r="AE408" i="1"/>
  <c r="AC408" i="1"/>
  <c r="AA408" i="1"/>
  <c r="Y408" i="1"/>
  <c r="W408" i="1"/>
  <c r="U408" i="1"/>
  <c r="S408" i="1"/>
  <c r="Q408" i="1"/>
  <c r="O408" i="1"/>
  <c r="M408" i="1"/>
  <c r="K408" i="1"/>
  <c r="I408" i="1"/>
  <c r="G408" i="1"/>
  <c r="AM407" i="1"/>
  <c r="AK407" i="1"/>
  <c r="AI407" i="1"/>
  <c r="AG407" i="1"/>
  <c r="AE407" i="1"/>
  <c r="AC407" i="1"/>
  <c r="AA407" i="1"/>
  <c r="Y407" i="1"/>
  <c r="W407" i="1"/>
  <c r="U407" i="1"/>
  <c r="S407" i="1"/>
  <c r="Q407" i="1"/>
  <c r="O407" i="1"/>
  <c r="M407" i="1"/>
  <c r="K407" i="1"/>
  <c r="I407" i="1"/>
  <c r="G407" i="1"/>
  <c r="AM406" i="1"/>
  <c r="AK406" i="1"/>
  <c r="AI406" i="1"/>
  <c r="AG406" i="1"/>
  <c r="AE406" i="1"/>
  <c r="AC406" i="1"/>
  <c r="AA406" i="1"/>
  <c r="Y406" i="1"/>
  <c r="W406" i="1"/>
  <c r="U406" i="1"/>
  <c r="S406" i="1"/>
  <c r="Q406" i="1"/>
  <c r="O406" i="1"/>
  <c r="M406" i="1"/>
  <c r="K406" i="1"/>
  <c r="I406" i="1"/>
  <c r="G406" i="1"/>
  <c r="AM405" i="1"/>
  <c r="AK405" i="1"/>
  <c r="AI405" i="1"/>
  <c r="AG405" i="1"/>
  <c r="AE405" i="1"/>
  <c r="AC405" i="1"/>
  <c r="AA405" i="1"/>
  <c r="Y405" i="1"/>
  <c r="W405" i="1"/>
  <c r="U405" i="1"/>
  <c r="S405" i="1"/>
  <c r="Q405" i="1"/>
  <c r="O405" i="1"/>
  <c r="M405" i="1"/>
  <c r="K405" i="1"/>
  <c r="I405" i="1"/>
  <c r="G405" i="1"/>
  <c r="AM404" i="1"/>
  <c r="AK404" i="1"/>
  <c r="AI404" i="1"/>
  <c r="AG404" i="1"/>
  <c r="AE404" i="1"/>
  <c r="AC404" i="1"/>
  <c r="AA404" i="1"/>
  <c r="Y404" i="1"/>
  <c r="W404" i="1"/>
  <c r="U404" i="1"/>
  <c r="S404" i="1"/>
  <c r="Q404" i="1"/>
  <c r="O404" i="1"/>
  <c r="M404" i="1"/>
  <c r="K404" i="1"/>
  <c r="I404" i="1"/>
  <c r="G404" i="1"/>
  <c r="AM403" i="1"/>
  <c r="AK403" i="1"/>
  <c r="AI403" i="1"/>
  <c r="AG403" i="1"/>
  <c r="AE403" i="1"/>
  <c r="AC403" i="1"/>
  <c r="AA403" i="1"/>
  <c r="Y403" i="1"/>
  <c r="W403" i="1"/>
  <c r="U403" i="1"/>
  <c r="S403" i="1"/>
  <c r="Q403" i="1"/>
  <c r="O403" i="1"/>
  <c r="M403" i="1"/>
  <c r="K403" i="1"/>
  <c r="I403" i="1"/>
  <c r="G403" i="1"/>
  <c r="AM402" i="1"/>
  <c r="AK402" i="1"/>
  <c r="AI402" i="1"/>
  <c r="AG402" i="1"/>
  <c r="AE402" i="1"/>
  <c r="AC402" i="1"/>
  <c r="AA402" i="1"/>
  <c r="Y402" i="1"/>
  <c r="W402" i="1"/>
  <c r="U402" i="1"/>
  <c r="S402" i="1"/>
  <c r="Q402" i="1"/>
  <c r="O402" i="1"/>
  <c r="M402" i="1"/>
  <c r="K402" i="1"/>
  <c r="I402" i="1"/>
  <c r="G402" i="1"/>
  <c r="AM401" i="1"/>
  <c r="AK401" i="1"/>
  <c r="AI401" i="1"/>
  <c r="AG401" i="1"/>
  <c r="AE401" i="1"/>
  <c r="AC401" i="1"/>
  <c r="AA401" i="1"/>
  <c r="Y401" i="1"/>
  <c r="W401" i="1"/>
  <c r="U401" i="1"/>
  <c r="S401" i="1"/>
  <c r="Q401" i="1"/>
  <c r="O401" i="1"/>
  <c r="M401" i="1"/>
  <c r="K401" i="1"/>
  <c r="I401" i="1"/>
  <c r="G401" i="1"/>
  <c r="AM400" i="1"/>
  <c r="AK400" i="1"/>
  <c r="AI400" i="1"/>
  <c r="AG400" i="1"/>
  <c r="AE400" i="1"/>
  <c r="AC400" i="1"/>
  <c r="AA400" i="1"/>
  <c r="Y400" i="1"/>
  <c r="W400" i="1"/>
  <c r="U400" i="1"/>
  <c r="S400" i="1"/>
  <c r="Q400" i="1"/>
  <c r="O400" i="1"/>
  <c r="M400" i="1"/>
  <c r="K400" i="1"/>
  <c r="I400" i="1"/>
  <c r="G400" i="1"/>
  <c r="AM399" i="1"/>
  <c r="AK399" i="1"/>
  <c r="AI399" i="1"/>
  <c r="AG399" i="1"/>
  <c r="AE399" i="1"/>
  <c r="AC399" i="1"/>
  <c r="AA399" i="1"/>
  <c r="Y399" i="1"/>
  <c r="W399" i="1"/>
  <c r="U399" i="1"/>
  <c r="S399" i="1"/>
  <c r="Q399" i="1"/>
  <c r="O399" i="1"/>
  <c r="M399" i="1"/>
  <c r="K399" i="1"/>
  <c r="I399" i="1"/>
  <c r="G399" i="1"/>
  <c r="AM398" i="1"/>
  <c r="AK398" i="1"/>
  <c r="AI398" i="1"/>
  <c r="AG398" i="1"/>
  <c r="AE398" i="1"/>
  <c r="AC398" i="1"/>
  <c r="AA398" i="1"/>
  <c r="Y398" i="1"/>
  <c r="W398" i="1"/>
  <c r="U398" i="1"/>
  <c r="S398" i="1"/>
  <c r="Q398" i="1"/>
  <c r="O398" i="1"/>
  <c r="M398" i="1"/>
  <c r="K398" i="1"/>
  <c r="I398" i="1"/>
  <c r="G398" i="1"/>
  <c r="AM397" i="1"/>
  <c r="AK397" i="1"/>
  <c r="AI397" i="1"/>
  <c r="AG397" i="1"/>
  <c r="AE397" i="1"/>
  <c r="AC397" i="1"/>
  <c r="AA397" i="1"/>
  <c r="Y397" i="1"/>
  <c r="W397" i="1"/>
  <c r="U397" i="1"/>
  <c r="S397" i="1"/>
  <c r="Q397" i="1"/>
  <c r="O397" i="1"/>
  <c r="M397" i="1"/>
  <c r="K397" i="1"/>
  <c r="I397" i="1"/>
  <c r="G397" i="1"/>
  <c r="AL396" i="1"/>
  <c r="AL563" i="1" s="1"/>
  <c r="AK396" i="1"/>
  <c r="AI396" i="1"/>
  <c r="AG396" i="1"/>
  <c r="AE396" i="1"/>
  <c r="AC396" i="1"/>
  <c r="AA396" i="1"/>
  <c r="Y396" i="1"/>
  <c r="W396" i="1"/>
  <c r="U396" i="1"/>
  <c r="S396" i="1"/>
  <c r="Q396" i="1"/>
  <c r="O396" i="1"/>
  <c r="M396" i="1"/>
  <c r="K396" i="1"/>
  <c r="I396" i="1"/>
  <c r="G396" i="1"/>
  <c r="AM395" i="1"/>
  <c r="AK395" i="1"/>
  <c r="AI395" i="1"/>
  <c r="AG395" i="1"/>
  <c r="AE395" i="1"/>
  <c r="AC395" i="1"/>
  <c r="AA395" i="1"/>
  <c r="Y395" i="1"/>
  <c r="W395" i="1"/>
  <c r="U395" i="1"/>
  <c r="S395" i="1"/>
  <c r="Q395" i="1"/>
  <c r="O395" i="1"/>
  <c r="M395" i="1"/>
  <c r="K395" i="1"/>
  <c r="I395" i="1"/>
  <c r="G395" i="1"/>
  <c r="AM394" i="1"/>
  <c r="AK394" i="1"/>
  <c r="AI394" i="1"/>
  <c r="AG394" i="1"/>
  <c r="AE394" i="1"/>
  <c r="AC394" i="1"/>
  <c r="AA394" i="1"/>
  <c r="Y394" i="1"/>
  <c r="W394" i="1"/>
  <c r="U394" i="1"/>
  <c r="S394" i="1"/>
  <c r="Q394" i="1"/>
  <c r="O394" i="1"/>
  <c r="M394" i="1"/>
  <c r="K394" i="1"/>
  <c r="I394" i="1"/>
  <c r="G394" i="1"/>
  <c r="AM393" i="1"/>
  <c r="AK393" i="1"/>
  <c r="AI393" i="1"/>
  <c r="AG393" i="1"/>
  <c r="AE393" i="1"/>
  <c r="AC393" i="1"/>
  <c r="AA393" i="1"/>
  <c r="Y393" i="1"/>
  <c r="W393" i="1"/>
  <c r="U393" i="1"/>
  <c r="S393" i="1"/>
  <c r="Q393" i="1"/>
  <c r="O393" i="1"/>
  <c r="M393" i="1"/>
  <c r="K393" i="1"/>
  <c r="I393" i="1"/>
  <c r="G393" i="1"/>
  <c r="AM392" i="1"/>
  <c r="AK392" i="1"/>
  <c r="AI392" i="1"/>
  <c r="AG392" i="1"/>
  <c r="AE392" i="1"/>
  <c r="AC392" i="1"/>
  <c r="AA392" i="1"/>
  <c r="Y392" i="1"/>
  <c r="W392" i="1"/>
  <c r="U392" i="1"/>
  <c r="S392" i="1"/>
  <c r="Q392" i="1"/>
  <c r="O392" i="1"/>
  <c r="M392" i="1"/>
  <c r="K392" i="1"/>
  <c r="I392" i="1"/>
  <c r="G392" i="1"/>
  <c r="AM391" i="1"/>
  <c r="AK391" i="1"/>
  <c r="AI391" i="1"/>
  <c r="AG391" i="1"/>
  <c r="AE391" i="1"/>
  <c r="AC391" i="1"/>
  <c r="AA391" i="1"/>
  <c r="Y391" i="1"/>
  <c r="W391" i="1"/>
  <c r="U391" i="1"/>
  <c r="S391" i="1"/>
  <c r="Q391" i="1"/>
  <c r="O391" i="1"/>
  <c r="M391" i="1"/>
  <c r="K391" i="1"/>
  <c r="I391" i="1"/>
  <c r="G391" i="1"/>
  <c r="AM390" i="1"/>
  <c r="AK390" i="1"/>
  <c r="AI390" i="1"/>
  <c r="AG390" i="1"/>
  <c r="AE390" i="1"/>
  <c r="AC390" i="1"/>
  <c r="AA390" i="1"/>
  <c r="Y390" i="1"/>
  <c r="W390" i="1"/>
  <c r="U390" i="1"/>
  <c r="S390" i="1"/>
  <c r="Q390" i="1"/>
  <c r="O390" i="1"/>
  <c r="M390" i="1"/>
  <c r="K390" i="1"/>
  <c r="I390" i="1"/>
  <c r="G390" i="1"/>
  <c r="AM389" i="1"/>
  <c r="AK389" i="1"/>
  <c r="AI389" i="1"/>
  <c r="AG389" i="1"/>
  <c r="AE389" i="1"/>
  <c r="AC389" i="1"/>
  <c r="AA389" i="1"/>
  <c r="Y389" i="1"/>
  <c r="W389" i="1"/>
  <c r="U389" i="1"/>
  <c r="S389" i="1"/>
  <c r="Q389" i="1"/>
  <c r="O389" i="1"/>
  <c r="M389" i="1"/>
  <c r="K389" i="1"/>
  <c r="I389" i="1"/>
  <c r="G389" i="1"/>
  <c r="AM388" i="1"/>
  <c r="AK388" i="1"/>
  <c r="AI388" i="1"/>
  <c r="AG388" i="1"/>
  <c r="AE388" i="1"/>
  <c r="AC388" i="1"/>
  <c r="AA388" i="1"/>
  <c r="Y388" i="1"/>
  <c r="W388" i="1"/>
  <c r="U388" i="1"/>
  <c r="S388" i="1"/>
  <c r="Q388" i="1"/>
  <c r="O388" i="1"/>
  <c r="M388" i="1"/>
  <c r="K388" i="1"/>
  <c r="I388" i="1"/>
  <c r="G388" i="1"/>
  <c r="AM387" i="1"/>
  <c r="AK387" i="1"/>
  <c r="AI387" i="1"/>
  <c r="AG387" i="1"/>
  <c r="AE387" i="1"/>
  <c r="AC387" i="1"/>
  <c r="AA387" i="1"/>
  <c r="Y387" i="1"/>
  <c r="W387" i="1"/>
  <c r="U387" i="1"/>
  <c r="S387" i="1"/>
  <c r="Q387" i="1"/>
  <c r="O387" i="1"/>
  <c r="M387" i="1"/>
  <c r="K387" i="1"/>
  <c r="I387" i="1"/>
  <c r="G387" i="1"/>
  <c r="AM386" i="1"/>
  <c r="AK386" i="1"/>
  <c r="AI386" i="1"/>
  <c r="AG386" i="1"/>
  <c r="AE386" i="1"/>
  <c r="AC386" i="1"/>
  <c r="AA386" i="1"/>
  <c r="Y386" i="1"/>
  <c r="W386" i="1"/>
  <c r="U386" i="1"/>
  <c r="S386" i="1"/>
  <c r="Q386" i="1"/>
  <c r="O386" i="1"/>
  <c r="M386" i="1"/>
  <c r="K386" i="1"/>
  <c r="I386" i="1"/>
  <c r="G386" i="1"/>
  <c r="AM385" i="1"/>
  <c r="AK385" i="1"/>
  <c r="AI385" i="1"/>
  <c r="AG385" i="1"/>
  <c r="AE385" i="1"/>
  <c r="AC385" i="1"/>
  <c r="AA385" i="1"/>
  <c r="Y385" i="1"/>
  <c r="W385" i="1"/>
  <c r="U385" i="1"/>
  <c r="S385" i="1"/>
  <c r="Q385" i="1"/>
  <c r="O385" i="1"/>
  <c r="M385" i="1"/>
  <c r="K385" i="1"/>
  <c r="I385" i="1"/>
  <c r="G385" i="1"/>
  <c r="AM384" i="1"/>
  <c r="AK384" i="1"/>
  <c r="AI384" i="1"/>
  <c r="AG384" i="1"/>
  <c r="AE384" i="1"/>
  <c r="AC384" i="1"/>
  <c r="AA384" i="1"/>
  <c r="Y384" i="1"/>
  <c r="W384" i="1"/>
  <c r="U384" i="1"/>
  <c r="S384" i="1"/>
  <c r="Q384" i="1"/>
  <c r="O384" i="1"/>
  <c r="M384" i="1"/>
  <c r="K384" i="1"/>
  <c r="I384" i="1"/>
  <c r="G384" i="1"/>
  <c r="AM383" i="1"/>
  <c r="AK383" i="1"/>
  <c r="AI383" i="1"/>
  <c r="AG383" i="1"/>
  <c r="AE383" i="1"/>
  <c r="AC383" i="1"/>
  <c r="AA383" i="1"/>
  <c r="Y383" i="1"/>
  <c r="W383" i="1"/>
  <c r="U383" i="1"/>
  <c r="S383" i="1"/>
  <c r="Q383" i="1"/>
  <c r="O383" i="1"/>
  <c r="M383" i="1"/>
  <c r="K383" i="1"/>
  <c r="I383" i="1"/>
  <c r="G383" i="1"/>
  <c r="AM382" i="1"/>
  <c r="AK382" i="1"/>
  <c r="AI382" i="1"/>
  <c r="AG382" i="1"/>
  <c r="AE382" i="1"/>
  <c r="AC382" i="1"/>
  <c r="AA382" i="1"/>
  <c r="Y382" i="1"/>
  <c r="W382" i="1"/>
  <c r="U382" i="1"/>
  <c r="S382" i="1"/>
  <c r="Q382" i="1"/>
  <c r="O382" i="1"/>
  <c r="M382" i="1"/>
  <c r="K382" i="1"/>
  <c r="I382" i="1"/>
  <c r="G382" i="1"/>
  <c r="AM381" i="1"/>
  <c r="AK381" i="1"/>
  <c r="AI381" i="1"/>
  <c r="AG381" i="1"/>
  <c r="AE381" i="1"/>
  <c r="AC381" i="1"/>
  <c r="AA381" i="1"/>
  <c r="Y381" i="1"/>
  <c r="W381" i="1"/>
  <c r="U381" i="1"/>
  <c r="S381" i="1"/>
  <c r="Q381" i="1"/>
  <c r="O381" i="1"/>
  <c r="M381" i="1"/>
  <c r="K381" i="1"/>
  <c r="I381" i="1"/>
  <c r="G381" i="1"/>
  <c r="AM380" i="1"/>
  <c r="AK380" i="1"/>
  <c r="AI380" i="1"/>
  <c r="AG380" i="1"/>
  <c r="AE380" i="1"/>
  <c r="AC380" i="1"/>
  <c r="AA380" i="1"/>
  <c r="Y380" i="1"/>
  <c r="W380" i="1"/>
  <c r="U380" i="1"/>
  <c r="S380" i="1"/>
  <c r="Q380" i="1"/>
  <c r="O380" i="1"/>
  <c r="M380" i="1"/>
  <c r="K380" i="1"/>
  <c r="I380" i="1"/>
  <c r="G380" i="1"/>
  <c r="AM379" i="1"/>
  <c r="AK379" i="1"/>
  <c r="AI379" i="1"/>
  <c r="AG379" i="1"/>
  <c r="AE379" i="1"/>
  <c r="AC379" i="1"/>
  <c r="AA379" i="1"/>
  <c r="Y379" i="1"/>
  <c r="W379" i="1"/>
  <c r="U379" i="1"/>
  <c r="S379" i="1"/>
  <c r="Q379" i="1"/>
  <c r="O379" i="1"/>
  <c r="M379" i="1"/>
  <c r="K379" i="1"/>
  <c r="I379" i="1"/>
  <c r="G379" i="1"/>
  <c r="AM378" i="1"/>
  <c r="AK378" i="1"/>
  <c r="AI378" i="1"/>
  <c r="AG378" i="1"/>
  <c r="AE378" i="1"/>
  <c r="AC378" i="1"/>
  <c r="AA378" i="1"/>
  <c r="Y378" i="1"/>
  <c r="W378" i="1"/>
  <c r="U378" i="1"/>
  <c r="S378" i="1"/>
  <c r="Q378" i="1"/>
  <c r="O378" i="1"/>
  <c r="M378" i="1"/>
  <c r="K378" i="1"/>
  <c r="I378" i="1"/>
  <c r="G378" i="1"/>
  <c r="AM377" i="1"/>
  <c r="AK377" i="1"/>
  <c r="AI377" i="1"/>
  <c r="AG377" i="1"/>
  <c r="AE377" i="1"/>
  <c r="AC377" i="1"/>
  <c r="AA377" i="1"/>
  <c r="Y377" i="1"/>
  <c r="W377" i="1"/>
  <c r="U377" i="1"/>
  <c r="S377" i="1"/>
  <c r="Q377" i="1"/>
  <c r="O377" i="1"/>
  <c r="M377" i="1"/>
  <c r="K377" i="1"/>
  <c r="I377" i="1"/>
  <c r="G377" i="1"/>
  <c r="AM376" i="1"/>
  <c r="AK376" i="1"/>
  <c r="AI376" i="1"/>
  <c r="AG376" i="1"/>
  <c r="AE376" i="1"/>
  <c r="AC376" i="1"/>
  <c r="AA376" i="1"/>
  <c r="Y376" i="1"/>
  <c r="W376" i="1"/>
  <c r="U376" i="1"/>
  <c r="S376" i="1"/>
  <c r="Q376" i="1"/>
  <c r="O376" i="1"/>
  <c r="M376" i="1"/>
  <c r="K376" i="1"/>
  <c r="I376" i="1"/>
  <c r="G376" i="1"/>
  <c r="AM375" i="1"/>
  <c r="AK375" i="1"/>
  <c r="AI375" i="1"/>
  <c r="AG375" i="1"/>
  <c r="AE375" i="1"/>
  <c r="AC375" i="1"/>
  <c r="AA375" i="1"/>
  <c r="Y375" i="1"/>
  <c r="W375" i="1"/>
  <c r="U375" i="1"/>
  <c r="S375" i="1"/>
  <c r="Q375" i="1"/>
  <c r="O375" i="1"/>
  <c r="M375" i="1"/>
  <c r="K375" i="1"/>
  <c r="I375" i="1"/>
  <c r="G375" i="1"/>
  <c r="AM374" i="1"/>
  <c r="AK374" i="1"/>
  <c r="AI374" i="1"/>
  <c r="AG374" i="1"/>
  <c r="AE374" i="1"/>
  <c r="AC374" i="1"/>
  <c r="AA374" i="1"/>
  <c r="Y374" i="1"/>
  <c r="W374" i="1"/>
  <c r="U374" i="1"/>
  <c r="S374" i="1"/>
  <c r="Q374" i="1"/>
  <c r="O374" i="1"/>
  <c r="M374" i="1"/>
  <c r="K374" i="1"/>
  <c r="I374" i="1"/>
  <c r="G374" i="1"/>
  <c r="AM373" i="1"/>
  <c r="AK373" i="1"/>
  <c r="AI373" i="1"/>
  <c r="AG373" i="1"/>
  <c r="AE373" i="1"/>
  <c r="AC373" i="1"/>
  <c r="AA373" i="1"/>
  <c r="Y373" i="1"/>
  <c r="W373" i="1"/>
  <c r="U373" i="1"/>
  <c r="S373" i="1"/>
  <c r="Q373" i="1"/>
  <c r="O373" i="1"/>
  <c r="M373" i="1"/>
  <c r="K373" i="1"/>
  <c r="I373" i="1"/>
  <c r="G373" i="1"/>
  <c r="AM372" i="1"/>
  <c r="AK372" i="1"/>
  <c r="AI372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G372" i="1"/>
  <c r="AM371" i="1"/>
  <c r="AK371" i="1"/>
  <c r="AI371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G371" i="1"/>
  <c r="AM370" i="1"/>
  <c r="AK370" i="1"/>
  <c r="AI370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G370" i="1"/>
  <c r="AM369" i="1"/>
  <c r="AK369" i="1"/>
  <c r="AI369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G369" i="1"/>
  <c r="AM368" i="1"/>
  <c r="AK368" i="1"/>
  <c r="AI368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G368" i="1"/>
  <c r="AM367" i="1"/>
  <c r="AK367" i="1"/>
  <c r="AI367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G367" i="1"/>
  <c r="AM366" i="1"/>
  <c r="AK366" i="1"/>
  <c r="AI366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G366" i="1"/>
  <c r="AM365" i="1"/>
  <c r="AK365" i="1"/>
  <c r="AI365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G365" i="1"/>
  <c r="AM364" i="1"/>
  <c r="AK364" i="1"/>
  <c r="AI364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G364" i="1"/>
  <c r="AM363" i="1"/>
  <c r="AK363" i="1"/>
  <c r="AI363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G363" i="1"/>
  <c r="AM362" i="1"/>
  <c r="AK362" i="1"/>
  <c r="AI362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G362" i="1"/>
  <c r="AM361" i="1"/>
  <c r="AK361" i="1"/>
  <c r="AI361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G361" i="1"/>
  <c r="AM360" i="1"/>
  <c r="AK360" i="1"/>
  <c r="AI360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G360" i="1"/>
  <c r="AM359" i="1"/>
  <c r="AK359" i="1"/>
  <c r="AI359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G359" i="1"/>
  <c r="AM358" i="1"/>
  <c r="AK358" i="1"/>
  <c r="AI358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G358" i="1"/>
  <c r="AM357" i="1"/>
  <c r="AK357" i="1"/>
  <c r="AI357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G357" i="1"/>
  <c r="AM356" i="1"/>
  <c r="AK356" i="1"/>
  <c r="AI356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G356" i="1"/>
  <c r="AM355" i="1"/>
  <c r="AK355" i="1"/>
  <c r="AI355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G355" i="1"/>
  <c r="AM354" i="1"/>
  <c r="AK354" i="1"/>
  <c r="AI354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G354" i="1"/>
  <c r="AM353" i="1"/>
  <c r="AK353" i="1"/>
  <c r="AI353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G353" i="1"/>
  <c r="AM352" i="1"/>
  <c r="AK352" i="1"/>
  <c r="AI352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G352" i="1"/>
  <c r="AM351" i="1"/>
  <c r="AK351" i="1"/>
  <c r="AI351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G351" i="1"/>
  <c r="AM350" i="1"/>
  <c r="AK350" i="1"/>
  <c r="AI350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G350" i="1"/>
  <c r="AM349" i="1"/>
  <c r="AK349" i="1"/>
  <c r="AI349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G349" i="1"/>
  <c r="AM348" i="1"/>
  <c r="AK348" i="1"/>
  <c r="AI348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G348" i="1"/>
  <c r="AM347" i="1"/>
  <c r="AK347" i="1"/>
  <c r="AI347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G347" i="1"/>
  <c r="AM346" i="1"/>
  <c r="AK346" i="1"/>
  <c r="AI346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G346" i="1"/>
  <c r="AM345" i="1"/>
  <c r="AK345" i="1"/>
  <c r="AI345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G345" i="1"/>
  <c r="AM344" i="1"/>
  <c r="AK344" i="1"/>
  <c r="AI344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G344" i="1"/>
  <c r="AM343" i="1"/>
  <c r="AK343" i="1"/>
  <c r="AI343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G343" i="1"/>
  <c r="AM342" i="1"/>
  <c r="AK342" i="1"/>
  <c r="AI34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G342" i="1"/>
  <c r="AM341" i="1"/>
  <c r="AK341" i="1"/>
  <c r="AI341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G341" i="1"/>
  <c r="AM340" i="1"/>
  <c r="AK340" i="1"/>
  <c r="AI340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G340" i="1"/>
  <c r="AM339" i="1"/>
  <c r="AK339" i="1"/>
  <c r="AI339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G339" i="1"/>
  <c r="AM338" i="1"/>
  <c r="AK338" i="1"/>
  <c r="AI338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G338" i="1"/>
  <c r="AM337" i="1"/>
  <c r="AK337" i="1"/>
  <c r="AI337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G337" i="1"/>
  <c r="AM336" i="1"/>
  <c r="AK336" i="1"/>
  <c r="AI336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G336" i="1"/>
  <c r="AM335" i="1"/>
  <c r="AK335" i="1"/>
  <c r="AI335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G335" i="1"/>
  <c r="AM334" i="1"/>
  <c r="AK334" i="1"/>
  <c r="AI334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  <c r="G334" i="1"/>
  <c r="AM333" i="1"/>
  <c r="AK333" i="1"/>
  <c r="AI333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G333" i="1"/>
  <c r="AM332" i="1"/>
  <c r="AK332" i="1"/>
  <c r="AI332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G332" i="1"/>
  <c r="AM331" i="1"/>
  <c r="AK331" i="1"/>
  <c r="AI331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G331" i="1"/>
  <c r="AM330" i="1"/>
  <c r="AK330" i="1"/>
  <c r="AI330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G330" i="1"/>
  <c r="AM329" i="1"/>
  <c r="AK329" i="1"/>
  <c r="AI329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G329" i="1"/>
  <c r="AM328" i="1"/>
  <c r="AK328" i="1"/>
  <c r="AI328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G328" i="1"/>
  <c r="AM327" i="1"/>
  <c r="AK327" i="1"/>
  <c r="AI327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G327" i="1"/>
  <c r="AM326" i="1"/>
  <c r="AK326" i="1"/>
  <c r="AI326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G326" i="1"/>
  <c r="AM325" i="1"/>
  <c r="AK325" i="1"/>
  <c r="AI325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G325" i="1"/>
  <c r="AM324" i="1"/>
  <c r="AK324" i="1"/>
  <c r="AI324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G324" i="1"/>
  <c r="AM323" i="1"/>
  <c r="AK323" i="1"/>
  <c r="AI323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G323" i="1"/>
  <c r="AM322" i="1"/>
  <c r="AK322" i="1"/>
  <c r="AI322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G322" i="1"/>
  <c r="AM321" i="1"/>
  <c r="AK321" i="1"/>
  <c r="AI321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G321" i="1"/>
  <c r="AM320" i="1"/>
  <c r="AK320" i="1"/>
  <c r="AI320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G320" i="1"/>
  <c r="AM319" i="1"/>
  <c r="AK319" i="1"/>
  <c r="AI319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G319" i="1"/>
  <c r="AM318" i="1"/>
  <c r="AK318" i="1"/>
  <c r="AI318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G318" i="1"/>
  <c r="AM317" i="1"/>
  <c r="AK317" i="1"/>
  <c r="AI317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G317" i="1"/>
  <c r="AM316" i="1"/>
  <c r="AK316" i="1"/>
  <c r="AI316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G316" i="1"/>
  <c r="AM315" i="1"/>
  <c r="AK315" i="1"/>
  <c r="AI315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G315" i="1"/>
  <c r="AM314" i="1"/>
  <c r="AK314" i="1"/>
  <c r="AI314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G314" i="1"/>
  <c r="AM313" i="1"/>
  <c r="AK313" i="1"/>
  <c r="AI313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G313" i="1"/>
  <c r="AM312" i="1"/>
  <c r="AK312" i="1"/>
  <c r="AI312" i="1"/>
  <c r="AG312" i="1"/>
  <c r="AE312" i="1"/>
  <c r="AC312" i="1"/>
  <c r="AA312" i="1"/>
  <c r="Y312" i="1"/>
  <c r="W312" i="1"/>
  <c r="U312" i="1"/>
  <c r="S312" i="1"/>
  <c r="Q312" i="1"/>
  <c r="O312" i="1"/>
  <c r="M312" i="1"/>
  <c r="K312" i="1"/>
  <c r="I312" i="1"/>
  <c r="G312" i="1"/>
  <c r="AM311" i="1"/>
  <c r="AK311" i="1"/>
  <c r="AI311" i="1"/>
  <c r="AG311" i="1"/>
  <c r="AE311" i="1"/>
  <c r="AC311" i="1"/>
  <c r="AA311" i="1"/>
  <c r="Y311" i="1"/>
  <c r="W311" i="1"/>
  <c r="U311" i="1"/>
  <c r="S311" i="1"/>
  <c r="Q311" i="1"/>
  <c r="O311" i="1"/>
  <c r="M311" i="1"/>
  <c r="K311" i="1"/>
  <c r="I311" i="1"/>
  <c r="G311" i="1"/>
  <c r="AM310" i="1"/>
  <c r="AK310" i="1"/>
  <c r="AI310" i="1"/>
  <c r="AG310" i="1"/>
  <c r="AE310" i="1"/>
  <c r="AC310" i="1"/>
  <c r="AA310" i="1"/>
  <c r="Y310" i="1"/>
  <c r="W310" i="1"/>
  <c r="U310" i="1"/>
  <c r="S310" i="1"/>
  <c r="Q310" i="1"/>
  <c r="O310" i="1"/>
  <c r="M310" i="1"/>
  <c r="K310" i="1"/>
  <c r="I310" i="1"/>
  <c r="G310" i="1"/>
  <c r="AM309" i="1"/>
  <c r="AK309" i="1"/>
  <c r="AI309" i="1"/>
  <c r="AG309" i="1"/>
  <c r="AE309" i="1"/>
  <c r="AC309" i="1"/>
  <c r="AA309" i="1"/>
  <c r="Y309" i="1"/>
  <c r="W309" i="1"/>
  <c r="U309" i="1"/>
  <c r="S309" i="1"/>
  <c r="Q309" i="1"/>
  <c r="O309" i="1"/>
  <c r="M309" i="1"/>
  <c r="K309" i="1"/>
  <c r="I309" i="1"/>
  <c r="G309" i="1"/>
  <c r="AM308" i="1"/>
  <c r="AK308" i="1"/>
  <c r="AI308" i="1"/>
  <c r="AG308" i="1"/>
  <c r="AE308" i="1"/>
  <c r="AC308" i="1"/>
  <c r="AA308" i="1"/>
  <c r="Y308" i="1"/>
  <c r="W308" i="1"/>
  <c r="U308" i="1"/>
  <c r="S308" i="1"/>
  <c r="Q308" i="1"/>
  <c r="O308" i="1"/>
  <c r="M308" i="1"/>
  <c r="K308" i="1"/>
  <c r="I308" i="1"/>
  <c r="G308" i="1"/>
  <c r="AM307" i="1"/>
  <c r="AK307" i="1"/>
  <c r="AI307" i="1"/>
  <c r="AG307" i="1"/>
  <c r="AE307" i="1"/>
  <c r="AC307" i="1"/>
  <c r="AA307" i="1"/>
  <c r="Y307" i="1"/>
  <c r="W307" i="1"/>
  <c r="U307" i="1"/>
  <c r="S307" i="1"/>
  <c r="Q307" i="1"/>
  <c r="O307" i="1"/>
  <c r="M307" i="1"/>
  <c r="K307" i="1"/>
  <c r="I307" i="1"/>
  <c r="G307" i="1"/>
  <c r="AM306" i="1"/>
  <c r="AK306" i="1"/>
  <c r="AI306" i="1"/>
  <c r="AG306" i="1"/>
  <c r="AE306" i="1"/>
  <c r="AC306" i="1"/>
  <c r="AA306" i="1"/>
  <c r="Y306" i="1"/>
  <c r="W306" i="1"/>
  <c r="U306" i="1"/>
  <c r="S306" i="1"/>
  <c r="Q306" i="1"/>
  <c r="O306" i="1"/>
  <c r="M306" i="1"/>
  <c r="K306" i="1"/>
  <c r="I306" i="1"/>
  <c r="G306" i="1"/>
  <c r="AM305" i="1"/>
  <c r="AK305" i="1"/>
  <c r="AI305" i="1"/>
  <c r="AG305" i="1"/>
  <c r="AE305" i="1"/>
  <c r="AC305" i="1"/>
  <c r="AA305" i="1"/>
  <c r="Y305" i="1"/>
  <c r="W305" i="1"/>
  <c r="U305" i="1"/>
  <c r="S305" i="1"/>
  <c r="Q305" i="1"/>
  <c r="O305" i="1"/>
  <c r="M305" i="1"/>
  <c r="K305" i="1"/>
  <c r="I305" i="1"/>
  <c r="G305" i="1"/>
  <c r="AM304" i="1"/>
  <c r="AK304" i="1"/>
  <c r="AI304" i="1"/>
  <c r="AG304" i="1"/>
  <c r="AE304" i="1"/>
  <c r="AC304" i="1"/>
  <c r="AA304" i="1"/>
  <c r="Y304" i="1"/>
  <c r="W304" i="1"/>
  <c r="U304" i="1"/>
  <c r="S304" i="1"/>
  <c r="Q304" i="1"/>
  <c r="O304" i="1"/>
  <c r="M304" i="1"/>
  <c r="K304" i="1"/>
  <c r="I304" i="1"/>
  <c r="G304" i="1"/>
  <c r="AM303" i="1"/>
  <c r="AK303" i="1"/>
  <c r="AI303" i="1"/>
  <c r="AG303" i="1"/>
  <c r="AE303" i="1"/>
  <c r="AC303" i="1"/>
  <c r="AA303" i="1"/>
  <c r="Y303" i="1"/>
  <c r="W303" i="1"/>
  <c r="U303" i="1"/>
  <c r="S303" i="1"/>
  <c r="Q303" i="1"/>
  <c r="O303" i="1"/>
  <c r="M303" i="1"/>
  <c r="K303" i="1"/>
  <c r="I303" i="1"/>
  <c r="G303" i="1"/>
  <c r="AM302" i="1"/>
  <c r="AK302" i="1"/>
  <c r="AI302" i="1"/>
  <c r="AG302" i="1"/>
  <c r="AE302" i="1"/>
  <c r="AC302" i="1"/>
  <c r="AA302" i="1"/>
  <c r="Y302" i="1"/>
  <c r="W302" i="1"/>
  <c r="U302" i="1"/>
  <c r="S302" i="1"/>
  <c r="Q302" i="1"/>
  <c r="O302" i="1"/>
  <c r="M302" i="1"/>
  <c r="K302" i="1"/>
  <c r="I302" i="1"/>
  <c r="G302" i="1"/>
  <c r="AM301" i="1"/>
  <c r="AK301" i="1"/>
  <c r="AI301" i="1"/>
  <c r="AG301" i="1"/>
  <c r="AE301" i="1"/>
  <c r="AC301" i="1"/>
  <c r="AA301" i="1"/>
  <c r="Y301" i="1"/>
  <c r="W301" i="1"/>
  <c r="U301" i="1"/>
  <c r="S301" i="1"/>
  <c r="Q301" i="1"/>
  <c r="O301" i="1"/>
  <c r="M301" i="1"/>
  <c r="K301" i="1"/>
  <c r="I301" i="1"/>
  <c r="G301" i="1"/>
  <c r="AM300" i="1"/>
  <c r="AK300" i="1"/>
  <c r="AI300" i="1"/>
  <c r="AG300" i="1"/>
  <c r="AE300" i="1"/>
  <c r="AC300" i="1"/>
  <c r="AA300" i="1"/>
  <c r="Y300" i="1"/>
  <c r="W300" i="1"/>
  <c r="U300" i="1"/>
  <c r="S300" i="1"/>
  <c r="Q300" i="1"/>
  <c r="O300" i="1"/>
  <c r="M300" i="1"/>
  <c r="K300" i="1"/>
  <c r="I300" i="1"/>
  <c r="G300" i="1"/>
  <c r="AM299" i="1"/>
  <c r="AK299" i="1"/>
  <c r="AI299" i="1"/>
  <c r="AG299" i="1"/>
  <c r="AE299" i="1"/>
  <c r="AC299" i="1"/>
  <c r="AA299" i="1"/>
  <c r="Y299" i="1"/>
  <c r="W299" i="1"/>
  <c r="U299" i="1"/>
  <c r="S299" i="1"/>
  <c r="Q299" i="1"/>
  <c r="O299" i="1"/>
  <c r="M299" i="1"/>
  <c r="K299" i="1"/>
  <c r="I299" i="1"/>
  <c r="G299" i="1"/>
  <c r="AM298" i="1"/>
  <c r="AK298" i="1"/>
  <c r="AI298" i="1"/>
  <c r="AG298" i="1"/>
  <c r="AE298" i="1"/>
  <c r="AC298" i="1"/>
  <c r="AA298" i="1"/>
  <c r="Y298" i="1"/>
  <c r="W298" i="1"/>
  <c r="U298" i="1"/>
  <c r="S298" i="1"/>
  <c r="Q298" i="1"/>
  <c r="O298" i="1"/>
  <c r="M298" i="1"/>
  <c r="K298" i="1"/>
  <c r="I298" i="1"/>
  <c r="G298" i="1"/>
  <c r="AM297" i="1"/>
  <c r="AK297" i="1"/>
  <c r="AI297" i="1"/>
  <c r="AG297" i="1"/>
  <c r="AE297" i="1"/>
  <c r="AC297" i="1"/>
  <c r="AA297" i="1"/>
  <c r="Y297" i="1"/>
  <c r="W297" i="1"/>
  <c r="U297" i="1"/>
  <c r="S297" i="1"/>
  <c r="Q297" i="1"/>
  <c r="O297" i="1"/>
  <c r="M297" i="1"/>
  <c r="K297" i="1"/>
  <c r="I297" i="1"/>
  <c r="G297" i="1"/>
  <c r="AM296" i="1"/>
  <c r="AK296" i="1"/>
  <c r="AI296" i="1"/>
  <c r="AG296" i="1"/>
  <c r="AE296" i="1"/>
  <c r="AC296" i="1"/>
  <c r="AA296" i="1"/>
  <c r="Y296" i="1"/>
  <c r="W296" i="1"/>
  <c r="U296" i="1"/>
  <c r="S296" i="1"/>
  <c r="Q296" i="1"/>
  <c r="O296" i="1"/>
  <c r="M296" i="1"/>
  <c r="K296" i="1"/>
  <c r="I296" i="1"/>
  <c r="G296" i="1"/>
  <c r="AM295" i="1"/>
  <c r="AK295" i="1"/>
  <c r="AI295" i="1"/>
  <c r="AG295" i="1"/>
  <c r="AE295" i="1"/>
  <c r="AC295" i="1"/>
  <c r="AA295" i="1"/>
  <c r="Y295" i="1"/>
  <c r="W295" i="1"/>
  <c r="U295" i="1"/>
  <c r="S295" i="1"/>
  <c r="Q295" i="1"/>
  <c r="O295" i="1"/>
  <c r="M295" i="1"/>
  <c r="K295" i="1"/>
  <c r="I295" i="1"/>
  <c r="G295" i="1"/>
  <c r="AM294" i="1"/>
  <c r="AK294" i="1"/>
  <c r="AI294" i="1"/>
  <c r="AG294" i="1"/>
  <c r="AE294" i="1"/>
  <c r="AC294" i="1"/>
  <c r="AA294" i="1"/>
  <c r="Y294" i="1"/>
  <c r="W294" i="1"/>
  <c r="U294" i="1"/>
  <c r="S294" i="1"/>
  <c r="Q294" i="1"/>
  <c r="O294" i="1"/>
  <c r="M294" i="1"/>
  <c r="K294" i="1"/>
  <c r="I294" i="1"/>
  <c r="G294" i="1"/>
  <c r="AM293" i="1"/>
  <c r="AK293" i="1"/>
  <c r="AI293" i="1"/>
  <c r="AG293" i="1"/>
  <c r="AE293" i="1"/>
  <c r="AC293" i="1"/>
  <c r="AA293" i="1"/>
  <c r="Y293" i="1"/>
  <c r="W293" i="1"/>
  <c r="U293" i="1"/>
  <c r="S293" i="1"/>
  <c r="Q293" i="1"/>
  <c r="O293" i="1"/>
  <c r="M293" i="1"/>
  <c r="K293" i="1"/>
  <c r="I293" i="1"/>
  <c r="G293" i="1"/>
  <c r="AM292" i="1"/>
  <c r="AK292" i="1"/>
  <c r="AI292" i="1"/>
  <c r="AG292" i="1"/>
  <c r="AE292" i="1"/>
  <c r="AC292" i="1"/>
  <c r="AA292" i="1"/>
  <c r="Y292" i="1"/>
  <c r="W292" i="1"/>
  <c r="U292" i="1"/>
  <c r="S292" i="1"/>
  <c r="Q292" i="1"/>
  <c r="O292" i="1"/>
  <c r="M292" i="1"/>
  <c r="K292" i="1"/>
  <c r="I292" i="1"/>
  <c r="G292" i="1"/>
  <c r="AM291" i="1"/>
  <c r="AK291" i="1"/>
  <c r="AI291" i="1"/>
  <c r="AG291" i="1"/>
  <c r="AE291" i="1"/>
  <c r="AC291" i="1"/>
  <c r="AA291" i="1"/>
  <c r="Y291" i="1"/>
  <c r="W291" i="1"/>
  <c r="U291" i="1"/>
  <c r="S291" i="1"/>
  <c r="Q291" i="1"/>
  <c r="O291" i="1"/>
  <c r="M291" i="1"/>
  <c r="K291" i="1"/>
  <c r="I291" i="1"/>
  <c r="G291" i="1"/>
  <c r="AM290" i="1"/>
  <c r="AK290" i="1"/>
  <c r="AI290" i="1"/>
  <c r="AG290" i="1"/>
  <c r="AE290" i="1"/>
  <c r="AC290" i="1"/>
  <c r="AA290" i="1"/>
  <c r="Y290" i="1"/>
  <c r="W290" i="1"/>
  <c r="U290" i="1"/>
  <c r="S290" i="1"/>
  <c r="Q290" i="1"/>
  <c r="O290" i="1"/>
  <c r="M290" i="1"/>
  <c r="K290" i="1"/>
  <c r="I290" i="1"/>
  <c r="G290" i="1"/>
  <c r="AM289" i="1"/>
  <c r="AK289" i="1"/>
  <c r="AI289" i="1"/>
  <c r="AG289" i="1"/>
  <c r="AE289" i="1"/>
  <c r="AC289" i="1"/>
  <c r="AA289" i="1"/>
  <c r="Y289" i="1"/>
  <c r="W289" i="1"/>
  <c r="U289" i="1"/>
  <c r="S289" i="1"/>
  <c r="Q289" i="1"/>
  <c r="O289" i="1"/>
  <c r="M289" i="1"/>
  <c r="K289" i="1"/>
  <c r="I289" i="1"/>
  <c r="G289" i="1"/>
  <c r="AM288" i="1"/>
  <c r="AK288" i="1"/>
  <c r="AI288" i="1"/>
  <c r="AG288" i="1"/>
  <c r="AE288" i="1"/>
  <c r="AC288" i="1"/>
  <c r="AA288" i="1"/>
  <c r="Y288" i="1"/>
  <c r="W288" i="1"/>
  <c r="U288" i="1"/>
  <c r="S288" i="1"/>
  <c r="Q288" i="1"/>
  <c r="O288" i="1"/>
  <c r="M288" i="1"/>
  <c r="K288" i="1"/>
  <c r="I288" i="1"/>
  <c r="G288" i="1"/>
  <c r="AM287" i="1"/>
  <c r="AK287" i="1"/>
  <c r="AI287" i="1"/>
  <c r="AG287" i="1"/>
  <c r="AE287" i="1"/>
  <c r="AC287" i="1"/>
  <c r="AA287" i="1"/>
  <c r="Y287" i="1"/>
  <c r="W287" i="1"/>
  <c r="U287" i="1"/>
  <c r="S287" i="1"/>
  <c r="Q287" i="1"/>
  <c r="O287" i="1"/>
  <c r="M287" i="1"/>
  <c r="K287" i="1"/>
  <c r="I287" i="1"/>
  <c r="G287" i="1"/>
  <c r="AM286" i="1"/>
  <c r="AK286" i="1"/>
  <c r="AI286" i="1"/>
  <c r="AG286" i="1"/>
  <c r="AE286" i="1"/>
  <c r="AC286" i="1"/>
  <c r="AA286" i="1"/>
  <c r="Y286" i="1"/>
  <c r="W286" i="1"/>
  <c r="U286" i="1"/>
  <c r="S286" i="1"/>
  <c r="Q286" i="1"/>
  <c r="O286" i="1"/>
  <c r="M286" i="1"/>
  <c r="K286" i="1"/>
  <c r="I286" i="1"/>
  <c r="G286" i="1"/>
  <c r="AM285" i="1"/>
  <c r="AK285" i="1"/>
  <c r="AI285" i="1"/>
  <c r="AG285" i="1"/>
  <c r="AE285" i="1"/>
  <c r="AC285" i="1"/>
  <c r="AA285" i="1"/>
  <c r="Y285" i="1"/>
  <c r="W285" i="1"/>
  <c r="U285" i="1"/>
  <c r="S285" i="1"/>
  <c r="Q285" i="1"/>
  <c r="O285" i="1"/>
  <c r="M285" i="1"/>
  <c r="K285" i="1"/>
  <c r="I285" i="1"/>
  <c r="G285" i="1"/>
  <c r="AM284" i="1"/>
  <c r="AK284" i="1"/>
  <c r="AI284" i="1"/>
  <c r="AG284" i="1"/>
  <c r="AE284" i="1"/>
  <c r="AC284" i="1"/>
  <c r="AA284" i="1"/>
  <c r="Y284" i="1"/>
  <c r="W284" i="1"/>
  <c r="U284" i="1"/>
  <c r="S284" i="1"/>
  <c r="Q284" i="1"/>
  <c r="O284" i="1"/>
  <c r="M284" i="1"/>
  <c r="K284" i="1"/>
  <c r="I284" i="1"/>
  <c r="G284" i="1"/>
  <c r="AM283" i="1"/>
  <c r="AK283" i="1"/>
  <c r="AI283" i="1"/>
  <c r="AG283" i="1"/>
  <c r="AE283" i="1"/>
  <c r="AC283" i="1"/>
  <c r="AA283" i="1"/>
  <c r="Y283" i="1"/>
  <c r="W283" i="1"/>
  <c r="U283" i="1"/>
  <c r="S283" i="1"/>
  <c r="Q283" i="1"/>
  <c r="O283" i="1"/>
  <c r="M283" i="1"/>
  <c r="K283" i="1"/>
  <c r="I283" i="1"/>
  <c r="G283" i="1"/>
  <c r="AM282" i="1"/>
  <c r="AK282" i="1"/>
  <c r="AI282" i="1"/>
  <c r="AG282" i="1"/>
  <c r="AE282" i="1"/>
  <c r="AC282" i="1"/>
  <c r="AA282" i="1"/>
  <c r="Y282" i="1"/>
  <c r="W282" i="1"/>
  <c r="U282" i="1"/>
  <c r="S282" i="1"/>
  <c r="Q282" i="1"/>
  <c r="O282" i="1"/>
  <c r="M282" i="1"/>
  <c r="K282" i="1"/>
  <c r="I282" i="1"/>
  <c r="G282" i="1"/>
  <c r="AM281" i="1"/>
  <c r="AK281" i="1"/>
  <c r="AI281" i="1"/>
  <c r="AG281" i="1"/>
  <c r="AE281" i="1"/>
  <c r="AC281" i="1"/>
  <c r="AA281" i="1"/>
  <c r="Y281" i="1"/>
  <c r="W281" i="1"/>
  <c r="U281" i="1"/>
  <c r="S281" i="1"/>
  <c r="Q281" i="1"/>
  <c r="O281" i="1"/>
  <c r="M281" i="1"/>
  <c r="K281" i="1"/>
  <c r="I281" i="1"/>
  <c r="G281" i="1"/>
  <c r="AM280" i="1"/>
  <c r="AK280" i="1"/>
  <c r="AI280" i="1"/>
  <c r="AG280" i="1"/>
  <c r="AE280" i="1"/>
  <c r="AC280" i="1"/>
  <c r="AA280" i="1"/>
  <c r="Y280" i="1"/>
  <c r="W280" i="1"/>
  <c r="U280" i="1"/>
  <c r="S280" i="1"/>
  <c r="Q280" i="1"/>
  <c r="O280" i="1"/>
  <c r="M280" i="1"/>
  <c r="K280" i="1"/>
  <c r="I280" i="1"/>
  <c r="G280" i="1"/>
  <c r="AM279" i="1"/>
  <c r="AK279" i="1"/>
  <c r="AI279" i="1"/>
  <c r="AG279" i="1"/>
  <c r="AE279" i="1"/>
  <c r="AC279" i="1"/>
  <c r="AA279" i="1"/>
  <c r="Y279" i="1"/>
  <c r="W279" i="1"/>
  <c r="U279" i="1"/>
  <c r="S279" i="1"/>
  <c r="Q279" i="1"/>
  <c r="O279" i="1"/>
  <c r="M279" i="1"/>
  <c r="K279" i="1"/>
  <c r="I279" i="1"/>
  <c r="G279" i="1"/>
  <c r="AM278" i="1"/>
  <c r="AK278" i="1"/>
  <c r="AI278" i="1"/>
  <c r="AG278" i="1"/>
  <c r="AE278" i="1"/>
  <c r="AC278" i="1"/>
  <c r="AA278" i="1"/>
  <c r="Y278" i="1"/>
  <c r="W278" i="1"/>
  <c r="U278" i="1"/>
  <c r="S278" i="1"/>
  <c r="Q278" i="1"/>
  <c r="O278" i="1"/>
  <c r="M278" i="1"/>
  <c r="K278" i="1"/>
  <c r="I278" i="1"/>
  <c r="G278" i="1"/>
  <c r="AM277" i="1"/>
  <c r="AK277" i="1"/>
  <c r="AI277" i="1"/>
  <c r="AG277" i="1"/>
  <c r="AE277" i="1"/>
  <c r="AC277" i="1"/>
  <c r="AA277" i="1"/>
  <c r="Y277" i="1"/>
  <c r="W277" i="1"/>
  <c r="U277" i="1"/>
  <c r="S277" i="1"/>
  <c r="Q277" i="1"/>
  <c r="O277" i="1"/>
  <c r="M277" i="1"/>
  <c r="K277" i="1"/>
  <c r="I277" i="1"/>
  <c r="G277" i="1"/>
  <c r="AM276" i="1"/>
  <c r="AK276" i="1"/>
  <c r="AI276" i="1"/>
  <c r="AG276" i="1"/>
  <c r="AE276" i="1"/>
  <c r="AC276" i="1"/>
  <c r="AA276" i="1"/>
  <c r="Y276" i="1"/>
  <c r="W276" i="1"/>
  <c r="U276" i="1"/>
  <c r="S276" i="1"/>
  <c r="Q276" i="1"/>
  <c r="O276" i="1"/>
  <c r="M276" i="1"/>
  <c r="K276" i="1"/>
  <c r="I276" i="1"/>
  <c r="G276" i="1"/>
  <c r="AM275" i="1"/>
  <c r="AK275" i="1"/>
  <c r="AI275" i="1"/>
  <c r="AG275" i="1"/>
  <c r="AE275" i="1"/>
  <c r="AC275" i="1"/>
  <c r="AA275" i="1"/>
  <c r="Y275" i="1"/>
  <c r="W275" i="1"/>
  <c r="U275" i="1"/>
  <c r="S275" i="1"/>
  <c r="Q275" i="1"/>
  <c r="O275" i="1"/>
  <c r="M275" i="1"/>
  <c r="K275" i="1"/>
  <c r="I275" i="1"/>
  <c r="G275" i="1"/>
  <c r="AM274" i="1"/>
  <c r="AK274" i="1"/>
  <c r="AI274" i="1"/>
  <c r="AG274" i="1"/>
  <c r="AE274" i="1"/>
  <c r="AC274" i="1"/>
  <c r="AA274" i="1"/>
  <c r="Y274" i="1"/>
  <c r="W274" i="1"/>
  <c r="U274" i="1"/>
  <c r="S274" i="1"/>
  <c r="Q274" i="1"/>
  <c r="O274" i="1"/>
  <c r="M274" i="1"/>
  <c r="K274" i="1"/>
  <c r="I274" i="1"/>
  <c r="G274" i="1"/>
  <c r="AM273" i="1"/>
  <c r="AK273" i="1"/>
  <c r="AI273" i="1"/>
  <c r="AG273" i="1"/>
  <c r="AE273" i="1"/>
  <c r="AC273" i="1"/>
  <c r="AA273" i="1"/>
  <c r="Y273" i="1"/>
  <c r="W273" i="1"/>
  <c r="U273" i="1"/>
  <c r="S273" i="1"/>
  <c r="Q273" i="1"/>
  <c r="O273" i="1"/>
  <c r="M273" i="1"/>
  <c r="K273" i="1"/>
  <c r="I273" i="1"/>
  <c r="G273" i="1"/>
  <c r="AM272" i="1"/>
  <c r="AK272" i="1"/>
  <c r="AI272" i="1"/>
  <c r="AG272" i="1"/>
  <c r="AE272" i="1"/>
  <c r="AC272" i="1"/>
  <c r="AA272" i="1"/>
  <c r="Y272" i="1"/>
  <c r="W272" i="1"/>
  <c r="U272" i="1"/>
  <c r="S272" i="1"/>
  <c r="Q272" i="1"/>
  <c r="O272" i="1"/>
  <c r="M272" i="1"/>
  <c r="K272" i="1"/>
  <c r="I272" i="1"/>
  <c r="G272" i="1"/>
  <c r="AM271" i="1"/>
  <c r="AK271" i="1"/>
  <c r="AI271" i="1"/>
  <c r="AG271" i="1"/>
  <c r="AE271" i="1"/>
  <c r="AC271" i="1"/>
  <c r="AA271" i="1"/>
  <c r="Y271" i="1"/>
  <c r="W271" i="1"/>
  <c r="U271" i="1"/>
  <c r="S271" i="1"/>
  <c r="Q271" i="1"/>
  <c r="O271" i="1"/>
  <c r="M271" i="1"/>
  <c r="K271" i="1"/>
  <c r="I271" i="1"/>
  <c r="G271" i="1"/>
  <c r="AM270" i="1"/>
  <c r="AK270" i="1"/>
  <c r="AI270" i="1"/>
  <c r="AG270" i="1"/>
  <c r="AE270" i="1"/>
  <c r="AC270" i="1"/>
  <c r="AA270" i="1"/>
  <c r="Y270" i="1"/>
  <c r="W270" i="1"/>
  <c r="U270" i="1"/>
  <c r="S270" i="1"/>
  <c r="Q270" i="1"/>
  <c r="O270" i="1"/>
  <c r="M270" i="1"/>
  <c r="K270" i="1"/>
  <c r="I270" i="1"/>
  <c r="G270" i="1"/>
  <c r="AM269" i="1"/>
  <c r="AK269" i="1"/>
  <c r="AI269" i="1"/>
  <c r="AG269" i="1"/>
  <c r="AE269" i="1"/>
  <c r="AC269" i="1"/>
  <c r="AA269" i="1"/>
  <c r="Y269" i="1"/>
  <c r="W269" i="1"/>
  <c r="U269" i="1"/>
  <c r="S269" i="1"/>
  <c r="Q269" i="1"/>
  <c r="O269" i="1"/>
  <c r="M269" i="1"/>
  <c r="K269" i="1"/>
  <c r="I269" i="1"/>
  <c r="G269" i="1"/>
  <c r="AM268" i="1"/>
  <c r="AK268" i="1"/>
  <c r="AI268" i="1"/>
  <c r="AG268" i="1"/>
  <c r="AE268" i="1"/>
  <c r="AC268" i="1"/>
  <c r="AA268" i="1"/>
  <c r="Y268" i="1"/>
  <c r="W268" i="1"/>
  <c r="U268" i="1"/>
  <c r="S268" i="1"/>
  <c r="Q268" i="1"/>
  <c r="O268" i="1"/>
  <c r="M268" i="1"/>
  <c r="K268" i="1"/>
  <c r="I268" i="1"/>
  <c r="G268" i="1"/>
  <c r="AM267" i="1"/>
  <c r="AK267" i="1"/>
  <c r="AI267" i="1"/>
  <c r="AG267" i="1"/>
  <c r="AE267" i="1"/>
  <c r="AC267" i="1"/>
  <c r="AA267" i="1"/>
  <c r="Y267" i="1"/>
  <c r="W267" i="1"/>
  <c r="U267" i="1"/>
  <c r="S267" i="1"/>
  <c r="Q267" i="1"/>
  <c r="O267" i="1"/>
  <c r="M267" i="1"/>
  <c r="K267" i="1"/>
  <c r="I267" i="1"/>
  <c r="G267" i="1"/>
  <c r="AM266" i="1"/>
  <c r="AK266" i="1"/>
  <c r="AI266" i="1"/>
  <c r="AG266" i="1"/>
  <c r="AE266" i="1"/>
  <c r="AC266" i="1"/>
  <c r="AA266" i="1"/>
  <c r="Y266" i="1"/>
  <c r="W266" i="1"/>
  <c r="U266" i="1"/>
  <c r="S266" i="1"/>
  <c r="Q266" i="1"/>
  <c r="O266" i="1"/>
  <c r="M266" i="1"/>
  <c r="K266" i="1"/>
  <c r="I266" i="1"/>
  <c r="G266" i="1"/>
  <c r="AM265" i="1"/>
  <c r="AK265" i="1"/>
  <c r="AI265" i="1"/>
  <c r="AG265" i="1"/>
  <c r="AE265" i="1"/>
  <c r="AC265" i="1"/>
  <c r="AA265" i="1"/>
  <c r="Y265" i="1"/>
  <c r="W265" i="1"/>
  <c r="U265" i="1"/>
  <c r="S265" i="1"/>
  <c r="Q265" i="1"/>
  <c r="O265" i="1"/>
  <c r="M265" i="1"/>
  <c r="K265" i="1"/>
  <c r="I265" i="1"/>
  <c r="G265" i="1"/>
  <c r="AM264" i="1"/>
  <c r="AK264" i="1"/>
  <c r="AI264" i="1"/>
  <c r="AG264" i="1"/>
  <c r="AE264" i="1"/>
  <c r="AC264" i="1"/>
  <c r="AA264" i="1"/>
  <c r="Y264" i="1"/>
  <c r="W264" i="1"/>
  <c r="U264" i="1"/>
  <c r="S264" i="1"/>
  <c r="Q264" i="1"/>
  <c r="O264" i="1"/>
  <c r="M264" i="1"/>
  <c r="K264" i="1"/>
  <c r="I264" i="1"/>
  <c r="G264" i="1"/>
  <c r="AM263" i="1"/>
  <c r="AK263" i="1"/>
  <c r="AI263" i="1"/>
  <c r="AG263" i="1"/>
  <c r="AE263" i="1"/>
  <c r="AC263" i="1"/>
  <c r="AA263" i="1"/>
  <c r="Y263" i="1"/>
  <c r="W263" i="1"/>
  <c r="U263" i="1"/>
  <c r="S263" i="1"/>
  <c r="Q263" i="1"/>
  <c r="O263" i="1"/>
  <c r="M263" i="1"/>
  <c r="K263" i="1"/>
  <c r="I263" i="1"/>
  <c r="G263" i="1"/>
  <c r="AM262" i="1"/>
  <c r="AK262" i="1"/>
  <c r="AI262" i="1"/>
  <c r="AG262" i="1"/>
  <c r="AE262" i="1"/>
  <c r="AC262" i="1"/>
  <c r="AA262" i="1"/>
  <c r="Y262" i="1"/>
  <c r="W262" i="1"/>
  <c r="U262" i="1"/>
  <c r="S262" i="1"/>
  <c r="Q262" i="1"/>
  <c r="O262" i="1"/>
  <c r="M262" i="1"/>
  <c r="K262" i="1"/>
  <c r="I262" i="1"/>
  <c r="G262" i="1"/>
  <c r="AM261" i="1"/>
  <c r="AK261" i="1"/>
  <c r="AI261" i="1"/>
  <c r="AG261" i="1"/>
  <c r="AE261" i="1"/>
  <c r="AC261" i="1"/>
  <c r="AA261" i="1"/>
  <c r="Y261" i="1"/>
  <c r="W261" i="1"/>
  <c r="U261" i="1"/>
  <c r="S261" i="1"/>
  <c r="Q261" i="1"/>
  <c r="O261" i="1"/>
  <c r="M261" i="1"/>
  <c r="K261" i="1"/>
  <c r="I261" i="1"/>
  <c r="G261" i="1"/>
  <c r="AM260" i="1"/>
  <c r="AK260" i="1"/>
  <c r="AI260" i="1"/>
  <c r="AG260" i="1"/>
  <c r="AE260" i="1"/>
  <c r="AC260" i="1"/>
  <c r="AA260" i="1"/>
  <c r="Y260" i="1"/>
  <c r="W260" i="1"/>
  <c r="U260" i="1"/>
  <c r="S260" i="1"/>
  <c r="Q260" i="1"/>
  <c r="O260" i="1"/>
  <c r="M260" i="1"/>
  <c r="K260" i="1"/>
  <c r="I260" i="1"/>
  <c r="G260" i="1"/>
  <c r="AM259" i="1"/>
  <c r="AK259" i="1"/>
  <c r="AI259" i="1"/>
  <c r="AG259" i="1"/>
  <c r="AE259" i="1"/>
  <c r="AC259" i="1"/>
  <c r="AA259" i="1"/>
  <c r="Y259" i="1"/>
  <c r="W259" i="1"/>
  <c r="U259" i="1"/>
  <c r="S259" i="1"/>
  <c r="Q259" i="1"/>
  <c r="O259" i="1"/>
  <c r="M259" i="1"/>
  <c r="K259" i="1"/>
  <c r="I259" i="1"/>
  <c r="G259" i="1"/>
  <c r="AM258" i="1"/>
  <c r="AK258" i="1"/>
  <c r="AI258" i="1"/>
  <c r="AG258" i="1"/>
  <c r="AE258" i="1"/>
  <c r="AC258" i="1"/>
  <c r="AA258" i="1"/>
  <c r="Y258" i="1"/>
  <c r="W258" i="1"/>
  <c r="U258" i="1"/>
  <c r="S258" i="1"/>
  <c r="Q258" i="1"/>
  <c r="O258" i="1"/>
  <c r="M258" i="1"/>
  <c r="K258" i="1"/>
  <c r="I258" i="1"/>
  <c r="G258" i="1"/>
  <c r="AM257" i="1"/>
  <c r="AK257" i="1"/>
  <c r="AI257" i="1"/>
  <c r="AG257" i="1"/>
  <c r="AE257" i="1"/>
  <c r="AC257" i="1"/>
  <c r="AA257" i="1"/>
  <c r="Y257" i="1"/>
  <c r="W257" i="1"/>
  <c r="U257" i="1"/>
  <c r="S257" i="1"/>
  <c r="Q257" i="1"/>
  <c r="O257" i="1"/>
  <c r="M257" i="1"/>
  <c r="K257" i="1"/>
  <c r="I257" i="1"/>
  <c r="G257" i="1"/>
  <c r="AM256" i="1"/>
  <c r="AK256" i="1"/>
  <c r="AI256" i="1"/>
  <c r="AG256" i="1"/>
  <c r="AE256" i="1"/>
  <c r="AC256" i="1"/>
  <c r="AA256" i="1"/>
  <c r="Y256" i="1"/>
  <c r="W256" i="1"/>
  <c r="U256" i="1"/>
  <c r="S256" i="1"/>
  <c r="Q256" i="1"/>
  <c r="O256" i="1"/>
  <c r="M256" i="1"/>
  <c r="K256" i="1"/>
  <c r="I256" i="1"/>
  <c r="G256" i="1"/>
  <c r="AM255" i="1"/>
  <c r="AK255" i="1"/>
  <c r="AI255" i="1"/>
  <c r="AG255" i="1"/>
  <c r="AE255" i="1"/>
  <c r="AC255" i="1"/>
  <c r="AA255" i="1"/>
  <c r="Y255" i="1"/>
  <c r="W255" i="1"/>
  <c r="U255" i="1"/>
  <c r="S255" i="1"/>
  <c r="Q255" i="1"/>
  <c r="O255" i="1"/>
  <c r="M255" i="1"/>
  <c r="K255" i="1"/>
  <c r="I255" i="1"/>
  <c r="G255" i="1"/>
  <c r="AM254" i="1"/>
  <c r="AK254" i="1"/>
  <c r="AI254" i="1"/>
  <c r="AG254" i="1"/>
  <c r="AE254" i="1"/>
  <c r="AC254" i="1"/>
  <c r="AA254" i="1"/>
  <c r="Y254" i="1"/>
  <c r="W254" i="1"/>
  <c r="U254" i="1"/>
  <c r="S254" i="1"/>
  <c r="Q254" i="1"/>
  <c r="O254" i="1"/>
  <c r="M254" i="1"/>
  <c r="K254" i="1"/>
  <c r="I254" i="1"/>
  <c r="G254" i="1"/>
  <c r="AM253" i="1"/>
  <c r="AK253" i="1"/>
  <c r="AI253" i="1"/>
  <c r="AG253" i="1"/>
  <c r="AE253" i="1"/>
  <c r="AC253" i="1"/>
  <c r="AA253" i="1"/>
  <c r="Y253" i="1"/>
  <c r="W253" i="1"/>
  <c r="U253" i="1"/>
  <c r="S253" i="1"/>
  <c r="Q253" i="1"/>
  <c r="O253" i="1"/>
  <c r="M253" i="1"/>
  <c r="K253" i="1"/>
  <c r="I253" i="1"/>
  <c r="G253" i="1"/>
  <c r="AM252" i="1"/>
  <c r="AK252" i="1"/>
  <c r="AI252" i="1"/>
  <c r="AG252" i="1"/>
  <c r="AE252" i="1"/>
  <c r="AC252" i="1"/>
  <c r="AA252" i="1"/>
  <c r="Y252" i="1"/>
  <c r="W252" i="1"/>
  <c r="U252" i="1"/>
  <c r="S252" i="1"/>
  <c r="Q252" i="1"/>
  <c r="O252" i="1"/>
  <c r="M252" i="1"/>
  <c r="K252" i="1"/>
  <c r="I252" i="1"/>
  <c r="G252" i="1"/>
  <c r="AM251" i="1"/>
  <c r="AK251" i="1"/>
  <c r="AI251" i="1"/>
  <c r="AG251" i="1"/>
  <c r="AE251" i="1"/>
  <c r="AC251" i="1"/>
  <c r="AA251" i="1"/>
  <c r="Y251" i="1"/>
  <c r="W251" i="1"/>
  <c r="U251" i="1"/>
  <c r="S251" i="1"/>
  <c r="Q251" i="1"/>
  <c r="O251" i="1"/>
  <c r="M251" i="1"/>
  <c r="K251" i="1"/>
  <c r="I251" i="1"/>
  <c r="G251" i="1"/>
  <c r="AM250" i="1"/>
  <c r="AK250" i="1"/>
  <c r="AI250" i="1"/>
  <c r="AG250" i="1"/>
  <c r="AE250" i="1"/>
  <c r="AC250" i="1"/>
  <c r="AA250" i="1"/>
  <c r="Y250" i="1"/>
  <c r="W250" i="1"/>
  <c r="U250" i="1"/>
  <c r="S250" i="1"/>
  <c r="Q250" i="1"/>
  <c r="O250" i="1"/>
  <c r="M250" i="1"/>
  <c r="K250" i="1"/>
  <c r="I250" i="1"/>
  <c r="G250" i="1"/>
  <c r="AM249" i="1"/>
  <c r="AK249" i="1"/>
  <c r="AI249" i="1"/>
  <c r="AG249" i="1"/>
  <c r="AE249" i="1"/>
  <c r="AC249" i="1"/>
  <c r="AA249" i="1"/>
  <c r="Y249" i="1"/>
  <c r="W249" i="1"/>
  <c r="U249" i="1"/>
  <c r="S249" i="1"/>
  <c r="Q249" i="1"/>
  <c r="O249" i="1"/>
  <c r="M249" i="1"/>
  <c r="K249" i="1"/>
  <c r="I249" i="1"/>
  <c r="G249" i="1"/>
  <c r="AM248" i="1"/>
  <c r="AK248" i="1"/>
  <c r="AI248" i="1"/>
  <c r="AG248" i="1"/>
  <c r="AE248" i="1"/>
  <c r="AC248" i="1"/>
  <c r="AA248" i="1"/>
  <c r="Y248" i="1"/>
  <c r="W248" i="1"/>
  <c r="U248" i="1"/>
  <c r="S248" i="1"/>
  <c r="Q248" i="1"/>
  <c r="O248" i="1"/>
  <c r="M248" i="1"/>
  <c r="K248" i="1"/>
  <c r="I248" i="1"/>
  <c r="G248" i="1"/>
  <c r="AM247" i="1"/>
  <c r="AK247" i="1"/>
  <c r="AI247" i="1"/>
  <c r="AG247" i="1"/>
  <c r="AE247" i="1"/>
  <c r="AC247" i="1"/>
  <c r="AA247" i="1"/>
  <c r="Y247" i="1"/>
  <c r="W247" i="1"/>
  <c r="U247" i="1"/>
  <c r="S247" i="1"/>
  <c r="Q247" i="1"/>
  <c r="O247" i="1"/>
  <c r="M247" i="1"/>
  <c r="K247" i="1"/>
  <c r="I247" i="1"/>
  <c r="G247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I246" i="1"/>
  <c r="G246" i="1"/>
  <c r="AM245" i="1"/>
  <c r="AK245" i="1"/>
  <c r="AI245" i="1"/>
  <c r="AG245" i="1"/>
  <c r="AE245" i="1"/>
  <c r="AC245" i="1"/>
  <c r="AA245" i="1"/>
  <c r="Y245" i="1"/>
  <c r="W245" i="1"/>
  <c r="U245" i="1"/>
  <c r="S245" i="1"/>
  <c r="Q245" i="1"/>
  <c r="O245" i="1"/>
  <c r="M245" i="1"/>
  <c r="K245" i="1"/>
  <c r="I245" i="1"/>
  <c r="G245" i="1"/>
  <c r="AM244" i="1"/>
  <c r="AK244" i="1"/>
  <c r="AI244" i="1"/>
  <c r="AG244" i="1"/>
  <c r="AE244" i="1"/>
  <c r="AC244" i="1"/>
  <c r="AA244" i="1"/>
  <c r="Y244" i="1"/>
  <c r="W244" i="1"/>
  <c r="U244" i="1"/>
  <c r="S244" i="1"/>
  <c r="Q244" i="1"/>
  <c r="O244" i="1"/>
  <c r="M244" i="1"/>
  <c r="K244" i="1"/>
  <c r="I244" i="1"/>
  <c r="G244" i="1"/>
  <c r="AM243" i="1"/>
  <c r="AK243" i="1"/>
  <c r="AI243" i="1"/>
  <c r="AG243" i="1"/>
  <c r="AE243" i="1"/>
  <c r="AC243" i="1"/>
  <c r="AA243" i="1"/>
  <c r="Y243" i="1"/>
  <c r="W243" i="1"/>
  <c r="U243" i="1"/>
  <c r="S243" i="1"/>
  <c r="Q243" i="1"/>
  <c r="O243" i="1"/>
  <c r="M243" i="1"/>
  <c r="K243" i="1"/>
  <c r="I243" i="1"/>
  <c r="G243" i="1"/>
  <c r="AM242" i="1"/>
  <c r="AK242" i="1"/>
  <c r="AI242" i="1"/>
  <c r="AG242" i="1"/>
  <c r="AE242" i="1"/>
  <c r="AC242" i="1"/>
  <c r="AA242" i="1"/>
  <c r="Y242" i="1"/>
  <c r="W242" i="1"/>
  <c r="U242" i="1"/>
  <c r="S242" i="1"/>
  <c r="Q242" i="1"/>
  <c r="O242" i="1"/>
  <c r="M242" i="1"/>
  <c r="K242" i="1"/>
  <c r="I242" i="1"/>
  <c r="G242" i="1"/>
  <c r="AM241" i="1"/>
  <c r="AK241" i="1"/>
  <c r="AI241" i="1"/>
  <c r="AG241" i="1"/>
  <c r="AE241" i="1"/>
  <c r="AC241" i="1"/>
  <c r="AA241" i="1"/>
  <c r="Y241" i="1"/>
  <c r="W241" i="1"/>
  <c r="U241" i="1"/>
  <c r="S241" i="1"/>
  <c r="Q241" i="1"/>
  <c r="O241" i="1"/>
  <c r="M241" i="1"/>
  <c r="K241" i="1"/>
  <c r="I241" i="1"/>
  <c r="G241" i="1"/>
  <c r="AM240" i="1"/>
  <c r="AK240" i="1"/>
  <c r="AI240" i="1"/>
  <c r="AG240" i="1"/>
  <c r="AE240" i="1"/>
  <c r="AC240" i="1"/>
  <c r="AA240" i="1"/>
  <c r="Y240" i="1"/>
  <c r="W240" i="1"/>
  <c r="U240" i="1"/>
  <c r="S240" i="1"/>
  <c r="Q240" i="1"/>
  <c r="O240" i="1"/>
  <c r="M240" i="1"/>
  <c r="K240" i="1"/>
  <c r="I240" i="1"/>
  <c r="G240" i="1"/>
  <c r="AM239" i="1"/>
  <c r="AK239" i="1"/>
  <c r="AI239" i="1"/>
  <c r="AG239" i="1"/>
  <c r="AE239" i="1"/>
  <c r="AC239" i="1"/>
  <c r="AA239" i="1"/>
  <c r="Y239" i="1"/>
  <c r="W239" i="1"/>
  <c r="U239" i="1"/>
  <c r="S239" i="1"/>
  <c r="Q239" i="1"/>
  <c r="O239" i="1"/>
  <c r="M239" i="1"/>
  <c r="K239" i="1"/>
  <c r="I239" i="1"/>
  <c r="G239" i="1"/>
  <c r="AM238" i="1"/>
  <c r="AK238" i="1"/>
  <c r="AI238" i="1"/>
  <c r="AG238" i="1"/>
  <c r="AE238" i="1"/>
  <c r="AC238" i="1"/>
  <c r="AA238" i="1"/>
  <c r="Y238" i="1"/>
  <c r="W238" i="1"/>
  <c r="U238" i="1"/>
  <c r="S238" i="1"/>
  <c r="Q238" i="1"/>
  <c r="O238" i="1"/>
  <c r="M238" i="1"/>
  <c r="K238" i="1"/>
  <c r="I238" i="1"/>
  <c r="G238" i="1"/>
  <c r="AM237" i="1"/>
  <c r="AK237" i="1"/>
  <c r="AI237" i="1"/>
  <c r="AG237" i="1"/>
  <c r="AE237" i="1"/>
  <c r="AC237" i="1"/>
  <c r="AA237" i="1"/>
  <c r="Y237" i="1"/>
  <c r="W237" i="1"/>
  <c r="U237" i="1"/>
  <c r="S237" i="1"/>
  <c r="Q237" i="1"/>
  <c r="O237" i="1"/>
  <c r="M237" i="1"/>
  <c r="K237" i="1"/>
  <c r="I237" i="1"/>
  <c r="G237" i="1"/>
  <c r="AM236" i="1"/>
  <c r="AK236" i="1"/>
  <c r="AI236" i="1"/>
  <c r="AG236" i="1"/>
  <c r="AE236" i="1"/>
  <c r="AC236" i="1"/>
  <c r="AA236" i="1"/>
  <c r="Y236" i="1"/>
  <c r="W236" i="1"/>
  <c r="U236" i="1"/>
  <c r="S236" i="1"/>
  <c r="Q236" i="1"/>
  <c r="O236" i="1"/>
  <c r="M236" i="1"/>
  <c r="K236" i="1"/>
  <c r="I236" i="1"/>
  <c r="G236" i="1"/>
  <c r="AM235" i="1"/>
  <c r="AK235" i="1"/>
  <c r="AI235" i="1"/>
  <c r="AG235" i="1"/>
  <c r="AE235" i="1"/>
  <c r="AC235" i="1"/>
  <c r="AA235" i="1"/>
  <c r="Y235" i="1"/>
  <c r="W235" i="1"/>
  <c r="U235" i="1"/>
  <c r="S235" i="1"/>
  <c r="Q235" i="1"/>
  <c r="O235" i="1"/>
  <c r="M235" i="1"/>
  <c r="K235" i="1"/>
  <c r="I235" i="1"/>
  <c r="G235" i="1"/>
  <c r="AM234" i="1"/>
  <c r="AK234" i="1"/>
  <c r="AI234" i="1"/>
  <c r="AG234" i="1"/>
  <c r="AE234" i="1"/>
  <c r="AC234" i="1"/>
  <c r="AA234" i="1"/>
  <c r="Y234" i="1"/>
  <c r="W234" i="1"/>
  <c r="U234" i="1"/>
  <c r="S234" i="1"/>
  <c r="Q234" i="1"/>
  <c r="O234" i="1"/>
  <c r="M234" i="1"/>
  <c r="K234" i="1"/>
  <c r="I234" i="1"/>
  <c r="G234" i="1"/>
  <c r="AM233" i="1"/>
  <c r="AK233" i="1"/>
  <c r="AI233" i="1"/>
  <c r="AG233" i="1"/>
  <c r="AE233" i="1"/>
  <c r="AC233" i="1"/>
  <c r="AA233" i="1"/>
  <c r="Y233" i="1"/>
  <c r="W233" i="1"/>
  <c r="U233" i="1"/>
  <c r="S233" i="1"/>
  <c r="Q233" i="1"/>
  <c r="O233" i="1"/>
  <c r="M233" i="1"/>
  <c r="K233" i="1"/>
  <c r="I233" i="1"/>
  <c r="G233" i="1"/>
  <c r="AM232" i="1"/>
  <c r="AK232" i="1"/>
  <c r="AI232" i="1"/>
  <c r="AG232" i="1"/>
  <c r="AE232" i="1"/>
  <c r="AC232" i="1"/>
  <c r="AA232" i="1"/>
  <c r="Y232" i="1"/>
  <c r="W232" i="1"/>
  <c r="U232" i="1"/>
  <c r="S232" i="1"/>
  <c r="Q232" i="1"/>
  <c r="O232" i="1"/>
  <c r="M232" i="1"/>
  <c r="K232" i="1"/>
  <c r="I232" i="1"/>
  <c r="G232" i="1"/>
  <c r="AM231" i="1"/>
  <c r="AK231" i="1"/>
  <c r="AI231" i="1"/>
  <c r="AG231" i="1"/>
  <c r="AE231" i="1"/>
  <c r="AC231" i="1"/>
  <c r="AA231" i="1"/>
  <c r="Y231" i="1"/>
  <c r="W231" i="1"/>
  <c r="U231" i="1"/>
  <c r="S231" i="1"/>
  <c r="Q231" i="1"/>
  <c r="O231" i="1"/>
  <c r="M231" i="1"/>
  <c r="K231" i="1"/>
  <c r="I231" i="1"/>
  <c r="G231" i="1"/>
  <c r="AM230" i="1"/>
  <c r="AK230" i="1"/>
  <c r="AI230" i="1"/>
  <c r="AG230" i="1"/>
  <c r="AE230" i="1"/>
  <c r="AC230" i="1"/>
  <c r="AA230" i="1"/>
  <c r="Y230" i="1"/>
  <c r="W230" i="1"/>
  <c r="U230" i="1"/>
  <c r="S230" i="1"/>
  <c r="Q230" i="1"/>
  <c r="O230" i="1"/>
  <c r="M230" i="1"/>
  <c r="K230" i="1"/>
  <c r="I230" i="1"/>
  <c r="G230" i="1"/>
  <c r="AM229" i="1"/>
  <c r="AK229" i="1"/>
  <c r="AI229" i="1"/>
  <c r="AG229" i="1"/>
  <c r="AE229" i="1"/>
  <c r="AC229" i="1"/>
  <c r="AA229" i="1"/>
  <c r="Y229" i="1"/>
  <c r="W229" i="1"/>
  <c r="U229" i="1"/>
  <c r="S229" i="1"/>
  <c r="Q229" i="1"/>
  <c r="O229" i="1"/>
  <c r="M229" i="1"/>
  <c r="K229" i="1"/>
  <c r="I229" i="1"/>
  <c r="G229" i="1"/>
  <c r="AM228" i="1"/>
  <c r="AK228" i="1"/>
  <c r="AI228" i="1"/>
  <c r="AG228" i="1"/>
  <c r="AE228" i="1"/>
  <c r="AC228" i="1"/>
  <c r="AA228" i="1"/>
  <c r="Y228" i="1"/>
  <c r="W228" i="1"/>
  <c r="U228" i="1"/>
  <c r="S228" i="1"/>
  <c r="Q228" i="1"/>
  <c r="O228" i="1"/>
  <c r="M228" i="1"/>
  <c r="K228" i="1"/>
  <c r="I228" i="1"/>
  <c r="G228" i="1"/>
  <c r="AM227" i="1"/>
  <c r="AK227" i="1"/>
  <c r="AI227" i="1"/>
  <c r="AG227" i="1"/>
  <c r="AE227" i="1"/>
  <c r="AC227" i="1"/>
  <c r="AA227" i="1"/>
  <c r="Y227" i="1"/>
  <c r="W227" i="1"/>
  <c r="U227" i="1"/>
  <c r="S227" i="1"/>
  <c r="Q227" i="1"/>
  <c r="O227" i="1"/>
  <c r="M227" i="1"/>
  <c r="K227" i="1"/>
  <c r="I227" i="1"/>
  <c r="G227" i="1"/>
  <c r="AM226" i="1"/>
  <c r="AK226" i="1"/>
  <c r="AI226" i="1"/>
  <c r="AG226" i="1"/>
  <c r="AE226" i="1"/>
  <c r="AC226" i="1"/>
  <c r="AA226" i="1"/>
  <c r="Y226" i="1"/>
  <c r="W226" i="1"/>
  <c r="U226" i="1"/>
  <c r="S226" i="1"/>
  <c r="Q226" i="1"/>
  <c r="O226" i="1"/>
  <c r="M226" i="1"/>
  <c r="K226" i="1"/>
  <c r="I226" i="1"/>
  <c r="G226" i="1"/>
  <c r="AM225" i="1"/>
  <c r="AK225" i="1"/>
  <c r="AI225" i="1"/>
  <c r="AG225" i="1"/>
  <c r="AE225" i="1"/>
  <c r="AC225" i="1"/>
  <c r="AA225" i="1"/>
  <c r="Y225" i="1"/>
  <c r="W225" i="1"/>
  <c r="U225" i="1"/>
  <c r="S225" i="1"/>
  <c r="Q225" i="1"/>
  <c r="O225" i="1"/>
  <c r="M225" i="1"/>
  <c r="K225" i="1"/>
  <c r="I225" i="1"/>
  <c r="G225" i="1"/>
  <c r="AM224" i="1"/>
  <c r="AK224" i="1"/>
  <c r="AI224" i="1"/>
  <c r="AG224" i="1"/>
  <c r="AE224" i="1"/>
  <c r="AC224" i="1"/>
  <c r="AA224" i="1"/>
  <c r="Y224" i="1"/>
  <c r="W224" i="1"/>
  <c r="U224" i="1"/>
  <c r="S224" i="1"/>
  <c r="Q224" i="1"/>
  <c r="O224" i="1"/>
  <c r="M224" i="1"/>
  <c r="K224" i="1"/>
  <c r="I224" i="1"/>
  <c r="G224" i="1"/>
  <c r="AM223" i="1"/>
  <c r="AK223" i="1"/>
  <c r="AI223" i="1"/>
  <c r="AG223" i="1"/>
  <c r="AE223" i="1"/>
  <c r="AC223" i="1"/>
  <c r="AA223" i="1"/>
  <c r="Y223" i="1"/>
  <c r="W223" i="1"/>
  <c r="U223" i="1"/>
  <c r="S223" i="1"/>
  <c r="Q223" i="1"/>
  <c r="O223" i="1"/>
  <c r="M223" i="1"/>
  <c r="K223" i="1"/>
  <c r="I223" i="1"/>
  <c r="G223" i="1"/>
  <c r="AM222" i="1"/>
  <c r="AK222" i="1"/>
  <c r="AI222" i="1"/>
  <c r="AG222" i="1"/>
  <c r="AE222" i="1"/>
  <c r="AC222" i="1"/>
  <c r="AA222" i="1"/>
  <c r="Y222" i="1"/>
  <c r="W222" i="1"/>
  <c r="U222" i="1"/>
  <c r="S222" i="1"/>
  <c r="Q222" i="1"/>
  <c r="O222" i="1"/>
  <c r="M222" i="1"/>
  <c r="K222" i="1"/>
  <c r="I222" i="1"/>
  <c r="G222" i="1"/>
  <c r="AM221" i="1"/>
  <c r="AK221" i="1"/>
  <c r="AI221" i="1"/>
  <c r="AG221" i="1"/>
  <c r="AE221" i="1"/>
  <c r="AC221" i="1"/>
  <c r="AA221" i="1"/>
  <c r="Y221" i="1"/>
  <c r="W221" i="1"/>
  <c r="U221" i="1"/>
  <c r="S221" i="1"/>
  <c r="Q221" i="1"/>
  <c r="O221" i="1"/>
  <c r="M221" i="1"/>
  <c r="K221" i="1"/>
  <c r="I221" i="1"/>
  <c r="G221" i="1"/>
  <c r="AM220" i="1"/>
  <c r="AK220" i="1"/>
  <c r="AI220" i="1"/>
  <c r="AG220" i="1"/>
  <c r="AE220" i="1"/>
  <c r="AC220" i="1"/>
  <c r="AA220" i="1"/>
  <c r="Y220" i="1"/>
  <c r="W220" i="1"/>
  <c r="U220" i="1"/>
  <c r="S220" i="1"/>
  <c r="Q220" i="1"/>
  <c r="O220" i="1"/>
  <c r="M220" i="1"/>
  <c r="K220" i="1"/>
  <c r="I220" i="1"/>
  <c r="G220" i="1"/>
  <c r="AM219" i="1"/>
  <c r="AK219" i="1"/>
  <c r="AI219" i="1"/>
  <c r="AG219" i="1"/>
  <c r="AE219" i="1"/>
  <c r="AC219" i="1"/>
  <c r="AA219" i="1"/>
  <c r="Y219" i="1"/>
  <c r="W219" i="1"/>
  <c r="U219" i="1"/>
  <c r="S219" i="1"/>
  <c r="Q219" i="1"/>
  <c r="O219" i="1"/>
  <c r="M219" i="1"/>
  <c r="K219" i="1"/>
  <c r="I219" i="1"/>
  <c r="G219" i="1"/>
  <c r="AM218" i="1"/>
  <c r="AK218" i="1"/>
  <c r="AI218" i="1"/>
  <c r="AG218" i="1"/>
  <c r="AE218" i="1"/>
  <c r="AC218" i="1"/>
  <c r="AA218" i="1"/>
  <c r="Y218" i="1"/>
  <c r="W218" i="1"/>
  <c r="U218" i="1"/>
  <c r="S218" i="1"/>
  <c r="Q218" i="1"/>
  <c r="O218" i="1"/>
  <c r="M218" i="1"/>
  <c r="K218" i="1"/>
  <c r="I218" i="1"/>
  <c r="G218" i="1"/>
  <c r="AM217" i="1"/>
  <c r="AK217" i="1"/>
  <c r="AI217" i="1"/>
  <c r="AG217" i="1"/>
  <c r="AE217" i="1"/>
  <c r="AC217" i="1"/>
  <c r="AA217" i="1"/>
  <c r="Y217" i="1"/>
  <c r="W217" i="1"/>
  <c r="U217" i="1"/>
  <c r="S217" i="1"/>
  <c r="Q217" i="1"/>
  <c r="O217" i="1"/>
  <c r="M217" i="1"/>
  <c r="K217" i="1"/>
  <c r="I217" i="1"/>
  <c r="G217" i="1"/>
  <c r="AM216" i="1"/>
  <c r="AK216" i="1"/>
  <c r="AI216" i="1"/>
  <c r="AG216" i="1"/>
  <c r="AE216" i="1"/>
  <c r="AC216" i="1"/>
  <c r="AA216" i="1"/>
  <c r="Y216" i="1"/>
  <c r="W216" i="1"/>
  <c r="U216" i="1"/>
  <c r="S216" i="1"/>
  <c r="Q216" i="1"/>
  <c r="O216" i="1"/>
  <c r="M216" i="1"/>
  <c r="K216" i="1"/>
  <c r="I216" i="1"/>
  <c r="G216" i="1"/>
  <c r="AM215" i="1"/>
  <c r="AK215" i="1"/>
  <c r="AI215" i="1"/>
  <c r="AG215" i="1"/>
  <c r="AE215" i="1"/>
  <c r="AC215" i="1"/>
  <c r="AA215" i="1"/>
  <c r="Y215" i="1"/>
  <c r="W215" i="1"/>
  <c r="U215" i="1"/>
  <c r="S215" i="1"/>
  <c r="Q215" i="1"/>
  <c r="O215" i="1"/>
  <c r="M215" i="1"/>
  <c r="K215" i="1"/>
  <c r="I215" i="1"/>
  <c r="G215" i="1"/>
  <c r="AM214" i="1"/>
  <c r="AK214" i="1"/>
  <c r="AI214" i="1"/>
  <c r="AG214" i="1"/>
  <c r="AE214" i="1"/>
  <c r="AC214" i="1"/>
  <c r="AA214" i="1"/>
  <c r="Y214" i="1"/>
  <c r="W214" i="1"/>
  <c r="U214" i="1"/>
  <c r="S214" i="1"/>
  <c r="Q214" i="1"/>
  <c r="O214" i="1"/>
  <c r="M214" i="1"/>
  <c r="K214" i="1"/>
  <c r="I214" i="1"/>
  <c r="G214" i="1"/>
  <c r="AM213" i="1"/>
  <c r="AK213" i="1"/>
  <c r="AI213" i="1"/>
  <c r="AG213" i="1"/>
  <c r="AE213" i="1"/>
  <c r="AC213" i="1"/>
  <c r="AA213" i="1"/>
  <c r="Y213" i="1"/>
  <c r="W213" i="1"/>
  <c r="U213" i="1"/>
  <c r="S213" i="1"/>
  <c r="Q213" i="1"/>
  <c r="O213" i="1"/>
  <c r="M213" i="1"/>
  <c r="K213" i="1"/>
  <c r="I213" i="1"/>
  <c r="G213" i="1"/>
  <c r="AM212" i="1"/>
  <c r="AK212" i="1"/>
  <c r="AI212" i="1"/>
  <c r="AG212" i="1"/>
  <c r="AE212" i="1"/>
  <c r="AC212" i="1"/>
  <c r="AA212" i="1"/>
  <c r="Y212" i="1"/>
  <c r="W212" i="1"/>
  <c r="U212" i="1"/>
  <c r="S212" i="1"/>
  <c r="Q212" i="1"/>
  <c r="O212" i="1"/>
  <c r="M212" i="1"/>
  <c r="K212" i="1"/>
  <c r="I212" i="1"/>
  <c r="G212" i="1"/>
  <c r="AM211" i="1"/>
  <c r="AK211" i="1"/>
  <c r="AI211" i="1"/>
  <c r="AG211" i="1"/>
  <c r="AE211" i="1"/>
  <c r="AC211" i="1"/>
  <c r="AA211" i="1"/>
  <c r="Y211" i="1"/>
  <c r="W211" i="1"/>
  <c r="U211" i="1"/>
  <c r="S211" i="1"/>
  <c r="Q211" i="1"/>
  <c r="O211" i="1"/>
  <c r="M211" i="1"/>
  <c r="K211" i="1"/>
  <c r="I211" i="1"/>
  <c r="G211" i="1"/>
  <c r="AM210" i="1"/>
  <c r="AK210" i="1"/>
  <c r="AI210" i="1"/>
  <c r="AG210" i="1"/>
  <c r="AE210" i="1"/>
  <c r="AC210" i="1"/>
  <c r="AA210" i="1"/>
  <c r="Y210" i="1"/>
  <c r="W210" i="1"/>
  <c r="U210" i="1"/>
  <c r="S210" i="1"/>
  <c r="Q210" i="1"/>
  <c r="O210" i="1"/>
  <c r="M210" i="1"/>
  <c r="K210" i="1"/>
  <c r="I210" i="1"/>
  <c r="G210" i="1"/>
  <c r="AM209" i="1"/>
  <c r="AK209" i="1"/>
  <c r="AI209" i="1"/>
  <c r="AG209" i="1"/>
  <c r="AE209" i="1"/>
  <c r="AC209" i="1"/>
  <c r="AA209" i="1"/>
  <c r="Y209" i="1"/>
  <c r="W209" i="1"/>
  <c r="U209" i="1"/>
  <c r="S209" i="1"/>
  <c r="Q209" i="1"/>
  <c r="O209" i="1"/>
  <c r="M209" i="1"/>
  <c r="K209" i="1"/>
  <c r="I209" i="1"/>
  <c r="G209" i="1"/>
  <c r="AM208" i="1"/>
  <c r="AK208" i="1"/>
  <c r="AI208" i="1"/>
  <c r="AG208" i="1"/>
  <c r="AE208" i="1"/>
  <c r="AC208" i="1"/>
  <c r="AA208" i="1"/>
  <c r="Y208" i="1"/>
  <c r="W208" i="1"/>
  <c r="U208" i="1"/>
  <c r="S208" i="1"/>
  <c r="Q208" i="1"/>
  <c r="O208" i="1"/>
  <c r="M208" i="1"/>
  <c r="K208" i="1"/>
  <c r="I208" i="1"/>
  <c r="G208" i="1"/>
  <c r="AM207" i="1"/>
  <c r="AK207" i="1"/>
  <c r="AI207" i="1"/>
  <c r="AG207" i="1"/>
  <c r="AE207" i="1"/>
  <c r="AC207" i="1"/>
  <c r="AA207" i="1"/>
  <c r="Y207" i="1"/>
  <c r="W207" i="1"/>
  <c r="U207" i="1"/>
  <c r="S207" i="1"/>
  <c r="Q207" i="1"/>
  <c r="O207" i="1"/>
  <c r="M207" i="1"/>
  <c r="K207" i="1"/>
  <c r="I207" i="1"/>
  <c r="G207" i="1"/>
  <c r="AM206" i="1"/>
  <c r="AK206" i="1"/>
  <c r="AI206" i="1"/>
  <c r="AG206" i="1"/>
  <c r="AE206" i="1"/>
  <c r="AC206" i="1"/>
  <c r="AA206" i="1"/>
  <c r="Y206" i="1"/>
  <c r="W206" i="1"/>
  <c r="U206" i="1"/>
  <c r="S206" i="1"/>
  <c r="Q206" i="1"/>
  <c r="O206" i="1"/>
  <c r="M206" i="1"/>
  <c r="K206" i="1"/>
  <c r="I206" i="1"/>
  <c r="G206" i="1"/>
  <c r="AM205" i="1"/>
  <c r="AK205" i="1"/>
  <c r="AI205" i="1"/>
  <c r="AG205" i="1"/>
  <c r="AE205" i="1"/>
  <c r="AC205" i="1"/>
  <c r="AA205" i="1"/>
  <c r="Y205" i="1"/>
  <c r="W205" i="1"/>
  <c r="U205" i="1"/>
  <c r="S205" i="1"/>
  <c r="Q205" i="1"/>
  <c r="O205" i="1"/>
  <c r="M205" i="1"/>
  <c r="K205" i="1"/>
  <c r="I205" i="1"/>
  <c r="G205" i="1"/>
  <c r="AM204" i="1"/>
  <c r="AK204" i="1"/>
  <c r="AI204" i="1"/>
  <c r="AG204" i="1"/>
  <c r="AE204" i="1"/>
  <c r="AC204" i="1"/>
  <c r="AA204" i="1"/>
  <c r="Y204" i="1"/>
  <c r="W204" i="1"/>
  <c r="U204" i="1"/>
  <c r="S204" i="1"/>
  <c r="Q204" i="1"/>
  <c r="O204" i="1"/>
  <c r="M204" i="1"/>
  <c r="K204" i="1"/>
  <c r="I204" i="1"/>
  <c r="G204" i="1"/>
  <c r="AM203" i="1"/>
  <c r="AK203" i="1"/>
  <c r="AI203" i="1"/>
  <c r="AG203" i="1"/>
  <c r="AE203" i="1"/>
  <c r="AC203" i="1"/>
  <c r="AA203" i="1"/>
  <c r="Y203" i="1"/>
  <c r="W203" i="1"/>
  <c r="U203" i="1"/>
  <c r="S203" i="1"/>
  <c r="Q203" i="1"/>
  <c r="O203" i="1"/>
  <c r="M203" i="1"/>
  <c r="K203" i="1"/>
  <c r="I203" i="1"/>
  <c r="G203" i="1"/>
  <c r="AM202" i="1"/>
  <c r="AK202" i="1"/>
  <c r="AI202" i="1"/>
  <c r="AG202" i="1"/>
  <c r="AE202" i="1"/>
  <c r="AC202" i="1"/>
  <c r="AA202" i="1"/>
  <c r="Y202" i="1"/>
  <c r="W202" i="1"/>
  <c r="U202" i="1"/>
  <c r="S202" i="1"/>
  <c r="Q202" i="1"/>
  <c r="O202" i="1"/>
  <c r="M202" i="1"/>
  <c r="K202" i="1"/>
  <c r="I202" i="1"/>
  <c r="G202" i="1"/>
  <c r="AM201" i="1"/>
  <c r="AK201" i="1"/>
  <c r="AI201" i="1"/>
  <c r="AG201" i="1"/>
  <c r="AE201" i="1"/>
  <c r="AC201" i="1"/>
  <c r="AA201" i="1"/>
  <c r="Y201" i="1"/>
  <c r="W201" i="1"/>
  <c r="U201" i="1"/>
  <c r="S201" i="1"/>
  <c r="Q201" i="1"/>
  <c r="O201" i="1"/>
  <c r="M201" i="1"/>
  <c r="K201" i="1"/>
  <c r="I201" i="1"/>
  <c r="AM200" i="1"/>
  <c r="AK200" i="1"/>
  <c r="AI200" i="1"/>
  <c r="AG200" i="1"/>
  <c r="AE200" i="1"/>
  <c r="AC200" i="1"/>
  <c r="AA200" i="1"/>
  <c r="Y200" i="1"/>
  <c r="W200" i="1"/>
  <c r="U200" i="1"/>
  <c r="S200" i="1"/>
  <c r="Q200" i="1"/>
  <c r="O200" i="1"/>
  <c r="M200" i="1"/>
  <c r="K200" i="1"/>
  <c r="I200" i="1"/>
  <c r="G200" i="1"/>
  <c r="AM199" i="1"/>
  <c r="AK199" i="1"/>
  <c r="AI199" i="1"/>
  <c r="AG199" i="1"/>
  <c r="AE199" i="1"/>
  <c r="AC199" i="1"/>
  <c r="AA199" i="1"/>
  <c r="Y199" i="1"/>
  <c r="W199" i="1"/>
  <c r="U199" i="1"/>
  <c r="S199" i="1"/>
  <c r="Q199" i="1"/>
  <c r="O199" i="1"/>
  <c r="M199" i="1"/>
  <c r="K199" i="1"/>
  <c r="I199" i="1"/>
  <c r="G199" i="1"/>
  <c r="AM198" i="1"/>
  <c r="AK198" i="1"/>
  <c r="AI198" i="1"/>
  <c r="AG198" i="1"/>
  <c r="AE198" i="1"/>
  <c r="AC198" i="1"/>
  <c r="AA198" i="1"/>
  <c r="Y198" i="1"/>
  <c r="W198" i="1"/>
  <c r="U198" i="1"/>
  <c r="S198" i="1"/>
  <c r="Q198" i="1"/>
  <c r="O198" i="1"/>
  <c r="M198" i="1"/>
  <c r="K198" i="1"/>
  <c r="I198" i="1"/>
  <c r="G198" i="1"/>
  <c r="AM197" i="1"/>
  <c r="AK197" i="1"/>
  <c r="AI197" i="1"/>
  <c r="AG197" i="1"/>
  <c r="AE197" i="1"/>
  <c r="AC197" i="1"/>
  <c r="AA197" i="1"/>
  <c r="Y197" i="1"/>
  <c r="W197" i="1"/>
  <c r="U197" i="1"/>
  <c r="S197" i="1"/>
  <c r="Q197" i="1"/>
  <c r="O197" i="1"/>
  <c r="M197" i="1"/>
  <c r="K197" i="1"/>
  <c r="I197" i="1"/>
  <c r="G197" i="1"/>
  <c r="AM196" i="1"/>
  <c r="AK196" i="1"/>
  <c r="AI196" i="1"/>
  <c r="AG196" i="1"/>
  <c r="AE196" i="1"/>
  <c r="AC196" i="1"/>
  <c r="AA196" i="1"/>
  <c r="Y196" i="1"/>
  <c r="W196" i="1"/>
  <c r="U196" i="1"/>
  <c r="S196" i="1"/>
  <c r="Q196" i="1"/>
  <c r="O196" i="1"/>
  <c r="M196" i="1"/>
  <c r="K196" i="1"/>
  <c r="I196" i="1"/>
  <c r="G196" i="1"/>
  <c r="AM195" i="1"/>
  <c r="AK195" i="1"/>
  <c r="AI195" i="1"/>
  <c r="AG195" i="1"/>
  <c r="AE195" i="1"/>
  <c r="AC195" i="1"/>
  <c r="AA195" i="1"/>
  <c r="Y195" i="1"/>
  <c r="W195" i="1"/>
  <c r="U195" i="1"/>
  <c r="S195" i="1"/>
  <c r="Q195" i="1"/>
  <c r="O195" i="1"/>
  <c r="M195" i="1"/>
  <c r="K195" i="1"/>
  <c r="I195" i="1"/>
  <c r="G195" i="1"/>
  <c r="AM194" i="1"/>
  <c r="AK194" i="1"/>
  <c r="AI194" i="1"/>
  <c r="AG194" i="1"/>
  <c r="AE194" i="1"/>
  <c r="AC194" i="1"/>
  <c r="AA194" i="1"/>
  <c r="Y194" i="1"/>
  <c r="W194" i="1"/>
  <c r="U194" i="1"/>
  <c r="S194" i="1"/>
  <c r="Q194" i="1"/>
  <c r="O194" i="1"/>
  <c r="M194" i="1"/>
  <c r="K194" i="1"/>
  <c r="I194" i="1"/>
  <c r="G194" i="1"/>
  <c r="AM193" i="1"/>
  <c r="AK193" i="1"/>
  <c r="AI193" i="1"/>
  <c r="AG193" i="1"/>
  <c r="AE193" i="1"/>
  <c r="AC193" i="1"/>
  <c r="AA193" i="1"/>
  <c r="Y193" i="1"/>
  <c r="W193" i="1"/>
  <c r="U193" i="1"/>
  <c r="S193" i="1"/>
  <c r="Q193" i="1"/>
  <c r="O193" i="1"/>
  <c r="M193" i="1"/>
  <c r="K193" i="1"/>
  <c r="I193" i="1"/>
  <c r="G193" i="1"/>
  <c r="AM192" i="1"/>
  <c r="AK192" i="1"/>
  <c r="AI192" i="1"/>
  <c r="AG192" i="1"/>
  <c r="AE192" i="1"/>
  <c r="AC192" i="1"/>
  <c r="AA192" i="1"/>
  <c r="Y192" i="1"/>
  <c r="W192" i="1"/>
  <c r="U192" i="1"/>
  <c r="S192" i="1"/>
  <c r="Q192" i="1"/>
  <c r="O192" i="1"/>
  <c r="M192" i="1"/>
  <c r="K192" i="1"/>
  <c r="I192" i="1"/>
  <c r="G192" i="1"/>
  <c r="AM191" i="1"/>
  <c r="AK191" i="1"/>
  <c r="AI191" i="1"/>
  <c r="AG191" i="1"/>
  <c r="AE191" i="1"/>
  <c r="AC191" i="1"/>
  <c r="AA191" i="1"/>
  <c r="Y191" i="1"/>
  <c r="W191" i="1"/>
  <c r="U191" i="1"/>
  <c r="S191" i="1"/>
  <c r="Q191" i="1"/>
  <c r="O191" i="1"/>
  <c r="M191" i="1"/>
  <c r="K191" i="1"/>
  <c r="I191" i="1"/>
  <c r="G191" i="1"/>
  <c r="AM190" i="1"/>
  <c r="AK190" i="1"/>
  <c r="AI190" i="1"/>
  <c r="AG190" i="1"/>
  <c r="AE190" i="1"/>
  <c r="AC190" i="1"/>
  <c r="AA190" i="1"/>
  <c r="Y190" i="1"/>
  <c r="W190" i="1"/>
  <c r="U190" i="1"/>
  <c r="S190" i="1"/>
  <c r="Q190" i="1"/>
  <c r="O190" i="1"/>
  <c r="M190" i="1"/>
  <c r="K190" i="1"/>
  <c r="I190" i="1"/>
  <c r="G190" i="1"/>
  <c r="AM189" i="1"/>
  <c r="AK189" i="1"/>
  <c r="AI189" i="1"/>
  <c r="AG189" i="1"/>
  <c r="AE189" i="1"/>
  <c r="AC189" i="1"/>
  <c r="AA189" i="1"/>
  <c r="Y189" i="1"/>
  <c r="W189" i="1"/>
  <c r="U189" i="1"/>
  <c r="S189" i="1"/>
  <c r="Q189" i="1"/>
  <c r="O189" i="1"/>
  <c r="M189" i="1"/>
  <c r="K189" i="1"/>
  <c r="I189" i="1"/>
  <c r="G189" i="1"/>
  <c r="AM188" i="1"/>
  <c r="AK188" i="1"/>
  <c r="AI188" i="1"/>
  <c r="AG188" i="1"/>
  <c r="AE188" i="1"/>
  <c r="AC188" i="1"/>
  <c r="AA188" i="1"/>
  <c r="Y188" i="1"/>
  <c r="W188" i="1"/>
  <c r="U188" i="1"/>
  <c r="S188" i="1"/>
  <c r="Q188" i="1"/>
  <c r="O188" i="1"/>
  <c r="M188" i="1"/>
  <c r="K188" i="1"/>
  <c r="I188" i="1"/>
  <c r="G188" i="1"/>
  <c r="AM187" i="1"/>
  <c r="AK187" i="1"/>
  <c r="AI187" i="1"/>
  <c r="AG187" i="1"/>
  <c r="AE187" i="1"/>
  <c r="AC187" i="1"/>
  <c r="AA187" i="1"/>
  <c r="Y187" i="1"/>
  <c r="W187" i="1"/>
  <c r="U187" i="1"/>
  <c r="S187" i="1"/>
  <c r="Q187" i="1"/>
  <c r="O187" i="1"/>
  <c r="M187" i="1"/>
  <c r="K187" i="1"/>
  <c r="I187" i="1"/>
  <c r="G187" i="1"/>
  <c r="AM186" i="1"/>
  <c r="AK186" i="1"/>
  <c r="AI186" i="1"/>
  <c r="AG186" i="1"/>
  <c r="AE186" i="1"/>
  <c r="AC186" i="1"/>
  <c r="AA186" i="1"/>
  <c r="Y186" i="1"/>
  <c r="W186" i="1"/>
  <c r="U186" i="1"/>
  <c r="S186" i="1"/>
  <c r="Q186" i="1"/>
  <c r="O186" i="1"/>
  <c r="M186" i="1"/>
  <c r="K186" i="1"/>
  <c r="I186" i="1"/>
  <c r="G186" i="1"/>
  <c r="AM185" i="1"/>
  <c r="AK185" i="1"/>
  <c r="AI185" i="1"/>
  <c r="AG185" i="1"/>
  <c r="AE185" i="1"/>
  <c r="AC185" i="1"/>
  <c r="AA185" i="1"/>
  <c r="Y185" i="1"/>
  <c r="W185" i="1"/>
  <c r="U185" i="1"/>
  <c r="S185" i="1"/>
  <c r="Q185" i="1"/>
  <c r="O185" i="1"/>
  <c r="M185" i="1"/>
  <c r="K185" i="1"/>
  <c r="I185" i="1"/>
  <c r="G185" i="1"/>
  <c r="AM184" i="1"/>
  <c r="AK184" i="1"/>
  <c r="AI184" i="1"/>
  <c r="AG184" i="1"/>
  <c r="AE184" i="1"/>
  <c r="AC184" i="1"/>
  <c r="AA184" i="1"/>
  <c r="Y184" i="1"/>
  <c r="W184" i="1"/>
  <c r="U184" i="1"/>
  <c r="S184" i="1"/>
  <c r="Q184" i="1"/>
  <c r="O184" i="1"/>
  <c r="M184" i="1"/>
  <c r="K184" i="1"/>
  <c r="I184" i="1"/>
  <c r="G184" i="1"/>
  <c r="AM183" i="1"/>
  <c r="AK183" i="1"/>
  <c r="AI183" i="1"/>
  <c r="AG183" i="1"/>
  <c r="AE183" i="1"/>
  <c r="AC183" i="1"/>
  <c r="AA183" i="1"/>
  <c r="Y183" i="1"/>
  <c r="W183" i="1"/>
  <c r="U183" i="1"/>
  <c r="S183" i="1"/>
  <c r="Q183" i="1"/>
  <c r="O183" i="1"/>
  <c r="M183" i="1"/>
  <c r="K183" i="1"/>
  <c r="I183" i="1"/>
  <c r="G183" i="1"/>
  <c r="AM182" i="1"/>
  <c r="AK182" i="1"/>
  <c r="AI182" i="1"/>
  <c r="AG182" i="1"/>
  <c r="AE182" i="1"/>
  <c r="AC182" i="1"/>
  <c r="AA182" i="1"/>
  <c r="Y182" i="1"/>
  <c r="W182" i="1"/>
  <c r="U182" i="1"/>
  <c r="S182" i="1"/>
  <c r="Q182" i="1"/>
  <c r="O182" i="1"/>
  <c r="M182" i="1"/>
  <c r="K182" i="1"/>
  <c r="I182" i="1"/>
  <c r="G182" i="1"/>
  <c r="AM181" i="1"/>
  <c r="AK181" i="1"/>
  <c r="AI181" i="1"/>
  <c r="AG181" i="1"/>
  <c r="AE181" i="1"/>
  <c r="AC181" i="1"/>
  <c r="AA181" i="1"/>
  <c r="Y181" i="1"/>
  <c r="W181" i="1"/>
  <c r="U181" i="1"/>
  <c r="S181" i="1"/>
  <c r="Q181" i="1"/>
  <c r="O181" i="1"/>
  <c r="M181" i="1"/>
  <c r="K181" i="1"/>
  <c r="I181" i="1"/>
  <c r="G181" i="1"/>
  <c r="AM180" i="1"/>
  <c r="AK180" i="1"/>
  <c r="AI180" i="1"/>
  <c r="AG180" i="1"/>
  <c r="AE180" i="1"/>
  <c r="AC180" i="1"/>
  <c r="AA180" i="1"/>
  <c r="Y180" i="1"/>
  <c r="W180" i="1"/>
  <c r="U180" i="1"/>
  <c r="S180" i="1"/>
  <c r="Q180" i="1"/>
  <c r="O180" i="1"/>
  <c r="M180" i="1"/>
  <c r="K180" i="1"/>
  <c r="I180" i="1"/>
  <c r="G180" i="1"/>
  <c r="AM179" i="1"/>
  <c r="AK179" i="1"/>
  <c r="AI179" i="1"/>
  <c r="AG179" i="1"/>
  <c r="AE179" i="1"/>
  <c r="AC179" i="1"/>
  <c r="AA179" i="1"/>
  <c r="Y179" i="1"/>
  <c r="W179" i="1"/>
  <c r="U179" i="1"/>
  <c r="S179" i="1"/>
  <c r="Q179" i="1"/>
  <c r="O179" i="1"/>
  <c r="M179" i="1"/>
  <c r="K179" i="1"/>
  <c r="I179" i="1"/>
  <c r="G179" i="1"/>
  <c r="AM178" i="1"/>
  <c r="AK178" i="1"/>
  <c r="AI178" i="1"/>
  <c r="AG178" i="1"/>
  <c r="AE178" i="1"/>
  <c r="AC178" i="1"/>
  <c r="AA178" i="1"/>
  <c r="Y178" i="1"/>
  <c r="W178" i="1"/>
  <c r="U178" i="1"/>
  <c r="S178" i="1"/>
  <c r="Q178" i="1"/>
  <c r="O178" i="1"/>
  <c r="M178" i="1"/>
  <c r="K178" i="1"/>
  <c r="I178" i="1"/>
  <c r="G178" i="1"/>
  <c r="AM177" i="1"/>
  <c r="AK177" i="1"/>
  <c r="AI177" i="1"/>
  <c r="AG177" i="1"/>
  <c r="AE177" i="1"/>
  <c r="AC177" i="1"/>
  <c r="AA177" i="1"/>
  <c r="Y177" i="1"/>
  <c r="W177" i="1"/>
  <c r="U177" i="1"/>
  <c r="S177" i="1"/>
  <c r="Q177" i="1"/>
  <c r="O177" i="1"/>
  <c r="M177" i="1"/>
  <c r="K177" i="1"/>
  <c r="I177" i="1"/>
  <c r="G177" i="1"/>
  <c r="AM176" i="1"/>
  <c r="AK176" i="1"/>
  <c r="AI176" i="1"/>
  <c r="AG176" i="1"/>
  <c r="AE176" i="1"/>
  <c r="AC176" i="1"/>
  <c r="AA176" i="1"/>
  <c r="Y176" i="1"/>
  <c r="W176" i="1"/>
  <c r="U176" i="1"/>
  <c r="S176" i="1"/>
  <c r="Q176" i="1"/>
  <c r="O176" i="1"/>
  <c r="M176" i="1"/>
  <c r="K176" i="1"/>
  <c r="I176" i="1"/>
  <c r="G176" i="1"/>
  <c r="AM175" i="1"/>
  <c r="AK175" i="1"/>
  <c r="AI175" i="1"/>
  <c r="AG175" i="1"/>
  <c r="AE175" i="1"/>
  <c r="AC175" i="1"/>
  <c r="AA175" i="1"/>
  <c r="Y175" i="1"/>
  <c r="W175" i="1"/>
  <c r="U175" i="1"/>
  <c r="S175" i="1"/>
  <c r="Q175" i="1"/>
  <c r="O175" i="1"/>
  <c r="M175" i="1"/>
  <c r="K175" i="1"/>
  <c r="I175" i="1"/>
  <c r="G175" i="1"/>
  <c r="AM174" i="1"/>
  <c r="AK174" i="1"/>
  <c r="AI174" i="1"/>
  <c r="AG174" i="1"/>
  <c r="AE174" i="1"/>
  <c r="AC174" i="1"/>
  <c r="AA174" i="1"/>
  <c r="Y174" i="1"/>
  <c r="W174" i="1"/>
  <c r="U174" i="1"/>
  <c r="S174" i="1"/>
  <c r="Q174" i="1"/>
  <c r="O174" i="1"/>
  <c r="M174" i="1"/>
  <c r="K174" i="1"/>
  <c r="I174" i="1"/>
  <c r="G174" i="1"/>
  <c r="AM173" i="1"/>
  <c r="AK173" i="1"/>
  <c r="AI173" i="1"/>
  <c r="AG173" i="1"/>
  <c r="AE173" i="1"/>
  <c r="AC173" i="1"/>
  <c r="AA173" i="1"/>
  <c r="Y173" i="1"/>
  <c r="W173" i="1"/>
  <c r="U173" i="1"/>
  <c r="S173" i="1"/>
  <c r="Q173" i="1"/>
  <c r="O173" i="1"/>
  <c r="M173" i="1"/>
  <c r="K173" i="1"/>
  <c r="I173" i="1"/>
  <c r="G173" i="1"/>
  <c r="AM172" i="1"/>
  <c r="AK172" i="1"/>
  <c r="AI172" i="1"/>
  <c r="AG172" i="1"/>
  <c r="AE172" i="1"/>
  <c r="AC172" i="1"/>
  <c r="AA172" i="1"/>
  <c r="Y172" i="1"/>
  <c r="W172" i="1"/>
  <c r="U172" i="1"/>
  <c r="S172" i="1"/>
  <c r="Q172" i="1"/>
  <c r="O172" i="1"/>
  <c r="M172" i="1"/>
  <c r="K172" i="1"/>
  <c r="I172" i="1"/>
  <c r="G172" i="1"/>
  <c r="AM171" i="1"/>
  <c r="AK171" i="1"/>
  <c r="AI171" i="1"/>
  <c r="AG171" i="1"/>
  <c r="AE171" i="1"/>
  <c r="AC171" i="1"/>
  <c r="AA171" i="1"/>
  <c r="Y171" i="1"/>
  <c r="W171" i="1"/>
  <c r="U171" i="1"/>
  <c r="S171" i="1"/>
  <c r="Q171" i="1"/>
  <c r="O171" i="1"/>
  <c r="M171" i="1"/>
  <c r="K171" i="1"/>
  <c r="I171" i="1"/>
  <c r="G171" i="1"/>
  <c r="AM170" i="1"/>
  <c r="AK170" i="1"/>
  <c r="AI170" i="1"/>
  <c r="AG170" i="1"/>
  <c r="AE170" i="1"/>
  <c r="AC170" i="1"/>
  <c r="AA170" i="1"/>
  <c r="Y170" i="1"/>
  <c r="W170" i="1"/>
  <c r="U170" i="1"/>
  <c r="S170" i="1"/>
  <c r="Q170" i="1"/>
  <c r="O170" i="1"/>
  <c r="M170" i="1"/>
  <c r="K170" i="1"/>
  <c r="I170" i="1"/>
  <c r="G170" i="1"/>
  <c r="AM169" i="1"/>
  <c r="AK169" i="1"/>
  <c r="AI169" i="1"/>
  <c r="AG169" i="1"/>
  <c r="AE169" i="1"/>
  <c r="AC169" i="1"/>
  <c r="AA169" i="1"/>
  <c r="Y169" i="1"/>
  <c r="W169" i="1"/>
  <c r="U169" i="1"/>
  <c r="S169" i="1"/>
  <c r="Q169" i="1"/>
  <c r="O169" i="1"/>
  <c r="M169" i="1"/>
  <c r="K169" i="1"/>
  <c r="I169" i="1"/>
  <c r="G169" i="1"/>
  <c r="AM168" i="1"/>
  <c r="AK168" i="1"/>
  <c r="AI168" i="1"/>
  <c r="AG168" i="1"/>
  <c r="AE168" i="1"/>
  <c r="AC168" i="1"/>
  <c r="AA168" i="1"/>
  <c r="Y168" i="1"/>
  <c r="W168" i="1"/>
  <c r="U168" i="1"/>
  <c r="S168" i="1"/>
  <c r="Q168" i="1"/>
  <c r="O168" i="1"/>
  <c r="M168" i="1"/>
  <c r="K168" i="1"/>
  <c r="I168" i="1"/>
  <c r="G168" i="1"/>
  <c r="AM167" i="1"/>
  <c r="AK167" i="1"/>
  <c r="AI167" i="1"/>
  <c r="AG167" i="1"/>
  <c r="AE167" i="1"/>
  <c r="AC167" i="1"/>
  <c r="AA167" i="1"/>
  <c r="Y167" i="1"/>
  <c r="W167" i="1"/>
  <c r="U167" i="1"/>
  <c r="S167" i="1"/>
  <c r="Q167" i="1"/>
  <c r="O167" i="1"/>
  <c r="M167" i="1"/>
  <c r="K167" i="1"/>
  <c r="I167" i="1"/>
  <c r="G167" i="1"/>
  <c r="AM166" i="1"/>
  <c r="AK166" i="1"/>
  <c r="AI166" i="1"/>
  <c r="AG166" i="1"/>
  <c r="AE166" i="1"/>
  <c r="AC166" i="1"/>
  <c r="AA166" i="1"/>
  <c r="Y166" i="1"/>
  <c r="W166" i="1"/>
  <c r="U166" i="1"/>
  <c r="S166" i="1"/>
  <c r="Q166" i="1"/>
  <c r="O166" i="1"/>
  <c r="M166" i="1"/>
  <c r="K166" i="1"/>
  <c r="I166" i="1"/>
  <c r="G166" i="1"/>
  <c r="AM165" i="1"/>
  <c r="AK165" i="1"/>
  <c r="AI165" i="1"/>
  <c r="AG165" i="1"/>
  <c r="AE165" i="1"/>
  <c r="AC165" i="1"/>
  <c r="AA165" i="1"/>
  <c r="Y165" i="1"/>
  <c r="W165" i="1"/>
  <c r="U165" i="1"/>
  <c r="S165" i="1"/>
  <c r="Q165" i="1"/>
  <c r="O165" i="1"/>
  <c r="M165" i="1"/>
  <c r="K165" i="1"/>
  <c r="I165" i="1"/>
  <c r="G165" i="1"/>
  <c r="AM164" i="1"/>
  <c r="AK164" i="1"/>
  <c r="AI164" i="1"/>
  <c r="AG164" i="1"/>
  <c r="AE164" i="1"/>
  <c r="AC164" i="1"/>
  <c r="AA164" i="1"/>
  <c r="Y164" i="1"/>
  <c r="W164" i="1"/>
  <c r="U164" i="1"/>
  <c r="S164" i="1"/>
  <c r="Q164" i="1"/>
  <c r="O164" i="1"/>
  <c r="M164" i="1"/>
  <c r="K164" i="1"/>
  <c r="I164" i="1"/>
  <c r="G164" i="1"/>
  <c r="AM163" i="1"/>
  <c r="AK163" i="1"/>
  <c r="AI163" i="1"/>
  <c r="AG163" i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G163" i="1"/>
  <c r="AM162" i="1"/>
  <c r="AK162" i="1"/>
  <c r="AI162" i="1"/>
  <c r="AG162" i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G162" i="1"/>
  <c r="AM161" i="1"/>
  <c r="AK161" i="1"/>
  <c r="AI161" i="1"/>
  <c r="AG161" i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G161" i="1"/>
  <c r="AM160" i="1"/>
  <c r="AK160" i="1"/>
  <c r="AI160" i="1"/>
  <c r="AG160" i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G160" i="1"/>
  <c r="AM159" i="1"/>
  <c r="AK159" i="1"/>
  <c r="AI159" i="1"/>
  <c r="AG159" i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G159" i="1"/>
  <c r="AM158" i="1"/>
  <c r="AK158" i="1"/>
  <c r="AI158" i="1"/>
  <c r="AG158" i="1"/>
  <c r="AE158" i="1"/>
  <c r="AC158" i="1"/>
  <c r="AA158" i="1"/>
  <c r="Y158" i="1"/>
  <c r="W158" i="1"/>
  <c r="U158" i="1"/>
  <c r="S158" i="1"/>
  <c r="Q158" i="1"/>
  <c r="O158" i="1"/>
  <c r="M158" i="1"/>
  <c r="K158" i="1"/>
  <c r="I158" i="1"/>
  <c r="G158" i="1"/>
  <c r="AM157" i="1"/>
  <c r="AK157" i="1"/>
  <c r="AI157" i="1"/>
  <c r="AG157" i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G157" i="1"/>
  <c r="AM156" i="1"/>
  <c r="AK156" i="1"/>
  <c r="AI156" i="1"/>
  <c r="AG156" i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G156" i="1"/>
  <c r="AM155" i="1"/>
  <c r="AK155" i="1"/>
  <c r="AI155" i="1"/>
  <c r="AG155" i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G155" i="1"/>
  <c r="AM154" i="1"/>
  <c r="AK154" i="1"/>
  <c r="AI154" i="1"/>
  <c r="AG154" i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G154" i="1"/>
  <c r="AM153" i="1"/>
  <c r="AK153" i="1"/>
  <c r="AI153" i="1"/>
  <c r="AG153" i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G153" i="1"/>
  <c r="AM152" i="1"/>
  <c r="AK152" i="1"/>
  <c r="AI152" i="1"/>
  <c r="AG152" i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G152" i="1"/>
  <c r="AM151" i="1"/>
  <c r="AK151" i="1"/>
  <c r="AI151" i="1"/>
  <c r="AG151" i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G151" i="1"/>
  <c r="AM150" i="1"/>
  <c r="AK150" i="1"/>
  <c r="AI150" i="1"/>
  <c r="AG150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G150" i="1"/>
  <c r="AM149" i="1"/>
  <c r="AK149" i="1"/>
  <c r="AI149" i="1"/>
  <c r="AG149" i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G149" i="1"/>
  <c r="AM148" i="1"/>
  <c r="AK148" i="1"/>
  <c r="AI148" i="1"/>
  <c r="AG148" i="1"/>
  <c r="AE148" i="1"/>
  <c r="AC148" i="1"/>
  <c r="AA148" i="1"/>
  <c r="Y148" i="1"/>
  <c r="W148" i="1"/>
  <c r="U148" i="1"/>
  <c r="S148" i="1"/>
  <c r="Q148" i="1"/>
  <c r="O148" i="1"/>
  <c r="M148" i="1"/>
  <c r="K148" i="1"/>
  <c r="I148" i="1"/>
  <c r="G148" i="1"/>
  <c r="AM147" i="1"/>
  <c r="AK147" i="1"/>
  <c r="AI147" i="1"/>
  <c r="AG147" i="1"/>
  <c r="AE147" i="1"/>
  <c r="AC147" i="1"/>
  <c r="AA147" i="1"/>
  <c r="Y147" i="1"/>
  <c r="W147" i="1"/>
  <c r="U147" i="1"/>
  <c r="S147" i="1"/>
  <c r="Q147" i="1"/>
  <c r="O147" i="1"/>
  <c r="M147" i="1"/>
  <c r="K147" i="1"/>
  <c r="I147" i="1"/>
  <c r="G147" i="1"/>
  <c r="AM146" i="1"/>
  <c r="AK146" i="1"/>
  <c r="AI146" i="1"/>
  <c r="AG146" i="1"/>
  <c r="AE146" i="1"/>
  <c r="AC146" i="1"/>
  <c r="AA146" i="1"/>
  <c r="Y146" i="1"/>
  <c r="W146" i="1"/>
  <c r="U146" i="1"/>
  <c r="S146" i="1"/>
  <c r="Q146" i="1"/>
  <c r="O146" i="1"/>
  <c r="M146" i="1"/>
  <c r="K146" i="1"/>
  <c r="I146" i="1"/>
  <c r="G146" i="1"/>
  <c r="AM145" i="1"/>
  <c r="AK145" i="1"/>
  <c r="AI145" i="1"/>
  <c r="AG145" i="1"/>
  <c r="AE145" i="1"/>
  <c r="AC145" i="1"/>
  <c r="AA145" i="1"/>
  <c r="Y145" i="1"/>
  <c r="W145" i="1"/>
  <c r="U145" i="1"/>
  <c r="S145" i="1"/>
  <c r="Q145" i="1"/>
  <c r="O145" i="1"/>
  <c r="M145" i="1"/>
  <c r="K145" i="1"/>
  <c r="I145" i="1"/>
  <c r="G145" i="1"/>
  <c r="AM144" i="1"/>
  <c r="AK144" i="1"/>
  <c r="AI144" i="1"/>
  <c r="AG144" i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G144" i="1"/>
  <c r="AM143" i="1"/>
  <c r="AK143" i="1"/>
  <c r="AI143" i="1"/>
  <c r="AG143" i="1"/>
  <c r="AE143" i="1"/>
  <c r="AC143" i="1"/>
  <c r="AA143" i="1"/>
  <c r="Y143" i="1"/>
  <c r="W143" i="1"/>
  <c r="U143" i="1"/>
  <c r="S143" i="1"/>
  <c r="Q143" i="1"/>
  <c r="O143" i="1"/>
  <c r="M143" i="1"/>
  <c r="K143" i="1"/>
  <c r="I143" i="1"/>
  <c r="G143" i="1"/>
  <c r="AM142" i="1"/>
  <c r="AK142" i="1"/>
  <c r="AI142" i="1"/>
  <c r="AG142" i="1"/>
  <c r="AE142" i="1"/>
  <c r="AC142" i="1"/>
  <c r="AA142" i="1"/>
  <c r="Y142" i="1"/>
  <c r="W142" i="1"/>
  <c r="U142" i="1"/>
  <c r="S142" i="1"/>
  <c r="Q142" i="1"/>
  <c r="O142" i="1"/>
  <c r="M142" i="1"/>
  <c r="K142" i="1"/>
  <c r="I142" i="1"/>
  <c r="G142" i="1"/>
  <c r="AM141" i="1"/>
  <c r="AK141" i="1"/>
  <c r="AI141" i="1"/>
  <c r="AG141" i="1"/>
  <c r="AE141" i="1"/>
  <c r="AC141" i="1"/>
  <c r="AA141" i="1"/>
  <c r="Y141" i="1"/>
  <c r="W141" i="1"/>
  <c r="U141" i="1"/>
  <c r="S141" i="1"/>
  <c r="Q141" i="1"/>
  <c r="O141" i="1"/>
  <c r="M141" i="1"/>
  <c r="K141" i="1"/>
  <c r="I141" i="1"/>
  <c r="G141" i="1"/>
  <c r="AM140" i="1"/>
  <c r="AK140" i="1"/>
  <c r="AI140" i="1"/>
  <c r="AG140" i="1"/>
  <c r="AE140" i="1"/>
  <c r="AC140" i="1"/>
  <c r="AA140" i="1"/>
  <c r="Y140" i="1"/>
  <c r="W140" i="1"/>
  <c r="U140" i="1"/>
  <c r="S140" i="1"/>
  <c r="Q140" i="1"/>
  <c r="O140" i="1"/>
  <c r="M140" i="1"/>
  <c r="K140" i="1"/>
  <c r="I140" i="1"/>
  <c r="G140" i="1"/>
  <c r="AM139" i="1"/>
  <c r="AK139" i="1"/>
  <c r="AI139" i="1"/>
  <c r="AG139" i="1"/>
  <c r="AE139" i="1"/>
  <c r="AC139" i="1"/>
  <c r="AA139" i="1"/>
  <c r="Y139" i="1"/>
  <c r="W139" i="1"/>
  <c r="U139" i="1"/>
  <c r="S139" i="1"/>
  <c r="Q139" i="1"/>
  <c r="O139" i="1"/>
  <c r="M139" i="1"/>
  <c r="K139" i="1"/>
  <c r="I139" i="1"/>
  <c r="G139" i="1"/>
  <c r="AM138" i="1"/>
  <c r="AK138" i="1"/>
  <c r="AI138" i="1"/>
  <c r="AG138" i="1"/>
  <c r="AE138" i="1"/>
  <c r="AC138" i="1"/>
  <c r="AA138" i="1"/>
  <c r="Y138" i="1"/>
  <c r="W138" i="1"/>
  <c r="U138" i="1"/>
  <c r="S138" i="1"/>
  <c r="Q138" i="1"/>
  <c r="O138" i="1"/>
  <c r="M138" i="1"/>
  <c r="K138" i="1"/>
  <c r="I138" i="1"/>
  <c r="G138" i="1"/>
  <c r="AM137" i="1"/>
  <c r="AK137" i="1"/>
  <c r="AI137" i="1"/>
  <c r="AG137" i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G137" i="1"/>
  <c r="AM136" i="1"/>
  <c r="AK136" i="1"/>
  <c r="AI136" i="1"/>
  <c r="AG136" i="1"/>
  <c r="AE136" i="1"/>
  <c r="AC136" i="1"/>
  <c r="AA136" i="1"/>
  <c r="Y136" i="1"/>
  <c r="W136" i="1"/>
  <c r="U136" i="1"/>
  <c r="S136" i="1"/>
  <c r="Q136" i="1"/>
  <c r="O136" i="1"/>
  <c r="M136" i="1"/>
  <c r="K136" i="1"/>
  <c r="I136" i="1"/>
  <c r="G136" i="1"/>
  <c r="AM135" i="1"/>
  <c r="AK135" i="1"/>
  <c r="AI135" i="1"/>
  <c r="AG135" i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G135" i="1"/>
  <c r="AM134" i="1"/>
  <c r="AK134" i="1"/>
  <c r="AI134" i="1"/>
  <c r="AG134" i="1"/>
  <c r="AE134" i="1"/>
  <c r="AC134" i="1"/>
  <c r="AA134" i="1"/>
  <c r="Y134" i="1"/>
  <c r="W134" i="1"/>
  <c r="U134" i="1"/>
  <c r="S134" i="1"/>
  <c r="Q134" i="1"/>
  <c r="O134" i="1"/>
  <c r="M134" i="1"/>
  <c r="K134" i="1"/>
  <c r="I134" i="1"/>
  <c r="G134" i="1"/>
  <c r="AM133" i="1"/>
  <c r="AK133" i="1"/>
  <c r="AI133" i="1"/>
  <c r="AG133" i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G133" i="1"/>
  <c r="AM132" i="1"/>
  <c r="AK132" i="1"/>
  <c r="AI132" i="1"/>
  <c r="AG132" i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G132" i="1"/>
  <c r="AM131" i="1"/>
  <c r="AK131" i="1"/>
  <c r="AI131" i="1"/>
  <c r="AG131" i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G131" i="1"/>
  <c r="AM130" i="1"/>
  <c r="AK130" i="1"/>
  <c r="AI130" i="1"/>
  <c r="AG130" i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G130" i="1"/>
  <c r="AM129" i="1"/>
  <c r="AK129" i="1"/>
  <c r="AI129" i="1"/>
  <c r="AG129" i="1"/>
  <c r="AE129" i="1"/>
  <c r="AC129" i="1"/>
  <c r="AA129" i="1"/>
  <c r="Y129" i="1"/>
  <c r="W129" i="1"/>
  <c r="U129" i="1"/>
  <c r="S129" i="1"/>
  <c r="Q129" i="1"/>
  <c r="O129" i="1"/>
  <c r="M129" i="1"/>
  <c r="K129" i="1"/>
  <c r="I129" i="1"/>
  <c r="G129" i="1"/>
  <c r="AM128" i="1"/>
  <c r="AK128" i="1"/>
  <c r="AI128" i="1"/>
  <c r="AG128" i="1"/>
  <c r="AE128" i="1"/>
  <c r="AC128" i="1"/>
  <c r="AA128" i="1"/>
  <c r="Y128" i="1"/>
  <c r="W128" i="1"/>
  <c r="U128" i="1"/>
  <c r="S128" i="1"/>
  <c r="Q128" i="1"/>
  <c r="O128" i="1"/>
  <c r="M128" i="1"/>
  <c r="K128" i="1"/>
  <c r="I128" i="1"/>
  <c r="G128" i="1"/>
  <c r="AM127" i="1"/>
  <c r="AK127" i="1"/>
  <c r="AI127" i="1"/>
  <c r="AG127" i="1"/>
  <c r="AE127" i="1"/>
  <c r="AC127" i="1"/>
  <c r="AA127" i="1"/>
  <c r="Y127" i="1"/>
  <c r="W127" i="1"/>
  <c r="U127" i="1"/>
  <c r="S127" i="1"/>
  <c r="Q127" i="1"/>
  <c r="O127" i="1"/>
  <c r="M127" i="1"/>
  <c r="K127" i="1"/>
  <c r="I127" i="1"/>
  <c r="G127" i="1"/>
  <c r="AM126" i="1"/>
  <c r="AK126" i="1"/>
  <c r="AI126" i="1"/>
  <c r="AG126" i="1"/>
  <c r="AE126" i="1"/>
  <c r="AC126" i="1"/>
  <c r="AA126" i="1"/>
  <c r="Y126" i="1"/>
  <c r="W126" i="1"/>
  <c r="U126" i="1"/>
  <c r="S126" i="1"/>
  <c r="Q126" i="1"/>
  <c r="O126" i="1"/>
  <c r="M126" i="1"/>
  <c r="K126" i="1"/>
  <c r="I126" i="1"/>
  <c r="G126" i="1"/>
  <c r="AM125" i="1"/>
  <c r="AK125" i="1"/>
  <c r="AI125" i="1"/>
  <c r="AG125" i="1"/>
  <c r="AE125" i="1"/>
  <c r="AC125" i="1"/>
  <c r="AA125" i="1"/>
  <c r="Y125" i="1"/>
  <c r="W125" i="1"/>
  <c r="U125" i="1"/>
  <c r="S125" i="1"/>
  <c r="Q125" i="1"/>
  <c r="O125" i="1"/>
  <c r="M125" i="1"/>
  <c r="K125" i="1"/>
  <c r="I125" i="1"/>
  <c r="G125" i="1"/>
  <c r="AM124" i="1"/>
  <c r="AK124" i="1"/>
  <c r="AI124" i="1"/>
  <c r="AG124" i="1"/>
  <c r="AE124" i="1"/>
  <c r="AC124" i="1"/>
  <c r="AA124" i="1"/>
  <c r="Y124" i="1"/>
  <c r="W124" i="1"/>
  <c r="U124" i="1"/>
  <c r="S124" i="1"/>
  <c r="Q124" i="1"/>
  <c r="O124" i="1"/>
  <c r="M124" i="1"/>
  <c r="K124" i="1"/>
  <c r="I124" i="1"/>
  <c r="G124" i="1"/>
  <c r="AM123" i="1"/>
  <c r="AK123" i="1"/>
  <c r="AI123" i="1"/>
  <c r="AG123" i="1"/>
  <c r="AE123" i="1"/>
  <c r="AC123" i="1"/>
  <c r="AA123" i="1"/>
  <c r="Y123" i="1"/>
  <c r="W123" i="1"/>
  <c r="U123" i="1"/>
  <c r="S123" i="1"/>
  <c r="Q123" i="1"/>
  <c r="O123" i="1"/>
  <c r="M123" i="1"/>
  <c r="K123" i="1"/>
  <c r="I123" i="1"/>
  <c r="G123" i="1"/>
  <c r="AM122" i="1"/>
  <c r="AK122" i="1"/>
  <c r="AI122" i="1"/>
  <c r="AG122" i="1"/>
  <c r="AE122" i="1"/>
  <c r="AC122" i="1"/>
  <c r="AA122" i="1"/>
  <c r="Y122" i="1"/>
  <c r="W122" i="1"/>
  <c r="U122" i="1"/>
  <c r="S122" i="1"/>
  <c r="Q122" i="1"/>
  <c r="O122" i="1"/>
  <c r="M122" i="1"/>
  <c r="K122" i="1"/>
  <c r="I122" i="1"/>
  <c r="G122" i="1"/>
  <c r="AM121" i="1"/>
  <c r="AK121" i="1"/>
  <c r="AI121" i="1"/>
  <c r="AG121" i="1"/>
  <c r="AE121" i="1"/>
  <c r="AC121" i="1"/>
  <c r="AA121" i="1"/>
  <c r="Y121" i="1"/>
  <c r="W121" i="1"/>
  <c r="U121" i="1"/>
  <c r="S121" i="1"/>
  <c r="Q121" i="1"/>
  <c r="O121" i="1"/>
  <c r="M121" i="1"/>
  <c r="K121" i="1"/>
  <c r="I121" i="1"/>
  <c r="G121" i="1"/>
  <c r="AM120" i="1"/>
  <c r="AK120" i="1"/>
  <c r="AI120" i="1"/>
  <c r="AG120" i="1"/>
  <c r="AE120" i="1"/>
  <c r="AC120" i="1"/>
  <c r="AA120" i="1"/>
  <c r="Y120" i="1"/>
  <c r="W120" i="1"/>
  <c r="U120" i="1"/>
  <c r="S120" i="1"/>
  <c r="Q120" i="1"/>
  <c r="O120" i="1"/>
  <c r="M120" i="1"/>
  <c r="K120" i="1"/>
  <c r="I120" i="1"/>
  <c r="G120" i="1"/>
  <c r="AM119" i="1"/>
  <c r="AK119" i="1"/>
  <c r="AI119" i="1"/>
  <c r="AG119" i="1"/>
  <c r="AE119" i="1"/>
  <c r="AC119" i="1"/>
  <c r="AA119" i="1"/>
  <c r="Y119" i="1"/>
  <c r="W119" i="1"/>
  <c r="U119" i="1"/>
  <c r="S119" i="1"/>
  <c r="Q119" i="1"/>
  <c r="O119" i="1"/>
  <c r="M119" i="1"/>
  <c r="K119" i="1"/>
  <c r="I119" i="1"/>
  <c r="G119" i="1"/>
  <c r="AM118" i="1"/>
  <c r="AK118" i="1"/>
  <c r="AI118" i="1"/>
  <c r="AG118" i="1"/>
  <c r="AE118" i="1"/>
  <c r="AC118" i="1"/>
  <c r="AA118" i="1"/>
  <c r="Y118" i="1"/>
  <c r="W118" i="1"/>
  <c r="U118" i="1"/>
  <c r="S118" i="1"/>
  <c r="Q118" i="1"/>
  <c r="O118" i="1"/>
  <c r="M118" i="1"/>
  <c r="K118" i="1"/>
  <c r="I118" i="1"/>
  <c r="G118" i="1"/>
  <c r="AM117" i="1"/>
  <c r="AK117" i="1"/>
  <c r="AI117" i="1"/>
  <c r="AG117" i="1"/>
  <c r="AE117" i="1"/>
  <c r="AC117" i="1"/>
  <c r="AA117" i="1"/>
  <c r="Y117" i="1"/>
  <c r="W117" i="1"/>
  <c r="U117" i="1"/>
  <c r="S117" i="1"/>
  <c r="Q117" i="1"/>
  <c r="O117" i="1"/>
  <c r="M117" i="1"/>
  <c r="K117" i="1"/>
  <c r="I117" i="1"/>
  <c r="G117" i="1"/>
  <c r="AM116" i="1"/>
  <c r="AK116" i="1"/>
  <c r="AI116" i="1"/>
  <c r="AG116" i="1"/>
  <c r="AE116" i="1"/>
  <c r="AC116" i="1"/>
  <c r="AA116" i="1"/>
  <c r="Y116" i="1"/>
  <c r="W116" i="1"/>
  <c r="U116" i="1"/>
  <c r="S116" i="1"/>
  <c r="Q116" i="1"/>
  <c r="O116" i="1"/>
  <c r="M116" i="1"/>
  <c r="K116" i="1"/>
  <c r="I116" i="1"/>
  <c r="G116" i="1"/>
  <c r="AM115" i="1"/>
  <c r="AK115" i="1"/>
  <c r="AI115" i="1"/>
  <c r="AG115" i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G115" i="1"/>
  <c r="AM114" i="1"/>
  <c r="AK114" i="1"/>
  <c r="AI114" i="1"/>
  <c r="AG114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G114" i="1"/>
  <c r="AM113" i="1"/>
  <c r="AK113" i="1"/>
  <c r="AI113" i="1"/>
  <c r="AG113" i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G113" i="1"/>
  <c r="AM112" i="1"/>
  <c r="AK112" i="1"/>
  <c r="AI112" i="1"/>
  <c r="AG112" i="1"/>
  <c r="AE112" i="1"/>
  <c r="AC112" i="1"/>
  <c r="AA112" i="1"/>
  <c r="Y112" i="1"/>
  <c r="W112" i="1"/>
  <c r="U112" i="1"/>
  <c r="S112" i="1"/>
  <c r="Q112" i="1"/>
  <c r="O112" i="1"/>
  <c r="M112" i="1"/>
  <c r="K112" i="1"/>
  <c r="I112" i="1"/>
  <c r="G112" i="1"/>
  <c r="AM111" i="1"/>
  <c r="AK111" i="1"/>
  <c r="AI111" i="1"/>
  <c r="AG111" i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G111" i="1"/>
  <c r="AM110" i="1"/>
  <c r="AK110" i="1"/>
  <c r="AI110" i="1"/>
  <c r="AG110" i="1"/>
  <c r="AE110" i="1"/>
  <c r="AC110" i="1"/>
  <c r="AA110" i="1"/>
  <c r="Y110" i="1"/>
  <c r="W110" i="1"/>
  <c r="U110" i="1"/>
  <c r="S110" i="1"/>
  <c r="Q110" i="1"/>
  <c r="O110" i="1"/>
  <c r="M110" i="1"/>
  <c r="K110" i="1"/>
  <c r="I110" i="1"/>
  <c r="G110" i="1"/>
  <c r="AM109" i="1"/>
  <c r="AK109" i="1"/>
  <c r="AI109" i="1"/>
  <c r="AG109" i="1"/>
  <c r="AE109" i="1"/>
  <c r="AC109" i="1"/>
  <c r="AA109" i="1"/>
  <c r="Y109" i="1"/>
  <c r="W109" i="1"/>
  <c r="U109" i="1"/>
  <c r="S109" i="1"/>
  <c r="Q109" i="1"/>
  <c r="O109" i="1"/>
  <c r="M109" i="1"/>
  <c r="K109" i="1"/>
  <c r="I109" i="1"/>
  <c r="G109" i="1"/>
  <c r="AM108" i="1"/>
  <c r="AK108" i="1"/>
  <c r="AI108" i="1"/>
  <c r="AG108" i="1"/>
  <c r="AE108" i="1"/>
  <c r="AC108" i="1"/>
  <c r="AA108" i="1"/>
  <c r="Y108" i="1"/>
  <c r="W108" i="1"/>
  <c r="U108" i="1"/>
  <c r="S108" i="1"/>
  <c r="Q108" i="1"/>
  <c r="O108" i="1"/>
  <c r="M108" i="1"/>
  <c r="K108" i="1"/>
  <c r="I108" i="1"/>
  <c r="G108" i="1"/>
  <c r="AM107" i="1"/>
  <c r="AK107" i="1"/>
  <c r="AI107" i="1"/>
  <c r="AG107" i="1"/>
  <c r="AE107" i="1"/>
  <c r="AC107" i="1"/>
  <c r="AA107" i="1"/>
  <c r="Y107" i="1"/>
  <c r="W107" i="1"/>
  <c r="U107" i="1"/>
  <c r="S107" i="1"/>
  <c r="Q107" i="1"/>
  <c r="O107" i="1"/>
  <c r="M107" i="1"/>
  <c r="K107" i="1"/>
  <c r="I107" i="1"/>
  <c r="G107" i="1"/>
  <c r="AM106" i="1"/>
  <c r="AK106" i="1"/>
  <c r="AI106" i="1"/>
  <c r="AG106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G106" i="1"/>
  <c r="AM105" i="1"/>
  <c r="AK105" i="1"/>
  <c r="AI105" i="1"/>
  <c r="AG105" i="1"/>
  <c r="AE105" i="1"/>
  <c r="AC105" i="1"/>
  <c r="AA105" i="1"/>
  <c r="Y105" i="1"/>
  <c r="W105" i="1"/>
  <c r="U105" i="1"/>
  <c r="S105" i="1"/>
  <c r="Q105" i="1"/>
  <c r="O105" i="1"/>
  <c r="M105" i="1"/>
  <c r="K105" i="1"/>
  <c r="I105" i="1"/>
  <c r="G105" i="1"/>
  <c r="AM104" i="1"/>
  <c r="AK104" i="1"/>
  <c r="AI104" i="1"/>
  <c r="AG104" i="1"/>
  <c r="AE104" i="1"/>
  <c r="AC104" i="1"/>
  <c r="AA104" i="1"/>
  <c r="Y104" i="1"/>
  <c r="W104" i="1"/>
  <c r="U104" i="1"/>
  <c r="S104" i="1"/>
  <c r="Q104" i="1"/>
  <c r="O104" i="1"/>
  <c r="M104" i="1"/>
  <c r="K104" i="1"/>
  <c r="I104" i="1"/>
  <c r="G104" i="1"/>
  <c r="AM103" i="1"/>
  <c r="AK103" i="1"/>
  <c r="AI103" i="1"/>
  <c r="AG103" i="1"/>
  <c r="AE103" i="1"/>
  <c r="AC103" i="1"/>
  <c r="AA103" i="1"/>
  <c r="Y103" i="1"/>
  <c r="W103" i="1"/>
  <c r="U103" i="1"/>
  <c r="S103" i="1"/>
  <c r="Q103" i="1"/>
  <c r="O103" i="1"/>
  <c r="M103" i="1"/>
  <c r="K103" i="1"/>
  <c r="I103" i="1"/>
  <c r="G103" i="1"/>
  <c r="AM102" i="1"/>
  <c r="AK102" i="1"/>
  <c r="AI102" i="1"/>
  <c r="AG102" i="1"/>
  <c r="AE102" i="1"/>
  <c r="AC102" i="1"/>
  <c r="AA102" i="1"/>
  <c r="Y102" i="1"/>
  <c r="W102" i="1"/>
  <c r="U102" i="1"/>
  <c r="S102" i="1"/>
  <c r="Q102" i="1"/>
  <c r="O102" i="1"/>
  <c r="M102" i="1"/>
  <c r="K102" i="1"/>
  <c r="I102" i="1"/>
  <c r="G102" i="1"/>
  <c r="AM101" i="1"/>
  <c r="AK101" i="1"/>
  <c r="AI101" i="1"/>
  <c r="AG101" i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G101" i="1"/>
  <c r="AM100" i="1"/>
  <c r="AK100" i="1"/>
  <c r="AI100" i="1"/>
  <c r="AG100" i="1"/>
  <c r="AE100" i="1"/>
  <c r="AC100" i="1"/>
  <c r="AA100" i="1"/>
  <c r="Y100" i="1"/>
  <c r="W100" i="1"/>
  <c r="U100" i="1"/>
  <c r="S100" i="1"/>
  <c r="Q100" i="1"/>
  <c r="O100" i="1"/>
  <c r="M100" i="1"/>
  <c r="K100" i="1"/>
  <c r="I100" i="1"/>
  <c r="G100" i="1"/>
  <c r="AM99" i="1"/>
  <c r="AK99" i="1"/>
  <c r="AI99" i="1"/>
  <c r="AG99" i="1"/>
  <c r="AE99" i="1"/>
  <c r="AC99" i="1"/>
  <c r="AA99" i="1"/>
  <c r="Y99" i="1"/>
  <c r="W99" i="1"/>
  <c r="U99" i="1"/>
  <c r="S99" i="1"/>
  <c r="Q99" i="1"/>
  <c r="O99" i="1"/>
  <c r="M99" i="1"/>
  <c r="K99" i="1"/>
  <c r="I99" i="1"/>
  <c r="G99" i="1"/>
  <c r="AM98" i="1"/>
  <c r="AK98" i="1"/>
  <c r="AI98" i="1"/>
  <c r="AG98" i="1"/>
  <c r="AE98" i="1"/>
  <c r="AC98" i="1"/>
  <c r="AA98" i="1"/>
  <c r="Y98" i="1"/>
  <c r="W98" i="1"/>
  <c r="U98" i="1"/>
  <c r="S98" i="1"/>
  <c r="Q98" i="1"/>
  <c r="O98" i="1"/>
  <c r="M98" i="1"/>
  <c r="K98" i="1"/>
  <c r="I98" i="1"/>
  <c r="G98" i="1"/>
  <c r="AM97" i="1"/>
  <c r="AK97" i="1"/>
  <c r="AI97" i="1"/>
  <c r="AG97" i="1"/>
  <c r="AE97" i="1"/>
  <c r="AC97" i="1"/>
  <c r="AA97" i="1"/>
  <c r="Y97" i="1"/>
  <c r="W97" i="1"/>
  <c r="U97" i="1"/>
  <c r="S97" i="1"/>
  <c r="Q97" i="1"/>
  <c r="O97" i="1"/>
  <c r="M97" i="1"/>
  <c r="K97" i="1"/>
  <c r="I97" i="1"/>
  <c r="G97" i="1"/>
  <c r="AM96" i="1"/>
  <c r="AK96" i="1"/>
  <c r="AI96" i="1"/>
  <c r="AG96" i="1"/>
  <c r="AE96" i="1"/>
  <c r="AC96" i="1"/>
  <c r="AA96" i="1"/>
  <c r="Y96" i="1"/>
  <c r="W96" i="1"/>
  <c r="U96" i="1"/>
  <c r="S96" i="1"/>
  <c r="Q96" i="1"/>
  <c r="O96" i="1"/>
  <c r="M96" i="1"/>
  <c r="K96" i="1"/>
  <c r="I96" i="1"/>
  <c r="G96" i="1"/>
  <c r="AM95" i="1"/>
  <c r="AK95" i="1"/>
  <c r="AI95" i="1"/>
  <c r="AG95" i="1"/>
  <c r="AE95" i="1"/>
  <c r="AC95" i="1"/>
  <c r="AA95" i="1"/>
  <c r="Y95" i="1"/>
  <c r="W95" i="1"/>
  <c r="U95" i="1"/>
  <c r="S95" i="1"/>
  <c r="Q95" i="1"/>
  <c r="O95" i="1"/>
  <c r="M95" i="1"/>
  <c r="K95" i="1"/>
  <c r="I95" i="1"/>
  <c r="G95" i="1"/>
  <c r="AM94" i="1"/>
  <c r="AK94" i="1"/>
  <c r="AI94" i="1"/>
  <c r="AG94" i="1"/>
  <c r="AE94" i="1"/>
  <c r="AC94" i="1"/>
  <c r="AA94" i="1"/>
  <c r="Y94" i="1"/>
  <c r="W94" i="1"/>
  <c r="U94" i="1"/>
  <c r="S94" i="1"/>
  <c r="Q94" i="1"/>
  <c r="O94" i="1"/>
  <c r="M94" i="1"/>
  <c r="K94" i="1"/>
  <c r="I94" i="1"/>
  <c r="G94" i="1"/>
  <c r="AM93" i="1"/>
  <c r="AK93" i="1"/>
  <c r="AI93" i="1"/>
  <c r="AG93" i="1"/>
  <c r="AE93" i="1"/>
  <c r="AC93" i="1"/>
  <c r="AA93" i="1"/>
  <c r="Y93" i="1"/>
  <c r="W93" i="1"/>
  <c r="U93" i="1"/>
  <c r="S93" i="1"/>
  <c r="Q93" i="1"/>
  <c r="O93" i="1"/>
  <c r="M93" i="1"/>
  <c r="K93" i="1"/>
  <c r="I93" i="1"/>
  <c r="G93" i="1"/>
  <c r="AM92" i="1"/>
  <c r="AK92" i="1"/>
  <c r="AI92" i="1"/>
  <c r="AG92" i="1"/>
  <c r="AE92" i="1"/>
  <c r="AC92" i="1"/>
  <c r="AA92" i="1"/>
  <c r="Y92" i="1"/>
  <c r="W92" i="1"/>
  <c r="U92" i="1"/>
  <c r="S92" i="1"/>
  <c r="Q92" i="1"/>
  <c r="O92" i="1"/>
  <c r="M92" i="1"/>
  <c r="K92" i="1"/>
  <c r="I92" i="1"/>
  <c r="G92" i="1"/>
  <c r="AM91" i="1"/>
  <c r="AK91" i="1"/>
  <c r="AI91" i="1"/>
  <c r="AG91" i="1"/>
  <c r="AE91" i="1"/>
  <c r="AC91" i="1"/>
  <c r="AA91" i="1"/>
  <c r="Y91" i="1"/>
  <c r="W91" i="1"/>
  <c r="U91" i="1"/>
  <c r="S91" i="1"/>
  <c r="Q91" i="1"/>
  <c r="O91" i="1"/>
  <c r="M91" i="1"/>
  <c r="K91" i="1"/>
  <c r="I91" i="1"/>
  <c r="G91" i="1"/>
  <c r="AM90" i="1"/>
  <c r="AK90" i="1"/>
  <c r="AI90" i="1"/>
  <c r="AG90" i="1"/>
  <c r="AE90" i="1"/>
  <c r="AC90" i="1"/>
  <c r="AA90" i="1"/>
  <c r="Y90" i="1"/>
  <c r="W90" i="1"/>
  <c r="U90" i="1"/>
  <c r="S90" i="1"/>
  <c r="Q90" i="1"/>
  <c r="O90" i="1"/>
  <c r="M90" i="1"/>
  <c r="K90" i="1"/>
  <c r="I90" i="1"/>
  <c r="G90" i="1"/>
  <c r="AM89" i="1"/>
  <c r="AK89" i="1"/>
  <c r="AI89" i="1"/>
  <c r="AG89" i="1"/>
  <c r="AE89" i="1"/>
  <c r="AC89" i="1"/>
  <c r="AA89" i="1"/>
  <c r="Y89" i="1"/>
  <c r="W89" i="1"/>
  <c r="U89" i="1"/>
  <c r="S89" i="1"/>
  <c r="Q89" i="1"/>
  <c r="O89" i="1"/>
  <c r="M89" i="1"/>
  <c r="K89" i="1"/>
  <c r="I89" i="1"/>
  <c r="G89" i="1"/>
  <c r="AM88" i="1"/>
  <c r="AK88" i="1"/>
  <c r="AI88" i="1"/>
  <c r="AG88" i="1"/>
  <c r="AE88" i="1"/>
  <c r="AC88" i="1"/>
  <c r="AA88" i="1"/>
  <c r="Y88" i="1"/>
  <c r="W88" i="1"/>
  <c r="U88" i="1"/>
  <c r="S88" i="1"/>
  <c r="Q88" i="1"/>
  <c r="O88" i="1"/>
  <c r="M88" i="1"/>
  <c r="K88" i="1"/>
  <c r="I88" i="1"/>
  <c r="G88" i="1"/>
  <c r="AM87" i="1"/>
  <c r="AK87" i="1"/>
  <c r="AI87" i="1"/>
  <c r="AG87" i="1"/>
  <c r="AE87" i="1"/>
  <c r="AC87" i="1"/>
  <c r="AA87" i="1"/>
  <c r="Y87" i="1"/>
  <c r="W87" i="1"/>
  <c r="U87" i="1"/>
  <c r="S87" i="1"/>
  <c r="Q87" i="1"/>
  <c r="O87" i="1"/>
  <c r="M87" i="1"/>
  <c r="K87" i="1"/>
  <c r="I87" i="1"/>
  <c r="G87" i="1"/>
  <c r="AM86" i="1"/>
  <c r="AK86" i="1"/>
  <c r="AI86" i="1"/>
  <c r="AG86" i="1"/>
  <c r="AE86" i="1"/>
  <c r="AC86" i="1"/>
  <c r="AA86" i="1"/>
  <c r="Y86" i="1"/>
  <c r="W86" i="1"/>
  <c r="U86" i="1"/>
  <c r="S86" i="1"/>
  <c r="Q86" i="1"/>
  <c r="O86" i="1"/>
  <c r="M86" i="1"/>
  <c r="K86" i="1"/>
  <c r="I86" i="1"/>
  <c r="G86" i="1"/>
  <c r="AM85" i="1"/>
  <c r="AK85" i="1"/>
  <c r="AI85" i="1"/>
  <c r="AG85" i="1"/>
  <c r="AE85" i="1"/>
  <c r="AC85" i="1"/>
  <c r="AA85" i="1"/>
  <c r="Y85" i="1"/>
  <c r="W85" i="1"/>
  <c r="U85" i="1"/>
  <c r="S85" i="1"/>
  <c r="Q85" i="1"/>
  <c r="O85" i="1"/>
  <c r="M85" i="1"/>
  <c r="K85" i="1"/>
  <c r="I85" i="1"/>
  <c r="G85" i="1"/>
  <c r="AM84" i="1"/>
  <c r="AK84" i="1"/>
  <c r="AI84" i="1"/>
  <c r="AG84" i="1"/>
  <c r="AE84" i="1"/>
  <c r="AC84" i="1"/>
  <c r="AA84" i="1"/>
  <c r="Y84" i="1"/>
  <c r="W84" i="1"/>
  <c r="U84" i="1"/>
  <c r="S84" i="1"/>
  <c r="Q84" i="1"/>
  <c r="O84" i="1"/>
  <c r="M84" i="1"/>
  <c r="K84" i="1"/>
  <c r="I84" i="1"/>
  <c r="G84" i="1"/>
  <c r="AM83" i="1"/>
  <c r="AK83" i="1"/>
  <c r="AI83" i="1"/>
  <c r="AG83" i="1"/>
  <c r="AE83" i="1"/>
  <c r="AC83" i="1"/>
  <c r="AA83" i="1"/>
  <c r="Y83" i="1"/>
  <c r="W83" i="1"/>
  <c r="U83" i="1"/>
  <c r="S83" i="1"/>
  <c r="Q83" i="1"/>
  <c r="O83" i="1"/>
  <c r="M83" i="1"/>
  <c r="K83" i="1"/>
  <c r="I83" i="1"/>
  <c r="G83" i="1"/>
  <c r="AM82" i="1"/>
  <c r="AK82" i="1"/>
  <c r="AI82" i="1"/>
  <c r="AG82" i="1"/>
  <c r="AE82" i="1"/>
  <c r="AC82" i="1"/>
  <c r="AA82" i="1"/>
  <c r="Y82" i="1"/>
  <c r="W82" i="1"/>
  <c r="U82" i="1"/>
  <c r="S82" i="1"/>
  <c r="Q82" i="1"/>
  <c r="O82" i="1"/>
  <c r="M82" i="1"/>
  <c r="K82" i="1"/>
  <c r="I82" i="1"/>
  <c r="G82" i="1"/>
  <c r="AM81" i="1"/>
  <c r="AK81" i="1"/>
  <c r="AI81" i="1"/>
  <c r="AG81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AM80" i="1"/>
  <c r="AK80" i="1"/>
  <c r="AI80" i="1"/>
  <c r="AG80" i="1"/>
  <c r="AE80" i="1"/>
  <c r="AC80" i="1"/>
  <c r="AA80" i="1"/>
  <c r="Y80" i="1"/>
  <c r="W80" i="1"/>
  <c r="U80" i="1"/>
  <c r="S80" i="1"/>
  <c r="Q80" i="1"/>
  <c r="O80" i="1"/>
  <c r="M80" i="1"/>
  <c r="K80" i="1"/>
  <c r="I80" i="1"/>
  <c r="G80" i="1"/>
  <c r="AM79" i="1"/>
  <c r="AK79" i="1"/>
  <c r="AI79" i="1"/>
  <c r="AG79" i="1"/>
  <c r="AE79" i="1"/>
  <c r="AC79" i="1"/>
  <c r="AA79" i="1"/>
  <c r="Y79" i="1"/>
  <c r="W79" i="1"/>
  <c r="U79" i="1"/>
  <c r="S79" i="1"/>
  <c r="Q79" i="1"/>
  <c r="O79" i="1"/>
  <c r="M79" i="1"/>
  <c r="K79" i="1"/>
  <c r="I79" i="1"/>
  <c r="G79" i="1"/>
  <c r="AM78" i="1"/>
  <c r="AK78" i="1"/>
  <c r="AI78" i="1"/>
  <c r="AG78" i="1"/>
  <c r="AE78" i="1"/>
  <c r="AC78" i="1"/>
  <c r="AA78" i="1"/>
  <c r="Y78" i="1"/>
  <c r="W78" i="1"/>
  <c r="U78" i="1"/>
  <c r="S78" i="1"/>
  <c r="Q78" i="1"/>
  <c r="O78" i="1"/>
  <c r="M78" i="1"/>
  <c r="K78" i="1"/>
  <c r="I78" i="1"/>
  <c r="G78" i="1"/>
  <c r="AM77" i="1"/>
  <c r="AK77" i="1"/>
  <c r="AI77" i="1"/>
  <c r="AG77" i="1"/>
  <c r="AE77" i="1"/>
  <c r="AC77" i="1"/>
  <c r="AA77" i="1"/>
  <c r="Y77" i="1"/>
  <c r="W77" i="1"/>
  <c r="U77" i="1"/>
  <c r="S77" i="1"/>
  <c r="Q77" i="1"/>
  <c r="O77" i="1"/>
  <c r="M77" i="1"/>
  <c r="K77" i="1"/>
  <c r="I77" i="1"/>
  <c r="G77" i="1"/>
  <c r="AM76" i="1"/>
  <c r="AK76" i="1"/>
  <c r="AI76" i="1"/>
  <c r="AG76" i="1"/>
  <c r="AE76" i="1"/>
  <c r="AC76" i="1"/>
  <c r="AA76" i="1"/>
  <c r="Y76" i="1"/>
  <c r="W76" i="1"/>
  <c r="U76" i="1"/>
  <c r="S76" i="1"/>
  <c r="Q76" i="1"/>
  <c r="O76" i="1"/>
  <c r="M76" i="1"/>
  <c r="K76" i="1"/>
  <c r="I76" i="1"/>
  <c r="G76" i="1"/>
  <c r="AM75" i="1"/>
  <c r="AK75" i="1"/>
  <c r="AI75" i="1"/>
  <c r="AG75" i="1"/>
  <c r="AE75" i="1"/>
  <c r="AC75" i="1"/>
  <c r="AA75" i="1"/>
  <c r="Y75" i="1"/>
  <c r="W75" i="1"/>
  <c r="U75" i="1"/>
  <c r="S75" i="1"/>
  <c r="Q75" i="1"/>
  <c r="O75" i="1"/>
  <c r="M75" i="1"/>
  <c r="K75" i="1"/>
  <c r="I75" i="1"/>
  <c r="G75" i="1"/>
  <c r="AM74" i="1"/>
  <c r="AK74" i="1"/>
  <c r="AI74" i="1"/>
  <c r="AG74" i="1"/>
  <c r="AE74" i="1"/>
  <c r="AC74" i="1"/>
  <c r="AA74" i="1"/>
  <c r="Y74" i="1"/>
  <c r="W74" i="1"/>
  <c r="U74" i="1"/>
  <c r="S74" i="1"/>
  <c r="Q74" i="1"/>
  <c r="O74" i="1"/>
  <c r="M74" i="1"/>
  <c r="K74" i="1"/>
  <c r="I74" i="1"/>
  <c r="G74" i="1"/>
  <c r="AM73" i="1"/>
  <c r="AK73" i="1"/>
  <c r="AI73" i="1"/>
  <c r="AG73" i="1"/>
  <c r="AE73" i="1"/>
  <c r="AC73" i="1"/>
  <c r="AA73" i="1"/>
  <c r="Y73" i="1"/>
  <c r="W73" i="1"/>
  <c r="U73" i="1"/>
  <c r="S73" i="1"/>
  <c r="Q73" i="1"/>
  <c r="O73" i="1"/>
  <c r="M73" i="1"/>
  <c r="K73" i="1"/>
  <c r="I73" i="1"/>
  <c r="G73" i="1"/>
  <c r="AM72" i="1"/>
  <c r="AK72" i="1"/>
  <c r="AI72" i="1"/>
  <c r="AG72" i="1"/>
  <c r="AE72" i="1"/>
  <c r="AC72" i="1"/>
  <c r="AA72" i="1"/>
  <c r="Y72" i="1"/>
  <c r="W72" i="1"/>
  <c r="U72" i="1"/>
  <c r="S72" i="1"/>
  <c r="Q72" i="1"/>
  <c r="O72" i="1"/>
  <c r="M72" i="1"/>
  <c r="K72" i="1"/>
  <c r="I72" i="1"/>
  <c r="G72" i="1"/>
  <c r="AM71" i="1"/>
  <c r="AK71" i="1"/>
  <c r="AI71" i="1"/>
  <c r="AG71" i="1"/>
  <c r="AE71" i="1"/>
  <c r="AC71" i="1"/>
  <c r="AA71" i="1"/>
  <c r="Y71" i="1"/>
  <c r="W71" i="1"/>
  <c r="U71" i="1"/>
  <c r="S71" i="1"/>
  <c r="Q71" i="1"/>
  <c r="O71" i="1"/>
  <c r="M71" i="1"/>
  <c r="K71" i="1"/>
  <c r="I71" i="1"/>
  <c r="G71" i="1"/>
  <c r="AM70" i="1"/>
  <c r="AK70" i="1"/>
  <c r="AI70" i="1"/>
  <c r="AG70" i="1"/>
  <c r="AE70" i="1"/>
  <c r="AC70" i="1"/>
  <c r="AA70" i="1"/>
  <c r="Y70" i="1"/>
  <c r="W70" i="1"/>
  <c r="U70" i="1"/>
  <c r="S70" i="1"/>
  <c r="Q70" i="1"/>
  <c r="O70" i="1"/>
  <c r="M70" i="1"/>
  <c r="K70" i="1"/>
  <c r="I70" i="1"/>
  <c r="G70" i="1"/>
  <c r="AM69" i="1"/>
  <c r="AK69" i="1"/>
  <c r="AI69" i="1"/>
  <c r="AG69" i="1"/>
  <c r="AE69" i="1"/>
  <c r="AC69" i="1"/>
  <c r="AA69" i="1"/>
  <c r="Y69" i="1"/>
  <c r="W69" i="1"/>
  <c r="U69" i="1"/>
  <c r="S69" i="1"/>
  <c r="Q69" i="1"/>
  <c r="O69" i="1"/>
  <c r="M69" i="1"/>
  <c r="K69" i="1"/>
  <c r="I69" i="1"/>
  <c r="G69" i="1"/>
  <c r="AM68" i="1"/>
  <c r="AK68" i="1"/>
  <c r="AI68" i="1"/>
  <c r="AG68" i="1"/>
  <c r="AE68" i="1"/>
  <c r="AC68" i="1"/>
  <c r="AA68" i="1"/>
  <c r="Y68" i="1"/>
  <c r="W68" i="1"/>
  <c r="U68" i="1"/>
  <c r="S68" i="1"/>
  <c r="Q68" i="1"/>
  <c r="O68" i="1"/>
  <c r="M68" i="1"/>
  <c r="K68" i="1"/>
  <c r="I68" i="1"/>
  <c r="G68" i="1"/>
  <c r="AM67" i="1"/>
  <c r="AK67" i="1"/>
  <c r="AI67" i="1"/>
  <c r="AG67" i="1"/>
  <c r="AE67" i="1"/>
  <c r="AC67" i="1"/>
  <c r="AA67" i="1"/>
  <c r="Y67" i="1"/>
  <c r="W67" i="1"/>
  <c r="U67" i="1"/>
  <c r="S67" i="1"/>
  <c r="Q67" i="1"/>
  <c r="O67" i="1"/>
  <c r="M67" i="1"/>
  <c r="K67" i="1"/>
  <c r="I67" i="1"/>
  <c r="G67" i="1"/>
  <c r="AM66" i="1"/>
  <c r="AK66" i="1"/>
  <c r="AI66" i="1"/>
  <c r="AG66" i="1"/>
  <c r="AE66" i="1"/>
  <c r="AC66" i="1"/>
  <c r="AA66" i="1"/>
  <c r="Y66" i="1"/>
  <c r="W66" i="1"/>
  <c r="U66" i="1"/>
  <c r="S66" i="1"/>
  <c r="Q66" i="1"/>
  <c r="O66" i="1"/>
  <c r="M66" i="1"/>
  <c r="K66" i="1"/>
  <c r="I66" i="1"/>
  <c r="G66" i="1"/>
  <c r="AM65" i="1"/>
  <c r="AK65" i="1"/>
  <c r="AI65" i="1"/>
  <c r="AG65" i="1"/>
  <c r="AE65" i="1"/>
  <c r="AC65" i="1"/>
  <c r="AA65" i="1"/>
  <c r="Y65" i="1"/>
  <c r="W65" i="1"/>
  <c r="U65" i="1"/>
  <c r="S65" i="1"/>
  <c r="Q65" i="1"/>
  <c r="O65" i="1"/>
  <c r="M65" i="1"/>
  <c r="K65" i="1"/>
  <c r="I65" i="1"/>
  <c r="G65" i="1"/>
  <c r="AM64" i="1"/>
  <c r="AK64" i="1"/>
  <c r="AI64" i="1"/>
  <c r="AG64" i="1"/>
  <c r="AE64" i="1"/>
  <c r="AC64" i="1"/>
  <c r="AA64" i="1"/>
  <c r="Y64" i="1"/>
  <c r="W64" i="1"/>
  <c r="U64" i="1"/>
  <c r="S64" i="1"/>
  <c r="Q64" i="1"/>
  <c r="O64" i="1"/>
  <c r="M64" i="1"/>
  <c r="K64" i="1"/>
  <c r="I64" i="1"/>
  <c r="G64" i="1"/>
  <c r="AM63" i="1"/>
  <c r="AK63" i="1"/>
  <c r="AI63" i="1"/>
  <c r="AG63" i="1"/>
  <c r="AE63" i="1"/>
  <c r="AC63" i="1"/>
  <c r="AA63" i="1"/>
  <c r="Y63" i="1"/>
  <c r="W63" i="1"/>
  <c r="U63" i="1"/>
  <c r="S63" i="1"/>
  <c r="Q63" i="1"/>
  <c r="O63" i="1"/>
  <c r="M63" i="1"/>
  <c r="K63" i="1"/>
  <c r="I63" i="1"/>
  <c r="G63" i="1"/>
  <c r="AM62" i="1"/>
  <c r="AK62" i="1"/>
  <c r="AI62" i="1"/>
  <c r="AG62" i="1"/>
  <c r="AE62" i="1"/>
  <c r="AC62" i="1"/>
  <c r="AA62" i="1"/>
  <c r="Y62" i="1"/>
  <c r="W62" i="1"/>
  <c r="U62" i="1"/>
  <c r="S62" i="1"/>
  <c r="Q62" i="1"/>
  <c r="O62" i="1"/>
  <c r="M62" i="1"/>
  <c r="K62" i="1"/>
  <c r="I62" i="1"/>
  <c r="G62" i="1"/>
  <c r="AM61" i="1"/>
  <c r="AK61" i="1"/>
  <c r="AI61" i="1"/>
  <c r="AG61" i="1"/>
  <c r="AE61" i="1"/>
  <c r="AC61" i="1"/>
  <c r="AA61" i="1"/>
  <c r="Y61" i="1"/>
  <c r="W61" i="1"/>
  <c r="U61" i="1"/>
  <c r="S61" i="1"/>
  <c r="Q61" i="1"/>
  <c r="O61" i="1"/>
  <c r="M61" i="1"/>
  <c r="K61" i="1"/>
  <c r="I61" i="1"/>
  <c r="G61" i="1"/>
  <c r="AM60" i="1"/>
  <c r="AK60" i="1"/>
  <c r="AI60" i="1"/>
  <c r="AG60" i="1"/>
  <c r="AE60" i="1"/>
  <c r="AC60" i="1"/>
  <c r="AA60" i="1"/>
  <c r="Y60" i="1"/>
  <c r="W60" i="1"/>
  <c r="U60" i="1"/>
  <c r="S60" i="1"/>
  <c r="Q60" i="1"/>
  <c r="O60" i="1"/>
  <c r="M60" i="1"/>
  <c r="K60" i="1"/>
  <c r="I60" i="1"/>
  <c r="G60" i="1"/>
  <c r="AM59" i="1"/>
  <c r="AK59" i="1"/>
  <c r="AI59" i="1"/>
  <c r="AG59" i="1"/>
  <c r="AE59" i="1"/>
  <c r="AC59" i="1"/>
  <c r="AA59" i="1"/>
  <c r="Y59" i="1"/>
  <c r="W59" i="1"/>
  <c r="U59" i="1"/>
  <c r="S59" i="1"/>
  <c r="Q59" i="1"/>
  <c r="O59" i="1"/>
  <c r="M59" i="1"/>
  <c r="K59" i="1"/>
  <c r="I59" i="1"/>
  <c r="G59" i="1"/>
  <c r="AM58" i="1"/>
  <c r="AK58" i="1"/>
  <c r="AI58" i="1"/>
  <c r="AG58" i="1"/>
  <c r="AE58" i="1"/>
  <c r="AC58" i="1"/>
  <c r="AA58" i="1"/>
  <c r="Y58" i="1"/>
  <c r="W58" i="1"/>
  <c r="U58" i="1"/>
  <c r="S58" i="1"/>
  <c r="Q58" i="1"/>
  <c r="O58" i="1"/>
  <c r="M58" i="1"/>
  <c r="K58" i="1"/>
  <c r="I58" i="1"/>
  <c r="G58" i="1"/>
  <c r="AM57" i="1"/>
  <c r="AK57" i="1"/>
  <c r="AI57" i="1"/>
  <c r="AG57" i="1"/>
  <c r="AE57" i="1"/>
  <c r="AC57" i="1"/>
  <c r="AA57" i="1"/>
  <c r="Y57" i="1"/>
  <c r="W57" i="1"/>
  <c r="U57" i="1"/>
  <c r="S57" i="1"/>
  <c r="Q57" i="1"/>
  <c r="O57" i="1"/>
  <c r="M57" i="1"/>
  <c r="K57" i="1"/>
  <c r="I57" i="1"/>
  <c r="G57" i="1"/>
  <c r="AM56" i="1"/>
  <c r="AK56" i="1"/>
  <c r="AI56" i="1"/>
  <c r="AG56" i="1"/>
  <c r="AE56" i="1"/>
  <c r="AC56" i="1"/>
  <c r="AA56" i="1"/>
  <c r="Y56" i="1"/>
  <c r="W56" i="1"/>
  <c r="U56" i="1"/>
  <c r="S56" i="1"/>
  <c r="Q56" i="1"/>
  <c r="O56" i="1"/>
  <c r="M56" i="1"/>
  <c r="K56" i="1"/>
  <c r="I56" i="1"/>
  <c r="G56" i="1"/>
  <c r="AM55" i="1"/>
  <c r="AK55" i="1"/>
  <c r="AI55" i="1"/>
  <c r="AG55" i="1"/>
  <c r="AE55" i="1"/>
  <c r="AC55" i="1"/>
  <c r="AA55" i="1"/>
  <c r="Y55" i="1"/>
  <c r="W55" i="1"/>
  <c r="U55" i="1"/>
  <c r="S55" i="1"/>
  <c r="Q55" i="1"/>
  <c r="O55" i="1"/>
  <c r="M55" i="1"/>
  <c r="K55" i="1"/>
  <c r="I55" i="1"/>
  <c r="G55" i="1"/>
  <c r="AM54" i="1"/>
  <c r="AK54" i="1"/>
  <c r="AI54" i="1"/>
  <c r="AG54" i="1"/>
  <c r="AE54" i="1"/>
  <c r="AC54" i="1"/>
  <c r="AA54" i="1"/>
  <c r="Y54" i="1"/>
  <c r="W54" i="1"/>
  <c r="U54" i="1"/>
  <c r="S54" i="1"/>
  <c r="Q54" i="1"/>
  <c r="O54" i="1"/>
  <c r="M54" i="1"/>
  <c r="K54" i="1"/>
  <c r="I54" i="1"/>
  <c r="G54" i="1"/>
  <c r="AM53" i="1"/>
  <c r="AK53" i="1"/>
  <c r="AI53" i="1"/>
  <c r="AG53" i="1"/>
  <c r="AE53" i="1"/>
  <c r="AC53" i="1"/>
  <c r="AA53" i="1"/>
  <c r="Y53" i="1"/>
  <c r="W53" i="1"/>
  <c r="U53" i="1"/>
  <c r="S53" i="1"/>
  <c r="Q53" i="1"/>
  <c r="O53" i="1"/>
  <c r="M53" i="1"/>
  <c r="K53" i="1"/>
  <c r="I53" i="1"/>
  <c r="G53" i="1"/>
  <c r="AM52" i="1"/>
  <c r="AK52" i="1"/>
  <c r="AI52" i="1"/>
  <c r="AG52" i="1"/>
  <c r="AE52" i="1"/>
  <c r="AC52" i="1"/>
  <c r="AA52" i="1"/>
  <c r="Y52" i="1"/>
  <c r="W52" i="1"/>
  <c r="U52" i="1"/>
  <c r="S52" i="1"/>
  <c r="Q52" i="1"/>
  <c r="O52" i="1"/>
  <c r="M52" i="1"/>
  <c r="K52" i="1"/>
  <c r="I52" i="1"/>
  <c r="G52" i="1"/>
  <c r="AM51" i="1"/>
  <c r="AK51" i="1"/>
  <c r="AI51" i="1"/>
  <c r="AG51" i="1"/>
  <c r="AE51" i="1"/>
  <c r="AC51" i="1"/>
  <c r="AA51" i="1"/>
  <c r="Y51" i="1"/>
  <c r="W51" i="1"/>
  <c r="U51" i="1"/>
  <c r="S51" i="1"/>
  <c r="Q51" i="1"/>
  <c r="O51" i="1"/>
  <c r="M51" i="1"/>
  <c r="K51" i="1"/>
  <c r="I51" i="1"/>
  <c r="G51" i="1"/>
  <c r="AM50" i="1"/>
  <c r="AK50" i="1"/>
  <c r="AI50" i="1"/>
  <c r="AG50" i="1"/>
  <c r="AE50" i="1"/>
  <c r="AC50" i="1"/>
  <c r="AA50" i="1"/>
  <c r="Y50" i="1"/>
  <c r="W50" i="1"/>
  <c r="U50" i="1"/>
  <c r="S50" i="1"/>
  <c r="Q50" i="1"/>
  <c r="O50" i="1"/>
  <c r="M50" i="1"/>
  <c r="K50" i="1"/>
  <c r="I50" i="1"/>
  <c r="G50" i="1"/>
  <c r="AM49" i="1"/>
  <c r="AK49" i="1"/>
  <c r="AI49" i="1"/>
  <c r="AG49" i="1"/>
  <c r="AE49" i="1"/>
  <c r="AC49" i="1"/>
  <c r="AA49" i="1"/>
  <c r="Y49" i="1"/>
  <c r="W49" i="1"/>
  <c r="U49" i="1"/>
  <c r="S49" i="1"/>
  <c r="Q49" i="1"/>
  <c r="O49" i="1"/>
  <c r="M49" i="1"/>
  <c r="K49" i="1"/>
  <c r="I49" i="1"/>
  <c r="G49" i="1"/>
  <c r="AM48" i="1"/>
  <c r="AK48" i="1"/>
  <c r="AI48" i="1"/>
  <c r="AG48" i="1"/>
  <c r="AE48" i="1"/>
  <c r="AC48" i="1"/>
  <c r="AA48" i="1"/>
  <c r="Y48" i="1"/>
  <c r="W48" i="1"/>
  <c r="U48" i="1"/>
  <c r="S48" i="1"/>
  <c r="Q48" i="1"/>
  <c r="O48" i="1"/>
  <c r="M48" i="1"/>
  <c r="K48" i="1"/>
  <c r="I48" i="1"/>
  <c r="G48" i="1"/>
  <c r="AM47" i="1"/>
  <c r="AK47" i="1"/>
  <c r="AI47" i="1"/>
  <c r="AG47" i="1"/>
  <c r="AE47" i="1"/>
  <c r="AC47" i="1"/>
  <c r="AA47" i="1"/>
  <c r="Y47" i="1"/>
  <c r="W47" i="1"/>
  <c r="U47" i="1"/>
  <c r="S47" i="1"/>
  <c r="Q47" i="1"/>
  <c r="O47" i="1"/>
  <c r="M47" i="1"/>
  <c r="K47" i="1"/>
  <c r="I47" i="1"/>
  <c r="G47" i="1"/>
  <c r="AM46" i="1"/>
  <c r="AK46" i="1"/>
  <c r="AI46" i="1"/>
  <c r="AG46" i="1"/>
  <c r="AE46" i="1"/>
  <c r="AC46" i="1"/>
  <c r="AA46" i="1"/>
  <c r="Y46" i="1"/>
  <c r="W46" i="1"/>
  <c r="U46" i="1"/>
  <c r="S46" i="1"/>
  <c r="Q46" i="1"/>
  <c r="O46" i="1"/>
  <c r="M46" i="1"/>
  <c r="K46" i="1"/>
  <c r="I46" i="1"/>
  <c r="G46" i="1"/>
  <c r="AM45" i="1"/>
  <c r="AK45" i="1"/>
  <c r="AI45" i="1"/>
  <c r="AG45" i="1"/>
  <c r="AE45" i="1"/>
  <c r="AC45" i="1"/>
  <c r="AA45" i="1"/>
  <c r="Y45" i="1"/>
  <c r="W45" i="1"/>
  <c r="U45" i="1"/>
  <c r="S45" i="1"/>
  <c r="Q45" i="1"/>
  <c r="O45" i="1"/>
  <c r="M45" i="1"/>
  <c r="K45" i="1"/>
  <c r="I45" i="1"/>
  <c r="G45" i="1"/>
  <c r="AM44" i="1"/>
  <c r="AK44" i="1"/>
  <c r="AI44" i="1"/>
  <c r="AG44" i="1"/>
  <c r="AE44" i="1"/>
  <c r="AC44" i="1"/>
  <c r="AA44" i="1"/>
  <c r="Y44" i="1"/>
  <c r="W44" i="1"/>
  <c r="U44" i="1"/>
  <c r="S44" i="1"/>
  <c r="Q44" i="1"/>
  <c r="O44" i="1"/>
  <c r="M44" i="1"/>
  <c r="K44" i="1"/>
  <c r="I44" i="1"/>
  <c r="G44" i="1"/>
  <c r="AM43" i="1"/>
  <c r="AK43" i="1"/>
  <c r="AI43" i="1"/>
  <c r="AG43" i="1"/>
  <c r="AE43" i="1"/>
  <c r="AC43" i="1"/>
  <c r="AA43" i="1"/>
  <c r="Y43" i="1"/>
  <c r="W43" i="1"/>
  <c r="U43" i="1"/>
  <c r="S43" i="1"/>
  <c r="Q43" i="1"/>
  <c r="O43" i="1"/>
  <c r="M43" i="1"/>
  <c r="K43" i="1"/>
  <c r="I43" i="1"/>
  <c r="G43" i="1"/>
  <c r="AM42" i="1"/>
  <c r="AK42" i="1"/>
  <c r="AI42" i="1"/>
  <c r="AG42" i="1"/>
  <c r="AE42" i="1"/>
  <c r="AC42" i="1"/>
  <c r="AA42" i="1"/>
  <c r="Y42" i="1"/>
  <c r="W42" i="1"/>
  <c r="U42" i="1"/>
  <c r="S42" i="1"/>
  <c r="Q42" i="1"/>
  <c r="O42" i="1"/>
  <c r="M42" i="1"/>
  <c r="K42" i="1"/>
  <c r="I42" i="1"/>
  <c r="G42" i="1"/>
  <c r="AM41" i="1"/>
  <c r="AK41" i="1"/>
  <c r="AI41" i="1"/>
  <c r="AG41" i="1"/>
  <c r="AE41" i="1"/>
  <c r="AC41" i="1"/>
  <c r="AA41" i="1"/>
  <c r="Y41" i="1"/>
  <c r="W41" i="1"/>
  <c r="U41" i="1"/>
  <c r="S41" i="1"/>
  <c r="Q41" i="1"/>
  <c r="O41" i="1"/>
  <c r="M41" i="1"/>
  <c r="K41" i="1"/>
  <c r="I41" i="1"/>
  <c r="G41" i="1"/>
  <c r="AM40" i="1"/>
  <c r="AK40" i="1"/>
  <c r="AI40" i="1"/>
  <c r="AG40" i="1"/>
  <c r="AE40" i="1"/>
  <c r="AC40" i="1"/>
  <c r="AA40" i="1"/>
  <c r="Y40" i="1"/>
  <c r="W40" i="1"/>
  <c r="U40" i="1"/>
  <c r="S40" i="1"/>
  <c r="Q40" i="1"/>
  <c r="O40" i="1"/>
  <c r="M40" i="1"/>
  <c r="K40" i="1"/>
  <c r="I40" i="1"/>
  <c r="G40" i="1"/>
  <c r="AM39" i="1"/>
  <c r="AK39" i="1"/>
  <c r="AI39" i="1"/>
  <c r="AG39" i="1"/>
  <c r="AE39" i="1"/>
  <c r="AC39" i="1"/>
  <c r="AA39" i="1"/>
  <c r="Y39" i="1"/>
  <c r="W39" i="1"/>
  <c r="U39" i="1"/>
  <c r="S39" i="1"/>
  <c r="Q39" i="1"/>
  <c r="O39" i="1"/>
  <c r="M39" i="1"/>
  <c r="K39" i="1"/>
  <c r="I39" i="1"/>
  <c r="G39" i="1"/>
  <c r="AM38" i="1"/>
  <c r="AK38" i="1"/>
  <c r="AI38" i="1"/>
  <c r="AG38" i="1"/>
  <c r="AE38" i="1"/>
  <c r="AC38" i="1"/>
  <c r="AA38" i="1"/>
  <c r="Y38" i="1"/>
  <c r="W38" i="1"/>
  <c r="U38" i="1"/>
  <c r="S38" i="1"/>
  <c r="Q38" i="1"/>
  <c r="O38" i="1"/>
  <c r="M38" i="1"/>
  <c r="K38" i="1"/>
  <c r="I38" i="1"/>
  <c r="G38" i="1"/>
  <c r="AM37" i="1"/>
  <c r="AK37" i="1"/>
  <c r="AI37" i="1"/>
  <c r="AG37" i="1"/>
  <c r="AE37" i="1"/>
  <c r="AC37" i="1"/>
  <c r="AA37" i="1"/>
  <c r="Y37" i="1"/>
  <c r="W37" i="1"/>
  <c r="U37" i="1"/>
  <c r="S37" i="1"/>
  <c r="Q37" i="1"/>
  <c r="O37" i="1"/>
  <c r="M37" i="1"/>
  <c r="K37" i="1"/>
  <c r="I37" i="1"/>
  <c r="G37" i="1"/>
  <c r="AM36" i="1"/>
  <c r="AK36" i="1"/>
  <c r="AI36" i="1"/>
  <c r="AG36" i="1"/>
  <c r="AE36" i="1"/>
  <c r="AC36" i="1"/>
  <c r="AA36" i="1"/>
  <c r="Y36" i="1"/>
  <c r="W36" i="1"/>
  <c r="U36" i="1"/>
  <c r="S36" i="1"/>
  <c r="Q36" i="1"/>
  <c r="O36" i="1"/>
  <c r="M36" i="1"/>
  <c r="K36" i="1"/>
  <c r="I36" i="1"/>
  <c r="G36" i="1"/>
  <c r="AM35" i="1"/>
  <c r="AK35" i="1"/>
  <c r="AI35" i="1"/>
  <c r="AG35" i="1"/>
  <c r="AE35" i="1"/>
  <c r="AC35" i="1"/>
  <c r="AA35" i="1"/>
  <c r="Y35" i="1"/>
  <c r="W35" i="1"/>
  <c r="U35" i="1"/>
  <c r="S35" i="1"/>
  <c r="Q35" i="1"/>
  <c r="O35" i="1"/>
  <c r="M35" i="1"/>
  <c r="K35" i="1"/>
  <c r="I35" i="1"/>
  <c r="G35" i="1"/>
  <c r="AM34" i="1"/>
  <c r="AK34" i="1"/>
  <c r="AI34" i="1"/>
  <c r="AG34" i="1"/>
  <c r="AE34" i="1"/>
  <c r="AC34" i="1"/>
  <c r="AA34" i="1"/>
  <c r="Y34" i="1"/>
  <c r="W34" i="1"/>
  <c r="U34" i="1"/>
  <c r="S34" i="1"/>
  <c r="Q34" i="1"/>
  <c r="O34" i="1"/>
  <c r="M34" i="1"/>
  <c r="K34" i="1"/>
  <c r="I34" i="1"/>
  <c r="G34" i="1"/>
  <c r="AM33" i="1"/>
  <c r="AK33" i="1"/>
  <c r="AI33" i="1"/>
  <c r="AG33" i="1"/>
  <c r="AE33" i="1"/>
  <c r="AC33" i="1"/>
  <c r="AA33" i="1"/>
  <c r="Y33" i="1"/>
  <c r="W33" i="1"/>
  <c r="U33" i="1"/>
  <c r="S33" i="1"/>
  <c r="Q33" i="1"/>
  <c r="O33" i="1"/>
  <c r="M33" i="1"/>
  <c r="K33" i="1"/>
  <c r="I33" i="1"/>
  <c r="G33" i="1"/>
  <c r="AM32" i="1"/>
  <c r="AK32" i="1"/>
  <c r="AI32" i="1"/>
  <c r="AG32" i="1"/>
  <c r="AE32" i="1"/>
  <c r="AC32" i="1"/>
  <c r="AA32" i="1"/>
  <c r="Y32" i="1"/>
  <c r="W32" i="1"/>
  <c r="U32" i="1"/>
  <c r="S32" i="1"/>
  <c r="Q32" i="1"/>
  <c r="O32" i="1"/>
  <c r="M32" i="1"/>
  <c r="K32" i="1"/>
  <c r="I32" i="1"/>
  <c r="G32" i="1"/>
  <c r="AM31" i="1"/>
  <c r="AK31" i="1"/>
  <c r="AI31" i="1"/>
  <c r="AG31" i="1"/>
  <c r="AE31" i="1"/>
  <c r="AC31" i="1"/>
  <c r="AA31" i="1"/>
  <c r="Y31" i="1"/>
  <c r="W31" i="1"/>
  <c r="U31" i="1"/>
  <c r="S31" i="1"/>
  <c r="Q31" i="1"/>
  <c r="O31" i="1"/>
  <c r="M31" i="1"/>
  <c r="K31" i="1"/>
  <c r="I31" i="1"/>
  <c r="G31" i="1"/>
  <c r="AM30" i="1"/>
  <c r="AK30" i="1"/>
  <c r="AI30" i="1"/>
  <c r="AG30" i="1"/>
  <c r="AE30" i="1"/>
  <c r="AC30" i="1"/>
  <c r="AA30" i="1"/>
  <c r="Y30" i="1"/>
  <c r="W30" i="1"/>
  <c r="U30" i="1"/>
  <c r="S30" i="1"/>
  <c r="Q30" i="1"/>
  <c r="O30" i="1"/>
  <c r="M30" i="1"/>
  <c r="K30" i="1"/>
  <c r="I30" i="1"/>
  <c r="G30" i="1"/>
  <c r="AM29" i="1"/>
  <c r="AK29" i="1"/>
  <c r="AI29" i="1"/>
  <c r="AG29" i="1"/>
  <c r="AE29" i="1"/>
  <c r="AC29" i="1"/>
  <c r="AA29" i="1"/>
  <c r="Y29" i="1"/>
  <c r="W29" i="1"/>
  <c r="U29" i="1"/>
  <c r="S29" i="1"/>
  <c r="Q29" i="1"/>
  <c r="O29" i="1"/>
  <c r="M29" i="1"/>
  <c r="K29" i="1"/>
  <c r="I29" i="1"/>
  <c r="G29" i="1"/>
  <c r="AM28" i="1"/>
  <c r="AK28" i="1"/>
  <c r="AI28" i="1"/>
  <c r="AG28" i="1"/>
  <c r="AE28" i="1"/>
  <c r="AC28" i="1"/>
  <c r="AA28" i="1"/>
  <c r="Y28" i="1"/>
  <c r="W28" i="1"/>
  <c r="U28" i="1"/>
  <c r="S28" i="1"/>
  <c r="Q28" i="1"/>
  <c r="O28" i="1"/>
  <c r="M28" i="1"/>
  <c r="K28" i="1"/>
  <c r="I28" i="1"/>
  <c r="G28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I27" i="1"/>
  <c r="G27" i="1"/>
  <c r="AM26" i="1"/>
  <c r="AK26" i="1"/>
  <c r="AI26" i="1"/>
  <c r="AG26" i="1"/>
  <c r="AE26" i="1"/>
  <c r="AC26" i="1"/>
  <c r="AA26" i="1"/>
  <c r="Y26" i="1"/>
  <c r="W26" i="1"/>
  <c r="U26" i="1"/>
  <c r="S26" i="1"/>
  <c r="Q26" i="1"/>
  <c r="O26" i="1"/>
  <c r="M26" i="1"/>
  <c r="K26" i="1"/>
  <c r="I26" i="1"/>
  <c r="G26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K25" i="1"/>
  <c r="I25" i="1"/>
  <c r="G25" i="1"/>
  <c r="AM24" i="1"/>
  <c r="AK24" i="1"/>
  <c r="AI24" i="1"/>
  <c r="AG24" i="1"/>
  <c r="AE24" i="1"/>
  <c r="AC24" i="1"/>
  <c r="AA24" i="1"/>
  <c r="Y24" i="1"/>
  <c r="W24" i="1"/>
  <c r="U24" i="1"/>
  <c r="S24" i="1"/>
  <c r="Q24" i="1"/>
  <c r="O24" i="1"/>
  <c r="M24" i="1"/>
  <c r="K24" i="1"/>
  <c r="I24" i="1"/>
  <c r="G24" i="1"/>
  <c r="AM23" i="1"/>
  <c r="AK23" i="1"/>
  <c r="AI23" i="1"/>
  <c r="AG23" i="1"/>
  <c r="AE23" i="1"/>
  <c r="AC23" i="1"/>
  <c r="AA23" i="1"/>
  <c r="Y23" i="1"/>
  <c r="W23" i="1"/>
  <c r="U23" i="1"/>
  <c r="S23" i="1"/>
  <c r="Q23" i="1"/>
  <c r="O23" i="1"/>
  <c r="M23" i="1"/>
  <c r="K23" i="1"/>
  <c r="I23" i="1"/>
  <c r="G23" i="1"/>
  <c r="AM22" i="1"/>
  <c r="AK22" i="1"/>
  <c r="AI22" i="1"/>
  <c r="AG22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AM20" i="1"/>
  <c r="AK20" i="1"/>
  <c r="AI20" i="1"/>
  <c r="AG20" i="1"/>
  <c r="AE20" i="1"/>
  <c r="AC20" i="1"/>
  <c r="AA20" i="1"/>
  <c r="Y20" i="1"/>
  <c r="W20" i="1"/>
  <c r="U20" i="1"/>
  <c r="S20" i="1"/>
  <c r="Q20" i="1"/>
  <c r="O20" i="1"/>
  <c r="M20" i="1"/>
  <c r="K20" i="1"/>
  <c r="I20" i="1"/>
  <c r="G20" i="1"/>
  <c r="AM19" i="1"/>
  <c r="AK19" i="1"/>
  <c r="AI19" i="1"/>
  <c r="AG19" i="1"/>
  <c r="AE19" i="1"/>
  <c r="AC19" i="1"/>
  <c r="AA19" i="1"/>
  <c r="Y19" i="1"/>
  <c r="W19" i="1"/>
  <c r="U19" i="1"/>
  <c r="S19" i="1"/>
  <c r="Q19" i="1"/>
  <c r="O19" i="1"/>
  <c r="M19" i="1"/>
  <c r="K19" i="1"/>
  <c r="I19" i="1"/>
  <c r="G19" i="1"/>
  <c r="AM18" i="1"/>
  <c r="AK18" i="1"/>
  <c r="AI18" i="1"/>
  <c r="AG18" i="1"/>
  <c r="AE18" i="1"/>
  <c r="AC18" i="1"/>
  <c r="AA18" i="1"/>
  <c r="Y18" i="1"/>
  <c r="W18" i="1"/>
  <c r="U18" i="1"/>
  <c r="S18" i="1"/>
  <c r="Q18" i="1"/>
  <c r="O18" i="1"/>
  <c r="M18" i="1"/>
  <c r="K18" i="1"/>
  <c r="I18" i="1"/>
  <c r="G18" i="1"/>
  <c r="AM17" i="1"/>
  <c r="AK17" i="1"/>
  <c r="AI17" i="1"/>
  <c r="AG17" i="1"/>
  <c r="AE17" i="1"/>
  <c r="AC17" i="1"/>
  <c r="AA17" i="1"/>
  <c r="Y17" i="1"/>
  <c r="W17" i="1"/>
  <c r="U17" i="1"/>
  <c r="S17" i="1"/>
  <c r="Q17" i="1"/>
  <c r="O17" i="1"/>
  <c r="M17" i="1"/>
  <c r="K17" i="1"/>
  <c r="I17" i="1"/>
  <c r="G17" i="1"/>
  <c r="AM16" i="1"/>
  <c r="AK16" i="1"/>
  <c r="AI16" i="1"/>
  <c r="AG16" i="1"/>
  <c r="AE16" i="1"/>
  <c r="AC16" i="1"/>
  <c r="AA16" i="1"/>
  <c r="Y16" i="1"/>
  <c r="W16" i="1"/>
  <c r="U16" i="1"/>
  <c r="S16" i="1"/>
  <c r="Q16" i="1"/>
  <c r="O16" i="1"/>
  <c r="M16" i="1"/>
  <c r="K16" i="1"/>
  <c r="I16" i="1"/>
  <c r="G16" i="1"/>
  <c r="AM15" i="1"/>
  <c r="AK15" i="1"/>
  <c r="AI15" i="1"/>
  <c r="AG15" i="1"/>
  <c r="AE15" i="1"/>
  <c r="AC15" i="1"/>
  <c r="AA15" i="1"/>
  <c r="Y15" i="1"/>
  <c r="W15" i="1"/>
  <c r="U15" i="1"/>
  <c r="S15" i="1"/>
  <c r="Q15" i="1"/>
  <c r="O15" i="1"/>
  <c r="M15" i="1"/>
  <c r="K15" i="1"/>
  <c r="I15" i="1"/>
  <c r="G15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G14" i="1"/>
  <c r="AM13" i="1"/>
  <c r="AK13" i="1"/>
  <c r="AI13" i="1"/>
  <c r="AG13" i="1"/>
  <c r="AE13" i="1"/>
  <c r="AC13" i="1"/>
  <c r="AA13" i="1"/>
  <c r="Y13" i="1"/>
  <c r="W13" i="1"/>
  <c r="U13" i="1"/>
  <c r="S13" i="1"/>
  <c r="Q13" i="1"/>
  <c r="O13" i="1"/>
  <c r="M13" i="1"/>
  <c r="K13" i="1"/>
  <c r="I13" i="1"/>
  <c r="G13" i="1"/>
  <c r="AM12" i="1"/>
  <c r="AK12" i="1"/>
  <c r="AI12" i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AM11" i="1"/>
  <c r="AK11" i="1"/>
  <c r="AI11" i="1"/>
  <c r="AG11" i="1"/>
  <c r="AE11" i="1"/>
  <c r="AC11" i="1"/>
  <c r="AA11" i="1"/>
  <c r="Y11" i="1"/>
  <c r="W11" i="1"/>
  <c r="U11" i="1"/>
  <c r="S11" i="1"/>
  <c r="Q11" i="1"/>
  <c r="O11" i="1"/>
  <c r="M11" i="1"/>
  <c r="K11" i="1"/>
  <c r="I11" i="1"/>
  <c r="G11" i="1"/>
  <c r="AM10" i="1"/>
  <c r="AK10" i="1"/>
  <c r="AI10" i="1"/>
  <c r="AG10" i="1"/>
  <c r="AE10" i="1"/>
  <c r="AC10" i="1"/>
  <c r="AA10" i="1"/>
  <c r="Y10" i="1"/>
  <c r="W10" i="1"/>
  <c r="U10" i="1"/>
  <c r="S10" i="1"/>
  <c r="Q10" i="1"/>
  <c r="O10" i="1"/>
  <c r="M10" i="1"/>
  <c r="K10" i="1"/>
  <c r="I10" i="1"/>
  <c r="G10" i="1"/>
  <c r="AM9" i="1"/>
  <c r="AK9" i="1"/>
  <c r="AI9" i="1"/>
  <c r="AG9" i="1"/>
  <c r="AE9" i="1"/>
  <c r="AC9" i="1"/>
  <c r="AA9" i="1"/>
  <c r="Y9" i="1"/>
  <c r="W9" i="1"/>
  <c r="U9" i="1"/>
  <c r="S9" i="1"/>
  <c r="Q9" i="1"/>
  <c r="O9" i="1"/>
  <c r="M9" i="1"/>
  <c r="K9" i="1"/>
  <c r="I9" i="1"/>
  <c r="G9" i="1"/>
  <c r="AM8" i="1"/>
  <c r="AK8" i="1"/>
  <c r="AI8" i="1"/>
  <c r="AG8" i="1"/>
  <c r="AE8" i="1"/>
  <c r="AC8" i="1"/>
  <c r="AA8" i="1"/>
  <c r="Y8" i="1"/>
  <c r="W8" i="1"/>
  <c r="U8" i="1"/>
  <c r="S8" i="1"/>
  <c r="Q8" i="1"/>
  <c r="O8" i="1"/>
  <c r="M8" i="1"/>
  <c r="K8" i="1"/>
  <c r="I8" i="1"/>
  <c r="G8" i="1"/>
  <c r="AM7" i="1"/>
  <c r="AK7" i="1"/>
  <c r="AI7" i="1"/>
  <c r="AG7" i="1"/>
  <c r="AE7" i="1"/>
  <c r="AC7" i="1"/>
  <c r="AA7" i="1"/>
  <c r="Y7" i="1"/>
  <c r="W7" i="1"/>
  <c r="U7" i="1"/>
  <c r="S7" i="1"/>
  <c r="Q7" i="1"/>
  <c r="O7" i="1"/>
  <c r="M7" i="1"/>
  <c r="K7" i="1"/>
  <c r="I7" i="1"/>
  <c r="G7" i="1"/>
  <c r="AM6" i="1"/>
  <c r="AK6" i="1"/>
  <c r="AI6" i="1"/>
  <c r="AG6" i="1"/>
  <c r="AE6" i="1"/>
  <c r="AC6" i="1"/>
  <c r="AA6" i="1"/>
  <c r="Y6" i="1"/>
  <c r="W6" i="1"/>
  <c r="U6" i="1"/>
  <c r="S6" i="1"/>
  <c r="Q6" i="1"/>
  <c r="O6" i="1"/>
  <c r="M6" i="1"/>
  <c r="K6" i="1"/>
  <c r="I6" i="1"/>
  <c r="G6" i="1"/>
  <c r="AM5" i="1"/>
  <c r="AK5" i="1"/>
  <c r="AI5" i="1"/>
  <c r="AG5" i="1"/>
  <c r="AE5" i="1"/>
  <c r="AE563" i="1" s="1"/>
  <c r="AC5" i="1"/>
  <c r="AA5" i="1"/>
  <c r="AA563" i="1" s="1"/>
  <c r="Y5" i="1"/>
  <c r="W5" i="1"/>
  <c r="W563" i="1" s="1"/>
  <c r="U5" i="1"/>
  <c r="S5" i="1"/>
  <c r="S563" i="1" s="1"/>
  <c r="Q5" i="1"/>
  <c r="O5" i="1"/>
  <c r="O563" i="1" s="1"/>
  <c r="M5" i="1"/>
  <c r="K5" i="1"/>
  <c r="K563" i="1" s="1"/>
  <c r="I5" i="1"/>
  <c r="G5" i="1"/>
  <c r="G563" i="1" s="1"/>
  <c r="AM5" i="2" l="1"/>
  <c r="E376" i="2"/>
  <c r="I376" i="2"/>
  <c r="M376" i="2"/>
  <c r="Q376" i="2"/>
  <c r="U376" i="2"/>
  <c r="Y376" i="2"/>
  <c r="AC376" i="2"/>
  <c r="AG376" i="2"/>
  <c r="AK376" i="2"/>
  <c r="AO5" i="1"/>
  <c r="AI563" i="1"/>
  <c r="I563" i="1"/>
  <c r="M563" i="1"/>
  <c r="Q563" i="1"/>
  <c r="U563" i="1"/>
  <c r="Y563" i="1"/>
  <c r="AC563" i="1"/>
  <c r="AG563" i="1"/>
  <c r="AK563" i="1"/>
  <c r="AM396" i="1"/>
  <c r="AM563" i="1" s="1"/>
  <c r="AM376" i="2" l="1"/>
</calcChain>
</file>

<file path=xl/sharedStrings.xml><?xml version="1.0" encoding="utf-8"?>
<sst xmlns="http://schemas.openxmlformats.org/spreadsheetml/2006/main" count="2007" uniqueCount="1551">
  <si>
    <t>ลำดับ</t>
  </si>
  <si>
    <t>ชื่อ-สกุล</t>
  </si>
  <si>
    <t>เลขทะเบียน</t>
  </si>
  <si>
    <t>กลุ่ม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</si>
  <si>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</si>
  <si>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</si>
  <si>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</si>
  <si>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</si>
  <si>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</si>
  <si>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</si>
  <si>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</si>
  <si>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</si>
  <si>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 xml:space="preserve">ต.ค. </t>
  </si>
  <si>
    <t>ต.ค.</t>
  </si>
  <si>
    <t>พ.ย.</t>
  </si>
  <si>
    <t>ธ.ค</t>
  </si>
  <si>
    <t>ธ.ค.</t>
  </si>
  <si>
    <t>รวม</t>
  </si>
  <si>
    <t>วันที่ 14</t>
  </si>
  <si>
    <t>วันที่ 5</t>
  </si>
  <si>
    <t>วันที่ 27</t>
  </si>
  <si>
    <t>วันที่ 24</t>
  </si>
  <si>
    <t>วันที่ 15</t>
  </si>
  <si>
    <t>วันที่ 20</t>
  </si>
  <si>
    <t>วันที่ 10</t>
  </si>
  <si>
    <t>วันที่ 31</t>
  </si>
  <si>
    <t>วันที่ 22</t>
  </si>
  <si>
    <t>วันที่ 1</t>
  </si>
  <si>
    <t>วันที่ 17</t>
  </si>
  <si>
    <t>วันที่ 19</t>
  </si>
  <si>
    <t>วันที่ 2</t>
  </si>
  <si>
    <t>น้ำหนัก</t>
  </si>
  <si>
    <t>จำนวนเงิน</t>
  </si>
  <si>
    <t>ก.ก.</t>
  </si>
  <si>
    <t>(กก.)</t>
  </si>
  <si>
    <t>(บาท)</t>
  </si>
  <si>
    <t>นางประนอม</t>
  </si>
  <si>
    <t>ไชยบุรี</t>
  </si>
  <si>
    <t>นายไพโรจน์</t>
  </si>
  <si>
    <t>ปัญญา</t>
  </si>
  <si>
    <t>นายสมปอง</t>
  </si>
  <si>
    <t>สมุหศิลป์</t>
  </si>
  <si>
    <t>นายดา</t>
  </si>
  <si>
    <t>ไพเราะ</t>
  </si>
  <si>
    <t>นางชมชนก</t>
  </si>
  <si>
    <t>ย้ำสันเทียะ</t>
  </si>
  <si>
    <t>นายเชาวลิต</t>
  </si>
  <si>
    <t>ผิวผา</t>
  </si>
  <si>
    <t>นายทวี</t>
  </si>
  <si>
    <t>เขตนิมิตร</t>
  </si>
  <si>
    <t>นายลุน</t>
  </si>
  <si>
    <t>อินทร์ชำนาญ</t>
  </si>
  <si>
    <t>นางสุววณ</t>
  </si>
  <si>
    <t>เชื้อสามารถ</t>
  </si>
  <si>
    <t xml:space="preserve">นางชม </t>
  </si>
  <si>
    <t>แคะสูงเนิน</t>
  </si>
  <si>
    <t>นางกองสิน</t>
  </si>
  <si>
    <t>นายก้อม</t>
  </si>
  <si>
    <t>เหิมทะยาน</t>
  </si>
  <si>
    <t>นายขจร</t>
  </si>
  <si>
    <t>หินโคกกรวด</t>
  </si>
  <si>
    <t>นางสมหวัง</t>
  </si>
  <si>
    <t>สอนสะอาด</t>
  </si>
  <si>
    <t>นางเกษา</t>
  </si>
  <si>
    <t>ขวัญติด</t>
  </si>
  <si>
    <t xml:space="preserve">นางเกษร </t>
  </si>
  <si>
    <t>ข้อยุ่น</t>
  </si>
  <si>
    <t>นางสายทอง</t>
  </si>
  <si>
    <t>สุวรรณธาดา</t>
  </si>
  <si>
    <t>นางละมุด</t>
  </si>
  <si>
    <t>นางเตือนใจ</t>
  </si>
  <si>
    <t>ลาภไพศาล</t>
  </si>
  <si>
    <t>นางพิมพณาลักษณ์</t>
  </si>
  <si>
    <t>ขวัญพรม</t>
  </si>
  <si>
    <t>นายประยูร</t>
  </si>
  <si>
    <t>ปลื้มใจ</t>
  </si>
  <si>
    <t>นางถาวร</t>
  </si>
  <si>
    <t>นางสุดใจ</t>
  </si>
  <si>
    <t>ภู่น้อย</t>
  </si>
  <si>
    <t>นางวาสนา</t>
  </si>
  <si>
    <t>ดอนไพร</t>
  </si>
  <si>
    <t>นางหนูเขี้ยม</t>
  </si>
  <si>
    <t>ประจง</t>
  </si>
  <si>
    <t>นายชวลิต</t>
  </si>
  <si>
    <t>ตาปู่</t>
  </si>
  <si>
    <t>นางลัดดาวัลย์</t>
  </si>
  <si>
    <t>ชาติทหาร</t>
  </si>
  <si>
    <t>นางสมจิตร</t>
  </si>
  <si>
    <t>เจริญบุญ</t>
  </si>
  <si>
    <t>นางลำยวง</t>
  </si>
  <si>
    <t>เชิดนอก</t>
  </si>
  <si>
    <t>นายดวงฤทัย</t>
  </si>
  <si>
    <t>อ่อนละออ</t>
  </si>
  <si>
    <t>นายอภิชาติ</t>
  </si>
  <si>
    <t>อรรถประจง</t>
  </si>
  <si>
    <t>นางจงใจ</t>
  </si>
  <si>
    <t>อินชู</t>
  </si>
  <si>
    <t>นางคำพัน</t>
  </si>
  <si>
    <t>นางสะอาด</t>
  </si>
  <si>
    <t>คำกอง</t>
  </si>
  <si>
    <t>นายพรศักดิ์</t>
  </si>
  <si>
    <t>เจริญศิริ</t>
  </si>
  <si>
    <t>นางละออ</t>
  </si>
  <si>
    <t>พลสงคราม</t>
  </si>
  <si>
    <t>นางนงลักษณ์</t>
  </si>
  <si>
    <t>นายสิทธิพงษ์</t>
  </si>
  <si>
    <t>นายวันชัย</t>
  </si>
  <si>
    <t>ชัยบุรัมย์</t>
  </si>
  <si>
    <t>นางสังเวียน</t>
  </si>
  <si>
    <t>เพ็งทองดี</t>
  </si>
  <si>
    <t>นายสมคิด</t>
  </si>
  <si>
    <t>พึ่งเทศ</t>
  </si>
  <si>
    <t>นางบุญยง</t>
  </si>
  <si>
    <t>เม้ามูลเฮ</t>
  </si>
  <si>
    <t>นางวิรุธ</t>
  </si>
  <si>
    <t>นายบุญเลิศ</t>
  </si>
  <si>
    <t>สายเมฆ</t>
  </si>
  <si>
    <t>นางสาวบุญถม</t>
  </si>
  <si>
    <t>นายวิญนา</t>
  </si>
  <si>
    <t xml:space="preserve">นางศศิธร  </t>
  </si>
  <si>
    <t>นางอ่อนสา</t>
  </si>
  <si>
    <t>นางสาวอาด</t>
  </si>
  <si>
    <t>ศรีอุ่น</t>
  </si>
  <si>
    <t>นางสมพอด</t>
  </si>
  <si>
    <t>นายสมเพียร</t>
  </si>
  <si>
    <t>สิงห์บรรณดิษฐ์</t>
  </si>
  <si>
    <t>นางสาววาสนา</t>
  </si>
  <si>
    <t>นางสมาน</t>
  </si>
  <si>
    <t>นางรุจาภา</t>
  </si>
  <si>
    <t>นายสำลาด</t>
  </si>
  <si>
    <t>ยศสุพรม</t>
  </si>
  <si>
    <t>นางสุพร</t>
  </si>
  <si>
    <t>พวงสำเภา</t>
  </si>
  <si>
    <t>นางน้ำเพชร</t>
  </si>
  <si>
    <t>ปานจำรูญ</t>
  </si>
  <si>
    <t>นางปานรดา</t>
  </si>
  <si>
    <t>โกนพิมาย</t>
  </si>
  <si>
    <t>นางสุวิมล</t>
  </si>
  <si>
    <t>นางสาวพรพรรณ</t>
  </si>
  <si>
    <t>นางสาวจิตจุฬา</t>
  </si>
  <si>
    <t>นพสิทธิ์</t>
  </si>
  <si>
    <t>นางสาวศิรินภา</t>
  </si>
  <si>
    <t>ปาสานำ</t>
  </si>
  <si>
    <t>นายภัทราวุธ</t>
  </si>
  <si>
    <t>เรืองเจริญ</t>
  </si>
  <si>
    <t>นางสุภี</t>
  </si>
  <si>
    <t>ยุทธยง</t>
  </si>
  <si>
    <t>นายหัสธชัย</t>
  </si>
  <si>
    <t>นายพงษพัฒน์</t>
  </si>
  <si>
    <t>นายสุธิชัย</t>
  </si>
  <si>
    <t>นางมยุรี</t>
  </si>
  <si>
    <t>น้อยช่อ</t>
  </si>
  <si>
    <t>นายบุญเรือง</t>
  </si>
  <si>
    <t>ทองแถว</t>
  </si>
  <si>
    <t>นายประมาณ</t>
  </si>
  <si>
    <t>ทองตะคุ</t>
  </si>
  <si>
    <t>นางบัวทอง</t>
  </si>
  <si>
    <t>เวียงสมุทร</t>
  </si>
  <si>
    <t>นางสาวรัตน์</t>
  </si>
  <si>
    <t>พรมบริบุตร</t>
  </si>
  <si>
    <t>นางทองอวย</t>
  </si>
  <si>
    <t>พรมมินทร์</t>
  </si>
  <si>
    <t>นางแก้วกาญจน์</t>
  </si>
  <si>
    <t>เหงขุนทด</t>
  </si>
  <si>
    <t>ทำทอง</t>
  </si>
  <si>
    <t>นางปางทอง</t>
  </si>
  <si>
    <t>นางอริสา</t>
  </si>
  <si>
    <t>พลดงนอก</t>
  </si>
  <si>
    <t>นายประวิทย์</t>
  </si>
  <si>
    <t>ไวสันเทียะ</t>
  </si>
  <si>
    <t>นายประสงค์</t>
  </si>
  <si>
    <t>แสงโสดา</t>
  </si>
  <si>
    <t>นางนิยม</t>
  </si>
  <si>
    <t>จันทร์คำวงษ์</t>
  </si>
  <si>
    <t>นางพลอย</t>
  </si>
  <si>
    <t>ปันดา</t>
  </si>
  <si>
    <t>นางสาวปราณี</t>
  </si>
  <si>
    <t>แซ่อือ</t>
  </si>
  <si>
    <t>นางอรุณ</t>
  </si>
  <si>
    <t>วิไล</t>
  </si>
  <si>
    <t>นายสมหมาย</t>
  </si>
  <si>
    <t>บุญศรัทธา</t>
  </si>
  <si>
    <t>นายนิรันดร์</t>
  </si>
  <si>
    <t>ประทุมมา</t>
  </si>
  <si>
    <t>นางสำ</t>
  </si>
  <si>
    <t>เพียชิน</t>
  </si>
  <si>
    <t>นายธราวัฒน์</t>
  </si>
  <si>
    <t>แสนโชติรวี</t>
  </si>
  <si>
    <t>นายอภิสิทธิ์</t>
  </si>
  <si>
    <t>บุสดีวรรณ</t>
  </si>
  <si>
    <t>นางรุ่งนภา</t>
  </si>
  <si>
    <t>ตักเตือน</t>
  </si>
  <si>
    <t>นางคำนาง</t>
  </si>
  <si>
    <t>บุญที</t>
  </si>
  <si>
    <t>นายนรา</t>
  </si>
  <si>
    <t>เหมพรมมา</t>
  </si>
  <si>
    <t>นายสำรอน</t>
  </si>
  <si>
    <t>ชุมสุข</t>
  </si>
  <si>
    <t>นายเดช</t>
  </si>
  <si>
    <t>ทาเวียง</t>
  </si>
  <si>
    <t>นางมาลี</t>
  </si>
  <si>
    <t>แพงแซง</t>
  </si>
  <si>
    <t>นางสาวสำรวย</t>
  </si>
  <si>
    <t>ทรหัน</t>
  </si>
  <si>
    <t>นายเสงี่ยม</t>
  </si>
  <si>
    <t>วงคต</t>
  </si>
  <si>
    <t>นายเครื่อง</t>
  </si>
  <si>
    <t>เหลาทอน</t>
  </si>
  <si>
    <t>นางคำเพียร</t>
  </si>
  <si>
    <t>เจริญพงศ์</t>
  </si>
  <si>
    <t>นายภานุวัฒน์</t>
  </si>
  <si>
    <t>นายประดิษฐ</t>
  </si>
  <si>
    <t>แก้วพรม</t>
  </si>
  <si>
    <t>นางบุญกาด</t>
  </si>
  <si>
    <t>ขำชาลี</t>
  </si>
  <si>
    <t>นายหวาน</t>
  </si>
  <si>
    <t>ทำเกวียน</t>
  </si>
  <si>
    <t>นางอุไร</t>
  </si>
  <si>
    <t>ต่ออำนาจ</t>
  </si>
  <si>
    <t>นายนายก</t>
  </si>
  <si>
    <t>กองจันทร์</t>
  </si>
  <si>
    <t>นายแสงไฟ</t>
  </si>
  <si>
    <t>จันที</t>
  </si>
  <si>
    <t>นายสมร</t>
  </si>
  <si>
    <t>พรมเอี่ยม</t>
  </si>
  <si>
    <t>นางคำพลอย</t>
  </si>
  <si>
    <t>หนูหล่า</t>
  </si>
  <si>
    <t>นายสมัย</t>
  </si>
  <si>
    <t>สิงทัน</t>
  </si>
  <si>
    <t>นางหนูรัตน์</t>
  </si>
  <si>
    <t>สุขพิทักษ์</t>
  </si>
  <si>
    <t>นางเพ็ญ</t>
  </si>
  <si>
    <t>แพลนสัมฤทธิ์</t>
  </si>
  <si>
    <t>นางประมวล</t>
  </si>
  <si>
    <t>ตรงประสิทธิ์</t>
  </si>
  <si>
    <t>นางหนูเนียม</t>
  </si>
  <si>
    <t>แก้วก่อง</t>
  </si>
  <si>
    <t>นางมี</t>
  </si>
  <si>
    <t>กาลบรรจง</t>
  </si>
  <si>
    <t>นางสุภาที</t>
  </si>
  <si>
    <t>แสงภักดี</t>
  </si>
  <si>
    <t>ชายทวีป</t>
  </si>
  <si>
    <t>นางศรีละออง</t>
  </si>
  <si>
    <t>นางหนูแดง</t>
  </si>
  <si>
    <t>โนนแดง</t>
  </si>
  <si>
    <t>นางบรรจง</t>
  </si>
  <si>
    <t>อ่อนอภัย</t>
  </si>
  <si>
    <t>นางละออง</t>
  </si>
  <si>
    <t>นางสุจิตรา</t>
  </si>
  <si>
    <t>แพรี่</t>
  </si>
  <si>
    <t>นางวิไล</t>
  </si>
  <si>
    <t>ลิ้มสวัสดิ์</t>
  </si>
  <si>
    <t>นางเกศรทอง</t>
  </si>
  <si>
    <t>เปคอนสาร</t>
  </si>
  <si>
    <t>นางปริสุณา</t>
  </si>
  <si>
    <t>ปลื้มวงษ์</t>
  </si>
  <si>
    <t>นางอนงค์</t>
  </si>
  <si>
    <t>โยธาสุภาพ</t>
  </si>
  <si>
    <t>นางลำม้วย</t>
  </si>
  <si>
    <t>ชัยวิระ</t>
  </si>
  <si>
    <t xml:space="preserve">นางบังอร  </t>
  </si>
  <si>
    <t>ศรนะลา</t>
  </si>
  <si>
    <t>นายอนุสรณ์</t>
  </si>
  <si>
    <t>ศรีเมือง</t>
  </si>
  <si>
    <t>นายบุญเชิญ</t>
  </si>
  <si>
    <t>ฟักอุดม</t>
  </si>
  <si>
    <t>นางสาวกชพร</t>
  </si>
  <si>
    <t>นางไพรวัลย์</t>
  </si>
  <si>
    <t>ทองแป้น</t>
  </si>
  <si>
    <t>นางบุญช่วย</t>
  </si>
  <si>
    <t>เชื่อศิริ</t>
  </si>
  <si>
    <t>นางสาวอดิภา</t>
  </si>
  <si>
    <t xml:space="preserve"> โพธิ์นา</t>
  </si>
  <si>
    <t>นางสาวจิระนันท์</t>
  </si>
  <si>
    <t>ภูรัตน์ด่าน</t>
  </si>
  <si>
    <t>นายวุฒิชัย</t>
  </si>
  <si>
    <t>คำเต็ม</t>
  </si>
  <si>
    <t>นางสองเมือง</t>
  </si>
  <si>
    <t>นางสาววิภารัศมิ์</t>
  </si>
  <si>
    <t>ชาติพหล</t>
  </si>
  <si>
    <t>นางสาวเกร่ง</t>
  </si>
  <si>
    <t>สร้อยกระโทก</t>
  </si>
  <si>
    <t>น.ส.ผุสดี</t>
  </si>
  <si>
    <t>จำรัสวงศ์</t>
  </si>
  <si>
    <t>นายพันธวิศ</t>
  </si>
  <si>
    <t>กว้างนอก</t>
  </si>
  <si>
    <t>นายพสิษฐ์</t>
  </si>
  <si>
    <t>ต้นภูเขียว</t>
  </si>
  <si>
    <t>นายไตรภพ</t>
  </si>
  <si>
    <t>ยศจำรัส</t>
  </si>
  <si>
    <t>นายผจญ</t>
  </si>
  <si>
    <t>ก้งซุย</t>
  </si>
  <si>
    <t>นายสุนันท์</t>
  </si>
  <si>
    <t>นายนาวิน</t>
  </si>
  <si>
    <t>กันโส</t>
  </si>
  <si>
    <t>นายอาภรณ์</t>
  </si>
  <si>
    <t>ดวงตาปา</t>
  </si>
  <si>
    <t>นายปัญญา</t>
  </si>
  <si>
    <t>กระแสฉิมพลี</t>
  </si>
  <si>
    <t>นางยุภา</t>
  </si>
  <si>
    <t>ลิมอ่อน</t>
  </si>
  <si>
    <t>นางสวัสดิ์</t>
  </si>
  <si>
    <t>ศิริโยธา</t>
  </si>
  <si>
    <t>นางโพธิ์ศรี</t>
  </si>
  <si>
    <t>บุญหล้า</t>
  </si>
  <si>
    <t>กิ่งคำ</t>
  </si>
  <si>
    <t>นางแก่น</t>
  </si>
  <si>
    <t>แซ่ลิ้ม</t>
  </si>
  <si>
    <t>นางน้ำเงิน</t>
  </si>
  <si>
    <t>ดาเลิศ</t>
  </si>
  <si>
    <t>นางประสพ</t>
  </si>
  <si>
    <t>พระศรี</t>
  </si>
  <si>
    <t>นางพรพิษ</t>
  </si>
  <si>
    <t>หมวดทองหลาง</t>
  </si>
  <si>
    <t>นางละอองดาว</t>
  </si>
  <si>
    <t>แก้วโก่ย</t>
  </si>
  <si>
    <t>นางทองตัน</t>
  </si>
  <si>
    <t>เกตุสูงเนิน</t>
  </si>
  <si>
    <t>แย้มอดุลย์</t>
  </si>
  <si>
    <t>นางปอน</t>
  </si>
  <si>
    <t>เจริญ</t>
  </si>
  <si>
    <t>นางสมพงษ์</t>
  </si>
  <si>
    <t>ชินทวัน</t>
  </si>
  <si>
    <t>นางผาเนียง</t>
  </si>
  <si>
    <t>สีดาทวด</t>
  </si>
  <si>
    <t>นางวิมล</t>
  </si>
  <si>
    <t>จงรัตน์กลาง</t>
  </si>
  <si>
    <t>นางมะลิวรรณ</t>
  </si>
  <si>
    <t>โชคเจริญ</t>
  </si>
  <si>
    <t>นายสำราญ</t>
  </si>
  <si>
    <t>บุญโสภิญ</t>
  </si>
  <si>
    <t>นายสมยง</t>
  </si>
  <si>
    <t>ริ่งไธสงค์</t>
  </si>
  <si>
    <t>นางจุฬารัตน์</t>
  </si>
  <si>
    <t>ศิลาสูงเนิน</t>
  </si>
  <si>
    <t>นายวิโรจน์</t>
  </si>
  <si>
    <t>คำมะปะนา</t>
  </si>
  <si>
    <t>นายอนุชา</t>
  </si>
  <si>
    <t>ขาวภูเขียว</t>
  </si>
  <si>
    <t>นางจ่อย</t>
  </si>
  <si>
    <t>นายปัญวัฒน์</t>
  </si>
  <si>
    <t>บุดดีเคน</t>
  </si>
  <si>
    <t xml:space="preserve">นายสำราญ  </t>
  </si>
  <si>
    <t>หาญทองหลาง</t>
  </si>
  <si>
    <t>นางสาวธิวา</t>
  </si>
  <si>
    <t>นางหอมหวญ</t>
  </si>
  <si>
    <t>ทิพย์พรักษ์</t>
  </si>
  <si>
    <t>นายสำเนียง</t>
  </si>
  <si>
    <t>นางสาวกรรณิการ์</t>
  </si>
  <si>
    <t>พานิกร</t>
  </si>
  <si>
    <t>นายสุริยะ</t>
  </si>
  <si>
    <t>โซ่เมืองแซะ</t>
  </si>
  <si>
    <t>นางปวีณา</t>
  </si>
  <si>
    <t>บุตรดาราช</t>
  </si>
  <si>
    <t>นายสิทธิศักดิ์</t>
  </si>
  <si>
    <t>บุญภิญโญ</t>
  </si>
  <si>
    <t>นายดวน</t>
  </si>
  <si>
    <t>เซียมเวียง</t>
  </si>
  <si>
    <t>นางหลง</t>
  </si>
  <si>
    <t>นางยุภิณ</t>
  </si>
  <si>
    <t>บำรุงโชค</t>
  </si>
  <si>
    <t>นายกันยา</t>
  </si>
  <si>
    <t>รังสันเทียะ</t>
  </si>
  <si>
    <t>นางขวัญจิตร</t>
  </si>
  <si>
    <t>วรพันธ์</t>
  </si>
  <si>
    <t>นางกิตติยา</t>
  </si>
  <si>
    <t>นามวัน</t>
  </si>
  <si>
    <t>นายศราวุฒิ</t>
  </si>
  <si>
    <t>วังคีรี</t>
  </si>
  <si>
    <t>นางบุศรา</t>
  </si>
  <si>
    <t>ศรีชัย</t>
  </si>
  <si>
    <t>นางสาวนฤมล</t>
  </si>
  <si>
    <t>คำมูล</t>
  </si>
  <si>
    <t>นางประไพพรรณ</t>
  </si>
  <si>
    <t>สุตาชู</t>
  </si>
  <si>
    <t>นายชาละวัน</t>
  </si>
  <si>
    <t>พันธุ์ยุลา</t>
  </si>
  <si>
    <t>นายชาญชัย</t>
  </si>
  <si>
    <t>นครไธสง</t>
  </si>
  <si>
    <t>นางบัวลัน</t>
  </si>
  <si>
    <t>คำตา</t>
  </si>
  <si>
    <t>นายเกิน</t>
  </si>
  <si>
    <t>บุญบุรี</t>
  </si>
  <si>
    <t>นางสมพร</t>
  </si>
  <si>
    <t>ชุมสาย</t>
  </si>
  <si>
    <t>นางบัวซอน</t>
  </si>
  <si>
    <t>เกิดนาน้อย</t>
  </si>
  <si>
    <t xml:space="preserve">  </t>
  </si>
  <si>
    <t>นางอำพร</t>
  </si>
  <si>
    <t>พัฒนะบดี</t>
  </si>
  <si>
    <t>นายสวัสดิ์</t>
  </si>
  <si>
    <t>สิทธิไทย</t>
  </si>
  <si>
    <t>นายมานะ</t>
  </si>
  <si>
    <t>อิสันเทียะ</t>
  </si>
  <si>
    <t>นางพัฒนา</t>
  </si>
  <si>
    <t>ศรีสังข์</t>
  </si>
  <si>
    <t>นางสาวเรณู</t>
  </si>
  <si>
    <t>พูนเพิ่ม</t>
  </si>
  <si>
    <t>นางสาวเจริญศรี</t>
  </si>
  <si>
    <t>นายทองคูณ</t>
  </si>
  <si>
    <t>กัตโร</t>
  </si>
  <si>
    <t>นายหวา</t>
  </si>
  <si>
    <t>คำอยู่</t>
  </si>
  <si>
    <t>นายสุนทร</t>
  </si>
  <si>
    <t>ขจรนาม</t>
  </si>
  <si>
    <t>นายทองสูน</t>
  </si>
  <si>
    <t>นายสายทอง</t>
  </si>
  <si>
    <t>มหามูล</t>
  </si>
  <si>
    <t>นายชัยรัตน์</t>
  </si>
  <si>
    <t>แฟงชัยภูมิ</t>
  </si>
  <si>
    <t>นายร้อย</t>
  </si>
  <si>
    <t>นางสวาท</t>
  </si>
  <si>
    <t>ปทุมวัน</t>
  </si>
  <si>
    <t>นายประยงค์</t>
  </si>
  <si>
    <t>โสส้มสบ</t>
  </si>
  <si>
    <t>นายสุรัตน์</t>
  </si>
  <si>
    <t>ช่างปลูก</t>
  </si>
  <si>
    <t>นายสุพล</t>
  </si>
  <si>
    <t>ศิริรวง</t>
  </si>
  <si>
    <t>นางอุไรลักษณ์</t>
  </si>
  <si>
    <t>หอมสุวรรณ</t>
  </si>
  <si>
    <t>ดวงจันทรา</t>
  </si>
  <si>
    <t>นางรัตดาวรรณ</t>
  </si>
  <si>
    <t>สุหญ้านาง</t>
  </si>
  <si>
    <t>นายนิคม</t>
  </si>
  <si>
    <t>มณีน้อย</t>
  </si>
  <si>
    <t>นางบัวทุม</t>
  </si>
  <si>
    <t>บริบูรณ์</t>
  </si>
  <si>
    <t>แสนโชติ</t>
  </si>
  <si>
    <t>นายปาน</t>
  </si>
  <si>
    <t>อรัญมาลา</t>
  </si>
  <si>
    <t>นางสุวรรณ</t>
  </si>
  <si>
    <t>ปานนิล</t>
  </si>
  <si>
    <t>นางสาวกรรณ์นิกา</t>
  </si>
  <si>
    <t>ประทุมวัน</t>
  </si>
  <si>
    <t>นายนครินทร์</t>
  </si>
  <si>
    <t>คำแหง</t>
  </si>
  <si>
    <t>นางสาวสุภาพร</t>
  </si>
  <si>
    <t>นายชาติชาย</t>
  </si>
  <si>
    <t>ตลับแก้ว</t>
  </si>
  <si>
    <t>นางสาวสุราตรี</t>
  </si>
  <si>
    <t>ศรีสุวรรณ</t>
  </si>
  <si>
    <t>นายเสนอ</t>
  </si>
  <si>
    <t>จันทร์ลิ้ม</t>
  </si>
  <si>
    <t>นางสุนีย์</t>
  </si>
  <si>
    <t>ดิ๊กเคมัน</t>
  </si>
  <si>
    <t>นางสาวจำเนียร</t>
  </si>
  <si>
    <t>นายนิพนธ์</t>
  </si>
  <si>
    <t>นายประเสริฐ</t>
  </si>
  <si>
    <t>บุญชิด</t>
  </si>
  <si>
    <t>นางสาวเครือวัลย์</t>
  </si>
  <si>
    <t>ขัตติยะ</t>
  </si>
  <si>
    <t>นางวัน</t>
  </si>
  <si>
    <t>แสนตา</t>
  </si>
  <si>
    <t>นายบุญจันทร์</t>
  </si>
  <si>
    <t>พรมบัณฑิต</t>
  </si>
  <si>
    <t>นายขันตี</t>
  </si>
  <si>
    <t>อัศวภูมิ</t>
  </si>
  <si>
    <t>นายต้น</t>
  </si>
  <si>
    <t>หงษ์ภูมี</t>
  </si>
  <si>
    <t>นายไพรวัลย์</t>
  </si>
  <si>
    <t>น้อยแก้ว</t>
  </si>
  <si>
    <t>นายพิษณุ</t>
  </si>
  <si>
    <t>ตลับเพชร</t>
  </si>
  <si>
    <t>นายบุญธรรม</t>
  </si>
  <si>
    <t>นางสตรี</t>
  </si>
  <si>
    <t>ฝันดี</t>
  </si>
  <si>
    <t>นายสาคร</t>
  </si>
  <si>
    <t>นายบุญหนา</t>
  </si>
  <si>
    <t>มหานาม</t>
  </si>
  <si>
    <t>ขันแข็ง</t>
  </si>
  <si>
    <t>นางจุฑามาศ</t>
  </si>
  <si>
    <t>บุญบำรุง</t>
  </si>
  <si>
    <t>นางดวงใจ</t>
  </si>
  <si>
    <t>โกยทรัพย์มา</t>
  </si>
  <si>
    <t>นายอุทัย</t>
  </si>
  <si>
    <t>เบ็ญพรม</t>
  </si>
  <si>
    <t>นายวิรัช</t>
  </si>
  <si>
    <t>โรจน์ทองคำ</t>
  </si>
  <si>
    <t>นางลั่นทม</t>
  </si>
  <si>
    <t>พิบูลย์สังข์</t>
  </si>
  <si>
    <t>นางชฎาพร</t>
  </si>
  <si>
    <t>ศรีหริ่ง</t>
  </si>
  <si>
    <t>นางชนิษฐา</t>
  </si>
  <si>
    <t>ปัดสา</t>
  </si>
  <si>
    <t>นายสัญญา</t>
  </si>
  <si>
    <t>นายอดิเรก</t>
  </si>
  <si>
    <t>ลือหาร</t>
  </si>
  <si>
    <t>นางปนัดดา</t>
  </si>
  <si>
    <t>วระสาร</t>
  </si>
  <si>
    <t>นางสุไกร</t>
  </si>
  <si>
    <t>นางยุวชน</t>
  </si>
  <si>
    <t>อาจองษา</t>
  </si>
  <si>
    <t>นางยุวดี</t>
  </si>
  <si>
    <t>แสงเพชร</t>
  </si>
  <si>
    <t>นางสีไพร</t>
  </si>
  <si>
    <t>ดวงจินดา</t>
  </si>
  <si>
    <t>นางพรทิพย์</t>
  </si>
  <si>
    <t>นางยุพดี</t>
  </si>
  <si>
    <t>เจริญสุข</t>
  </si>
  <si>
    <t xml:space="preserve">นายประยูร  </t>
  </si>
  <si>
    <t>หินวิเศษ</t>
  </si>
  <si>
    <t>นางอุทัยวรรณ</t>
  </si>
  <si>
    <t>ผาคำ</t>
  </si>
  <si>
    <t>ไตรศิริโชค</t>
  </si>
  <si>
    <t>นางพิกุล</t>
  </si>
  <si>
    <t>อุทธากิจ</t>
  </si>
  <si>
    <t>นางศรินทิพย์</t>
  </si>
  <si>
    <t>ทักขิณ</t>
  </si>
  <si>
    <t>นางจันดี</t>
  </si>
  <si>
    <t>ดวงภมร</t>
  </si>
  <si>
    <t>ดวงแสงเหล็ก</t>
  </si>
  <si>
    <t>นายมณี</t>
  </si>
  <si>
    <t>บุญโชติ</t>
  </si>
  <si>
    <t>สวดสม</t>
  </si>
  <si>
    <t>นายเรืองยศ</t>
  </si>
  <si>
    <t>เพชรดวงศรี</t>
  </si>
  <si>
    <t>นายเนียม</t>
  </si>
  <si>
    <t>ชัยศิลป์</t>
  </si>
  <si>
    <t>นางรัตนา</t>
  </si>
  <si>
    <t>บุญสิงสร</t>
  </si>
  <si>
    <t>นางดำ</t>
  </si>
  <si>
    <t>แข็งการ</t>
  </si>
  <si>
    <t>จงนอก</t>
  </si>
  <si>
    <t xml:space="preserve">นางจันทร์ </t>
  </si>
  <si>
    <t>รักงาม</t>
  </si>
  <si>
    <t>นางธนภรณ์</t>
  </si>
  <si>
    <t>กรมขุนทด</t>
  </si>
  <si>
    <t>นางยุพิน</t>
  </si>
  <si>
    <t>ดื่มขุนทด</t>
  </si>
  <si>
    <t>นายเฉย</t>
  </si>
  <si>
    <t>กรวดนอก</t>
  </si>
  <si>
    <t>นางเพ็ญศรี</t>
  </si>
  <si>
    <t>ประสวรศรี</t>
  </si>
  <si>
    <t>นางทิพย์</t>
  </si>
  <si>
    <t>แอกรัมย์</t>
  </si>
  <si>
    <t>นายทองเพียง</t>
  </si>
  <si>
    <t>ถือศักดิ์</t>
  </si>
  <si>
    <t>นายแสวง</t>
  </si>
  <si>
    <t>อุทัยแสง</t>
  </si>
  <si>
    <t>นางเหง่า</t>
  </si>
  <si>
    <t>สีเหลี่ยมงาม</t>
  </si>
  <si>
    <t>นายมิตร</t>
  </si>
  <si>
    <t>แก้วมโหสถ</t>
  </si>
  <si>
    <t>นายประสิทธิ์</t>
  </si>
  <si>
    <t>สง่าสันเทียะ</t>
  </si>
  <si>
    <t>นางสำรวย</t>
  </si>
  <si>
    <t>ศรีชาติ</t>
  </si>
  <si>
    <t>นายไหน</t>
  </si>
  <si>
    <t>นางหนูพิศ</t>
  </si>
  <si>
    <t xml:space="preserve">สุทธิ </t>
  </si>
  <si>
    <t>นางกองศรี</t>
  </si>
  <si>
    <t>มูลตรีภักดี</t>
  </si>
  <si>
    <t>นายโกมล</t>
  </si>
  <si>
    <t>ประคำนอก</t>
  </si>
  <si>
    <t>นางพรพิศ</t>
  </si>
  <si>
    <t>ชาติชำนาญ</t>
  </si>
  <si>
    <t>นางสงกาย</t>
  </si>
  <si>
    <t>ศรีจันทร์เวียง</t>
  </si>
  <si>
    <t>รักษาสัตย์</t>
  </si>
  <si>
    <t>นางสาวประภาพร</t>
  </si>
  <si>
    <t>ตรีศักดิ์</t>
  </si>
  <si>
    <t>นางกอบแก้ว</t>
  </si>
  <si>
    <t>กิ่งนอก</t>
  </si>
  <si>
    <t>นายนรงค์ศักดิ์</t>
  </si>
  <si>
    <t>วิถีเทพ</t>
  </si>
  <si>
    <t>พลวงนอก</t>
  </si>
  <si>
    <t>นายสายัญ</t>
  </si>
  <si>
    <t>นายนพรัตน์</t>
  </si>
  <si>
    <t>นายธงชัย</t>
  </si>
  <si>
    <t>ปักการะณา</t>
  </si>
  <si>
    <t>นางสุมาลี</t>
  </si>
  <si>
    <t>หัสโต</t>
  </si>
  <si>
    <t>นางลำพูล</t>
  </si>
  <si>
    <t>สุขศรี</t>
  </si>
  <si>
    <t>นางสาวสุพิษ</t>
  </si>
  <si>
    <t>อรรถสาร</t>
  </si>
  <si>
    <t>นางบัวพันธ์</t>
  </si>
  <si>
    <t>ปากเมย</t>
  </si>
  <si>
    <t>นางสาวลำดวน</t>
  </si>
  <si>
    <t>นางไพลิน</t>
  </si>
  <si>
    <t>แสงตาปัญ</t>
  </si>
  <si>
    <t>นางสาวสุภัตรา</t>
  </si>
  <si>
    <t>นายระพิน</t>
  </si>
  <si>
    <t>สมศักดิ์</t>
  </si>
  <si>
    <t>นางลำไพ</t>
  </si>
  <si>
    <t>สุวรรณแสง</t>
  </si>
  <si>
    <t>นายพล</t>
  </si>
  <si>
    <t>วิชาคูณ</t>
  </si>
  <si>
    <t>นางสาวเก็จมณี</t>
  </si>
  <si>
    <t>หวังแววกลาง</t>
  </si>
  <si>
    <t>นายเอกชัย</t>
  </si>
  <si>
    <t>นายณรงค์</t>
  </si>
  <si>
    <t>จานนอก</t>
  </si>
  <si>
    <t>นางนิภาพร</t>
  </si>
  <si>
    <t>กุมรีจิตร</t>
  </si>
  <si>
    <t>นางสงกรานต์</t>
  </si>
  <si>
    <t>จำปีกลาง</t>
  </si>
  <si>
    <t>นายบุญทัน</t>
  </si>
  <si>
    <t>ศรีสวัสดิ์</t>
  </si>
  <si>
    <t>นางอัมพา</t>
  </si>
  <si>
    <t>ละลมชัย</t>
  </si>
  <si>
    <t xml:space="preserve">นายสิทธิ์ </t>
  </si>
  <si>
    <t>นายสำเริง</t>
  </si>
  <si>
    <t>นายส่วย</t>
  </si>
  <si>
    <t>ศรีชาวงศ์</t>
  </si>
  <si>
    <t>นายเทา</t>
  </si>
  <si>
    <t>นาคนาคา</t>
  </si>
  <si>
    <t xml:space="preserve">นางสาวสมจิตร  </t>
  </si>
  <si>
    <t>คงเรืองศรี</t>
  </si>
  <si>
    <t>นายวรวุฒิ</t>
  </si>
  <si>
    <t>นางสุชาดา</t>
  </si>
  <si>
    <t>นาคุณ</t>
  </si>
  <si>
    <t>ภิรมไกรภักดิ์</t>
  </si>
  <si>
    <t>นางนุสรณ์</t>
  </si>
  <si>
    <t>บุญโสภณ</t>
  </si>
  <si>
    <t>นางจันทร์เพ็ญ</t>
  </si>
  <si>
    <t>เกตุนอก</t>
  </si>
  <si>
    <t>อนุสนธ์</t>
  </si>
  <si>
    <t>นางนางน้อย</t>
  </si>
  <si>
    <t>บุญธรรม</t>
  </si>
  <si>
    <t>นายประดิษฐ์</t>
  </si>
  <si>
    <t>จันทร์แก้ว</t>
  </si>
  <si>
    <t>นายวิษณุ</t>
  </si>
  <si>
    <t>นายภานุมาศ</t>
  </si>
  <si>
    <t>น่วมดี</t>
  </si>
  <si>
    <t>นางสาวชวิการต์</t>
  </si>
  <si>
    <t>นางนงคราญ</t>
  </si>
  <si>
    <t>ศรีบัวบาน</t>
  </si>
  <si>
    <t>นางหนูจันทร์</t>
  </si>
  <si>
    <t>เชื้อกลาง</t>
  </si>
  <si>
    <t>นางเจริญ</t>
  </si>
  <si>
    <t>นายเทพสุนทร</t>
  </si>
  <si>
    <t>ภัสดาทอง</t>
  </si>
  <si>
    <t>นางสาคร</t>
  </si>
  <si>
    <t>สุวรรณแย้ม</t>
  </si>
  <si>
    <t>นายชัยสิทธิ์</t>
  </si>
  <si>
    <t>ดำเนินลอย</t>
  </si>
  <si>
    <t>นางพิตตินันท์</t>
  </si>
  <si>
    <t>เพียรสันเทียะ</t>
  </si>
  <si>
    <t>นางสำเรียน</t>
  </si>
  <si>
    <t>โคนประโคน</t>
  </si>
  <si>
    <t>คงมี</t>
  </si>
  <si>
    <t>นางวราภรณ์</t>
  </si>
  <si>
    <t>นางวงเดือน</t>
  </si>
  <si>
    <t>พุทธคำ</t>
  </si>
  <si>
    <t>นางสาวเสาวนีย์</t>
  </si>
  <si>
    <t>นางแสงสี</t>
  </si>
  <si>
    <t>กำเนิดศรี</t>
  </si>
  <si>
    <t>นายอาธร</t>
  </si>
  <si>
    <t>นายสุมิตร</t>
  </si>
  <si>
    <t>นางสาวดาราวรรณ</t>
  </si>
  <si>
    <t>นามแสง</t>
  </si>
  <si>
    <t>นางหรรษา</t>
  </si>
  <si>
    <t>ศรีน้อย</t>
  </si>
  <si>
    <t>นางอุทิพย์สา</t>
  </si>
  <si>
    <t>วงค์แก้ว</t>
  </si>
  <si>
    <t>นางสาวมัทนา</t>
  </si>
  <si>
    <t>นางสาวสุกัญญา</t>
  </si>
  <si>
    <t>นายอนันต์</t>
  </si>
  <si>
    <t>นางสาวภัทรานิษฐ์</t>
  </si>
  <si>
    <t>นายอิทธิเดช</t>
  </si>
  <si>
    <t>น้อยบุ่งคล้า</t>
  </si>
  <si>
    <t>นายสนิท</t>
  </si>
  <si>
    <t>พละสาร</t>
  </si>
  <si>
    <t>นายบุญโฮม</t>
  </si>
  <si>
    <t>สนิทนิตย์</t>
  </si>
  <si>
    <t>นายอุดม</t>
  </si>
  <si>
    <t>ศรีรัตน์</t>
  </si>
  <si>
    <t>นายปุ้น</t>
  </si>
  <si>
    <t>เดชประกอบ</t>
  </si>
  <si>
    <t>ถุงพุดซา</t>
  </si>
  <si>
    <t>นายสุบิน</t>
  </si>
  <si>
    <t>สีกัณหา</t>
  </si>
  <si>
    <t>นางสิมมา</t>
  </si>
  <si>
    <t>ถมเวียง</t>
  </si>
  <si>
    <t>นางอุบล</t>
  </si>
  <si>
    <t>ภูมิรินทร์</t>
  </si>
  <si>
    <t>นายสีทา</t>
  </si>
  <si>
    <t>บุตรขันธ์</t>
  </si>
  <si>
    <t>นายจันทร์</t>
  </si>
  <si>
    <t>อรัญชัย</t>
  </si>
  <si>
    <t>นายประหยัด</t>
  </si>
  <si>
    <t xml:space="preserve">นายแส </t>
  </si>
  <si>
    <t>ทองดี</t>
  </si>
  <si>
    <t>นางคงเดช</t>
  </si>
  <si>
    <t>พลเดชา</t>
  </si>
  <si>
    <t>นางทองโม่ง</t>
  </si>
  <si>
    <t>นางเพื่อน</t>
  </si>
  <si>
    <t>เคหาวิทย์</t>
  </si>
  <si>
    <t>นายหนูเนิน</t>
  </si>
  <si>
    <t>แผ่นเงิน</t>
  </si>
  <si>
    <t>นางประไพ</t>
  </si>
  <si>
    <t>แดนกระโทก</t>
  </si>
  <si>
    <t>นายชัยพิชิต</t>
  </si>
  <si>
    <t>สารีวัลย์</t>
  </si>
  <si>
    <t>นายจันทร์สี</t>
  </si>
  <si>
    <t>โสระบุตร</t>
  </si>
  <si>
    <t>นายรัฐ</t>
  </si>
  <si>
    <t>นางนวลสกุล</t>
  </si>
  <si>
    <t>นายไวพจน์</t>
  </si>
  <si>
    <t>เปรมปรี</t>
  </si>
  <si>
    <t>นายวิสุทธิ</t>
  </si>
  <si>
    <t>นายพูนสันต์</t>
  </si>
  <si>
    <t>กุญชนะรงค์</t>
  </si>
  <si>
    <t>จรูญพันธ์</t>
  </si>
  <si>
    <t>นางสมนึก</t>
  </si>
  <si>
    <t>นายอ่อนสี</t>
  </si>
  <si>
    <t>สถานสุข</t>
  </si>
  <si>
    <t>นางดวงกมล</t>
  </si>
  <si>
    <t>ปัจโต</t>
  </si>
  <si>
    <t>นางหวาง</t>
  </si>
  <si>
    <t>เมืองศรี</t>
  </si>
  <si>
    <t>นางศิริภรณ์</t>
  </si>
  <si>
    <t>ศิริไพบูลย์</t>
  </si>
  <si>
    <t>นายนิพล</t>
  </si>
  <si>
    <t>นายทักษิณ</t>
  </si>
  <si>
    <t>วรสาร</t>
  </si>
  <si>
    <t>นางกัลยานี</t>
  </si>
  <si>
    <t>รองศักดิ์</t>
  </si>
  <si>
    <t>นางคำบง</t>
  </si>
  <si>
    <t>นายมรกต</t>
  </si>
  <si>
    <t>คำนา</t>
  </si>
  <si>
    <t>นายบรรจง</t>
  </si>
  <si>
    <t>นางอุษา</t>
  </si>
  <si>
    <t>ตลับเงิน</t>
  </si>
  <si>
    <t>นายสงกรานต์</t>
  </si>
  <si>
    <t>นายหนูไกร</t>
  </si>
  <si>
    <t>ฤาหาร</t>
  </si>
  <si>
    <t>นางสมถวิล</t>
  </si>
  <si>
    <t>วอนเก่าน้อย</t>
  </si>
  <si>
    <t>นายแดน</t>
  </si>
  <si>
    <t>นางสาวพรกนก</t>
  </si>
  <si>
    <t>นายสมชาย</t>
  </si>
  <si>
    <t>คำสวัสดิ์</t>
  </si>
  <si>
    <t>จุลอักษร</t>
  </si>
  <si>
    <t>ศรีธำมรงค์</t>
  </si>
  <si>
    <t>โคตรสีหา</t>
  </si>
  <si>
    <t>นางสด</t>
  </si>
  <si>
    <t>วุฒิสาร</t>
  </si>
  <si>
    <t>นางบัวโฮง</t>
  </si>
  <si>
    <t>กากุนิตย์</t>
  </si>
  <si>
    <t>นายเฉลิมพงษ์</t>
  </si>
  <si>
    <t>นาคนิรันดร์</t>
  </si>
  <si>
    <t>นายจรินทร</t>
  </si>
  <si>
    <t>ไพรัช</t>
  </si>
  <si>
    <t>นายสุรเดช</t>
  </si>
  <si>
    <t>จุลละนันท์</t>
  </si>
  <si>
    <t>นางคำพา</t>
  </si>
  <si>
    <t>จันทะไพ</t>
  </si>
  <si>
    <t>นางสายยนต์</t>
  </si>
  <si>
    <t>ลาภประสงค์</t>
  </si>
  <si>
    <t xml:space="preserve">นางกิตติยา </t>
  </si>
  <si>
    <t>ฐานวิเศษ</t>
  </si>
  <si>
    <t>นางถวิล</t>
  </si>
  <si>
    <t>สาระสิทธิ์</t>
  </si>
  <si>
    <t>นายมนัส</t>
  </si>
  <si>
    <t>นายสมยศ</t>
  </si>
  <si>
    <t>นางหนูพร</t>
  </si>
  <si>
    <t>สมบูรณ์การณ์</t>
  </si>
  <si>
    <t>นางสะใบแพร</t>
  </si>
  <si>
    <t>ภูมิคอนสาร</t>
  </si>
  <si>
    <t>ลาภถึง</t>
  </si>
  <si>
    <t>นายประกอบ</t>
  </si>
  <si>
    <t>พิษกลาง</t>
  </si>
  <si>
    <t>นายสุรศักดิ์</t>
  </si>
  <si>
    <t>เบญจพรม</t>
  </si>
  <si>
    <t>นายสุทธี</t>
  </si>
  <si>
    <t>ปรีดีวงษ์</t>
  </si>
  <si>
    <t>ญาณไกล</t>
  </si>
  <si>
    <t>นายมานพ</t>
  </si>
  <si>
    <t>มุ่งพันกลาง</t>
  </si>
  <si>
    <t>นายบรรดิษฐ์</t>
  </si>
  <si>
    <t>เสยสิว</t>
  </si>
  <si>
    <t>นางเพ็ญพรรณ</t>
  </si>
  <si>
    <t>สวนโคกกรวด</t>
  </si>
  <si>
    <t>นางสมบัติ</t>
  </si>
  <si>
    <t>ทวยแก้ว</t>
  </si>
  <si>
    <t>นางสาวสุภาภรณ์</t>
  </si>
  <si>
    <t>สุวรรณษา</t>
  </si>
  <si>
    <t>นายธวัชชัย</t>
  </si>
  <si>
    <t>นายปรีชาญ</t>
  </si>
  <si>
    <t>ประยูรชาญ</t>
  </si>
  <si>
    <t>นางสาวสุภาพ</t>
  </si>
  <si>
    <t>อินนารม</t>
  </si>
  <si>
    <t>นายวชิระ</t>
  </si>
  <si>
    <t>นางสาวเกตุแก้ว</t>
  </si>
  <si>
    <t>นางคำเปลี่ยน</t>
  </si>
  <si>
    <t>ฝั่งสระ</t>
  </si>
  <si>
    <t>นายจักรชัย</t>
  </si>
  <si>
    <t>นางสาวชลดา</t>
  </si>
  <si>
    <t>นางสมส่อง</t>
  </si>
  <si>
    <t>ดวงเกตุ</t>
  </si>
  <si>
    <t>นายวัชระ</t>
  </si>
  <si>
    <t>นายทองฤทธิ์</t>
  </si>
  <si>
    <t>คุณทวงศ์</t>
  </si>
  <si>
    <t>นายวันทา</t>
  </si>
  <si>
    <t>ชาชูรส</t>
  </si>
  <si>
    <t>นางสาวหนูภาน</t>
  </si>
  <si>
    <t>นางสาวนิดหน่อย</t>
  </si>
  <si>
    <t>มะลาวัน</t>
  </si>
  <si>
    <t>นางกัลยา</t>
  </si>
  <si>
    <t>นายเมืองแมน</t>
  </si>
  <si>
    <t>นายสมรักษ์</t>
  </si>
  <si>
    <t>วรรณพราหมณ์</t>
  </si>
  <si>
    <t>นายชนะพนณ์</t>
  </si>
  <si>
    <t xml:space="preserve">นายจรูญ  </t>
  </si>
  <si>
    <t>นายสังวาร</t>
  </si>
  <si>
    <t>รองสุพรรณ</t>
  </si>
  <si>
    <t>นายกิตติพงษ์</t>
  </si>
  <si>
    <t>นายศรีริ</t>
  </si>
  <si>
    <t>ชนะกุล</t>
  </si>
  <si>
    <t>นายเบ็ง</t>
  </si>
  <si>
    <t>นางกุหลาบ</t>
  </si>
  <si>
    <t>เชื้อไพบูลย์</t>
  </si>
  <si>
    <t>นางหนูหลาด</t>
  </si>
  <si>
    <t>บำราชเข็ญ</t>
  </si>
  <si>
    <t>นางชื่น</t>
  </si>
  <si>
    <t>ดีมูล</t>
  </si>
  <si>
    <t>นายชัยณรงค์</t>
  </si>
  <si>
    <t>นายอุทิตย์</t>
  </si>
  <si>
    <t>นายสมเกียรติ</t>
  </si>
  <si>
    <t>ประจนกล้า</t>
  </si>
  <si>
    <t>นางนุชรีย์</t>
  </si>
  <si>
    <t>ลบบำรุง</t>
  </si>
  <si>
    <t>นายสา</t>
  </si>
  <si>
    <t>สมบัติมาก</t>
  </si>
  <si>
    <t>ฉลาดพันธ์</t>
  </si>
  <si>
    <t>นายไสว</t>
  </si>
  <si>
    <t>แก้วทองดี</t>
  </si>
  <si>
    <t>นายสรวิทย์</t>
  </si>
  <si>
    <t>สวัสดิ์รักษ์</t>
  </si>
  <si>
    <t>นางคำตัน</t>
  </si>
  <si>
    <t>ต่อศักดิ์</t>
  </si>
  <si>
    <t>นายมนตรี</t>
  </si>
  <si>
    <t>นายสุวิทย์</t>
  </si>
  <si>
    <t>ดวงสุวรรณ</t>
  </si>
  <si>
    <t xml:space="preserve">นางสมเพียร </t>
  </si>
  <si>
    <t>พิลาวรรณ์</t>
  </si>
  <si>
    <t>นายจำนงค์</t>
  </si>
  <si>
    <t>นางวรัญญา</t>
  </si>
  <si>
    <t>ลุนกุดเลาะ</t>
  </si>
  <si>
    <t>นางทองย้อย</t>
  </si>
  <si>
    <t>เสตะ</t>
  </si>
  <si>
    <t>นางสาวบุญซ้อน</t>
  </si>
  <si>
    <t>จันดีทอง</t>
  </si>
  <si>
    <t>นางสาวอริสา</t>
  </si>
  <si>
    <t>นายสนุก</t>
  </si>
  <si>
    <t>เลิศคอนสาร</t>
  </si>
  <si>
    <t>นางสาวสายใจ</t>
  </si>
  <si>
    <t>นายวรพล</t>
  </si>
  <si>
    <t>นางบังอร</t>
  </si>
  <si>
    <t>นางธันยาพร</t>
  </si>
  <si>
    <t>อิ่มสวัสดิ์</t>
  </si>
  <si>
    <t>นางวิภารัตน์</t>
  </si>
  <si>
    <t>แสงประพันธ์</t>
  </si>
  <si>
    <t>นางทองสัน</t>
  </si>
  <si>
    <t>อุปมัย</t>
  </si>
  <si>
    <t>นางนุชนภา</t>
  </si>
  <si>
    <t>คำเสนา</t>
  </si>
  <si>
    <t>นางนวนจันทร์</t>
  </si>
  <si>
    <t>สายทอง</t>
  </si>
  <si>
    <t>นางแสงนวล</t>
  </si>
  <si>
    <t>ทองนาเพียง</t>
  </si>
  <si>
    <t>นางบุษบาวรรณ</t>
  </si>
  <si>
    <t>นางทศพร</t>
  </si>
  <si>
    <t>ปากะตัง</t>
  </si>
  <si>
    <t>นางพรพรรณ</t>
  </si>
  <si>
    <t>ตู้ประเสริฐ</t>
  </si>
  <si>
    <t>นางสุรีรัตน์</t>
  </si>
  <si>
    <t>ฤทธิ์คุ้ม</t>
  </si>
  <si>
    <t>นายอรรถชัย</t>
  </si>
  <si>
    <t>ฮวดศรี</t>
  </si>
  <si>
    <t>นางจอมศรี</t>
  </si>
  <si>
    <t>พานประดิฐ</t>
  </si>
  <si>
    <t>นายบุญมี</t>
  </si>
  <si>
    <t>ชอบพิมาย</t>
  </si>
  <si>
    <t>นายสิงห์</t>
  </si>
  <si>
    <t>ทรลักษณ์</t>
  </si>
  <si>
    <t>นางทองอุไร</t>
  </si>
  <si>
    <t>ชาพรมมา</t>
  </si>
  <si>
    <t>นายโมลา</t>
  </si>
  <si>
    <t>โปร่งภูเขียว</t>
  </si>
  <si>
    <t>นายทอง</t>
  </si>
  <si>
    <t>กุลหงษ์</t>
  </si>
  <si>
    <t>นายใหล</t>
  </si>
  <si>
    <t>เกตุขุนทด</t>
  </si>
  <si>
    <t>นายคำกอง</t>
  </si>
  <si>
    <t>นายภูวดล</t>
  </si>
  <si>
    <t>นาดี</t>
  </si>
  <si>
    <t>นายสมจิตร</t>
  </si>
  <si>
    <t>กองทุย</t>
  </si>
  <si>
    <t>พอนทุม</t>
  </si>
  <si>
    <t>นายศิริศักดิ์</t>
  </si>
  <si>
    <t>นางสติ</t>
  </si>
  <si>
    <t>สมอาจ</t>
  </si>
  <si>
    <t>นายบัวเรียน</t>
  </si>
  <si>
    <t>พิมพ์โนนทอง</t>
  </si>
  <si>
    <t>นางอุทิศ</t>
  </si>
  <si>
    <t>นางนวลจิรา</t>
  </si>
  <si>
    <t>นายชูเกียรติ</t>
  </si>
  <si>
    <t>นางรัตนากร</t>
  </si>
  <si>
    <t>ทั่งพรม</t>
  </si>
  <si>
    <t>นายดิเรก</t>
  </si>
  <si>
    <t>สมานวงค์</t>
  </si>
  <si>
    <t>สมานวงศ์</t>
  </si>
  <si>
    <t>นางสาวจันทิวา</t>
  </si>
  <si>
    <t>นางดาวเรือง</t>
  </si>
  <si>
    <t>สีชัย</t>
  </si>
  <si>
    <t>นางโจม</t>
  </si>
  <si>
    <t>คานเพชรทา</t>
  </si>
  <si>
    <t>นายสงวน</t>
  </si>
  <si>
    <t>นายอรรคพงษ์</t>
  </si>
  <si>
    <t>นายวุฒิพงษ์</t>
  </si>
  <si>
    <t>นางสาวนุชนารถ</t>
  </si>
  <si>
    <t>นางลำ</t>
  </si>
  <si>
    <t>ไชยดา</t>
  </si>
  <si>
    <t>นางชลธิชา</t>
  </si>
  <si>
    <t>ธงสันเทียะ</t>
  </si>
  <si>
    <t>สิทธิพันธ์</t>
  </si>
  <si>
    <t>นางไกรษร</t>
  </si>
  <si>
    <t>วิสุวงศ์</t>
  </si>
  <si>
    <t>นายสมเพ็ชร</t>
  </si>
  <si>
    <t>นายสถิตย์</t>
  </si>
  <si>
    <t>นางขาน</t>
  </si>
  <si>
    <t>นางรสริน</t>
  </si>
  <si>
    <t>เหลาเจริญ</t>
  </si>
  <si>
    <t>นายสาโรจน์</t>
  </si>
  <si>
    <t>กมลรัตน์</t>
  </si>
  <si>
    <t>นางสนอง</t>
  </si>
  <si>
    <t>กุลด้วง</t>
  </si>
  <si>
    <t>นายนเรศ</t>
  </si>
  <si>
    <t>นางเวียง</t>
  </si>
  <si>
    <t>ประภาษี</t>
  </si>
  <si>
    <t>นางประคอง</t>
  </si>
  <si>
    <t>นวลจันทร์</t>
  </si>
  <si>
    <t>นางสำแดง</t>
  </si>
  <si>
    <t>นายบุญเซ็นต์</t>
  </si>
  <si>
    <t>นางลัคนา</t>
  </si>
  <si>
    <t>แพงไทย</t>
  </si>
  <si>
    <t>นายกรุงศรี</t>
  </si>
  <si>
    <t>แตงทิพย์</t>
  </si>
  <si>
    <t>นางอมรรัตน์</t>
  </si>
  <si>
    <t>นางสาวดาวเรือง</t>
  </si>
  <si>
    <t>วรรณวินัย</t>
  </si>
  <si>
    <t>นางพรประภา</t>
  </si>
  <si>
    <t>บัวเนตร</t>
  </si>
  <si>
    <t>นายเสาวรัตน์</t>
  </si>
  <si>
    <t>แก้วมงคล</t>
  </si>
  <si>
    <t>นายเหล็กไหล</t>
  </si>
  <si>
    <t>จุลนันท์</t>
  </si>
  <si>
    <t xml:space="preserve">นายธนกร  </t>
  </si>
  <si>
    <t>ลาภชัย</t>
  </si>
  <si>
    <t>นางสาวสุวิทย์</t>
  </si>
  <si>
    <t>สิทธ์ขุนทด</t>
  </si>
  <si>
    <t>นางบัวลอง</t>
  </si>
  <si>
    <t>บัวชิต</t>
  </si>
  <si>
    <t>นายสุริยัน</t>
  </si>
  <si>
    <t>พันธเกต</t>
  </si>
  <si>
    <t>นายมาโนช</t>
  </si>
  <si>
    <t>รัตนอ่อน</t>
  </si>
  <si>
    <t>นางปดิวรดา</t>
  </si>
  <si>
    <t>นายจิระวัฒน์</t>
  </si>
  <si>
    <t>นางคำมั่น</t>
  </si>
  <si>
    <t>บุญญาชีพ</t>
  </si>
  <si>
    <t>นางเมธาวี</t>
  </si>
  <si>
    <t>หนันเมา</t>
  </si>
  <si>
    <t>นายเจษฏาภรณ์</t>
  </si>
  <si>
    <t>พันธเกตุ</t>
  </si>
  <si>
    <t>รายละเอียดการรวบรวมผลผลิตยางก้อนถ้วยปีบัญชี 2567</t>
  </si>
  <si>
    <t xml:space="preserve">      </t>
  </si>
  <si>
    <t>ที่</t>
  </si>
  <si>
    <t>ชื่อ - สกุล</t>
  </si>
  <si>
    <t>กพ.</t>
  </si>
  <si>
    <t xml:space="preserve"> วันที่ 15</t>
  </si>
  <si>
    <t xml:space="preserve"> วันที 5</t>
  </si>
  <si>
    <t xml:space="preserve"> วันที่ 27</t>
  </si>
  <si>
    <t xml:space="preserve"> วันที่ 24</t>
  </si>
  <si>
    <t>วันที่  5</t>
  </si>
  <si>
    <t>นายเทวา</t>
  </si>
  <si>
    <t>หนูทัศน์(ห้วยยาง)</t>
  </si>
  <si>
    <t>นายทองมา</t>
  </si>
  <si>
    <t>นายชยพนธ์</t>
  </si>
  <si>
    <t>ชำนาญมนต์ (หัวปลวกแหลม)</t>
  </si>
  <si>
    <t>นายพยุง</t>
  </si>
  <si>
    <t>ชาติชำนาญ(ห้วยยาง)</t>
  </si>
  <si>
    <t>นางดี</t>
  </si>
  <si>
    <t>ตลับแก้ว(ลุยลาย)</t>
  </si>
  <si>
    <t>นางอัญชลี</t>
  </si>
  <si>
    <t>เขตแดน(ทุ่งลุยลาย)</t>
  </si>
  <si>
    <t>นายสุภาพ</t>
  </si>
  <si>
    <t>โปร่งภูเขียว(ทุ่งลุยลาย)</t>
  </si>
  <si>
    <t>นายไชยา</t>
  </si>
  <si>
    <t>เหง่าอุษา(น้ำอุ่น)</t>
  </si>
  <si>
    <t>นางพิจิตรา</t>
  </si>
  <si>
    <t>ขันภา(ผาเบียด)</t>
  </si>
  <si>
    <t>นายสถาพร</t>
  </si>
  <si>
    <t>โชติสุภาพ (น้ำหนาว)</t>
  </si>
  <si>
    <t>ทองสุข (น้ำหนาว)</t>
  </si>
  <si>
    <t>นายชัยวัฒน์</t>
  </si>
  <si>
    <t>นามวิจิตร</t>
  </si>
  <si>
    <t>นางศุภลักษณ์</t>
  </si>
  <si>
    <t>ตู้คำ</t>
  </si>
  <si>
    <t>นางรอด(คำพา)</t>
  </si>
  <si>
    <t>ดลราษี(ดงกลาง)</t>
  </si>
  <si>
    <t>นายทรัพย์</t>
  </si>
  <si>
    <t>โพนศิลา  (ดงกลาง)</t>
  </si>
  <si>
    <t>นายมงคล</t>
  </si>
  <si>
    <t>เรืองเจริญ(ดงกลาง)</t>
  </si>
  <si>
    <t>นายสิงห์คำ</t>
  </si>
  <si>
    <t>ไสยชาติ(น้ำหนาว)</t>
  </si>
  <si>
    <t>นายเพียร</t>
  </si>
  <si>
    <t>ผาเงิน(ดงกลาง)</t>
  </si>
  <si>
    <t>นายวาด</t>
  </si>
  <si>
    <t>เต็มวงษ์(ห้วยยาง)</t>
  </si>
  <si>
    <t>นายบุญเหลือ</t>
  </si>
  <si>
    <t>วรนัด(มอตาเจ๊ก)</t>
  </si>
  <si>
    <t>นายสมาน</t>
  </si>
  <si>
    <t>นายฉลาด</t>
  </si>
  <si>
    <t>นางยอดข้าว</t>
  </si>
  <si>
    <t>นายโยธิน</t>
  </si>
  <si>
    <t>บัวพงษ์(ห้วยยาง)</t>
  </si>
  <si>
    <t>ตลับเงิน/สีชมพู</t>
  </si>
  <si>
    <t>ตู้ภูมิ(ห้วยยาง)</t>
  </si>
  <si>
    <t>นายจ่อย</t>
  </si>
  <si>
    <t>แสวงหล้า(ห้วยยาง)</t>
  </si>
  <si>
    <t>นายแสน</t>
  </si>
  <si>
    <t>บำรุงโชค(มอตาเจ๊ก)</t>
  </si>
  <si>
    <t>นายวิฑูรย์</t>
  </si>
  <si>
    <t>คำพาก(ลุยลาย)</t>
  </si>
  <si>
    <t>ประยูรชาญ(ป่าผึ้ง)</t>
  </si>
  <si>
    <t>นายอดิศร</t>
  </si>
  <si>
    <t>วีระนนท์</t>
  </si>
  <si>
    <t>นายใจเพชร</t>
  </si>
  <si>
    <t>พลทองวิจิตร(ผาเบียด)</t>
  </si>
  <si>
    <t>นายกฤษณา</t>
  </si>
  <si>
    <t>สุขสวัสดิ์(ผาเบียด)</t>
  </si>
  <si>
    <t>ตู้ภูมิ</t>
  </si>
  <si>
    <t>นางศิริพร</t>
  </si>
  <si>
    <t>สีม่วง</t>
  </si>
  <si>
    <t>นางดาวหยาด</t>
  </si>
  <si>
    <t>นางศรัญญา</t>
  </si>
  <si>
    <t>ปานบุตร</t>
  </si>
  <si>
    <t>นายเพชรสุพรรณ</t>
  </si>
  <si>
    <t>นายดาว</t>
  </si>
  <si>
    <t>อนุพันธุ์</t>
  </si>
  <si>
    <t>นางสุกัญญา</t>
  </si>
  <si>
    <t>ศิลาสิน</t>
  </si>
  <si>
    <t>นางจันทร์หล้า</t>
  </si>
  <si>
    <t>นามบิดา</t>
  </si>
  <si>
    <t>นางเด่นดวง</t>
  </si>
  <si>
    <t>นายพุทธานี</t>
  </si>
  <si>
    <t>น้อยเวียง(ห้วยยาง)</t>
  </si>
  <si>
    <t>นางน้อย</t>
  </si>
  <si>
    <t>ต่ออำนาจ(น้ำอุ่น)</t>
  </si>
  <si>
    <t>นายศุภชัย</t>
  </si>
  <si>
    <t>นางประภาษี(แอ๊ด)</t>
  </si>
  <si>
    <t>ถือศักดิ์(ทุ่งลุยลาย)</t>
  </si>
  <si>
    <t>นายสุริยา</t>
  </si>
  <si>
    <t>นางเพชรา</t>
  </si>
  <si>
    <t>นายแอ๊ดดี้</t>
  </si>
  <si>
    <t>ทวยแก้ว(ทุ่งลุยลาย)</t>
  </si>
  <si>
    <t>นางเป๊ยก</t>
  </si>
  <si>
    <t>ดลประสิทธิ์</t>
  </si>
  <si>
    <t>นางสิริญญา</t>
  </si>
  <si>
    <t>สาระวงษ์</t>
  </si>
  <si>
    <t>บุญบำรุง(ห้วยยาง)</t>
  </si>
  <si>
    <t>ศรีน้อย(ร่องแว่)</t>
  </si>
  <si>
    <t>นายเริงฤทธิ์</t>
  </si>
  <si>
    <t>เรืองเจริญ(ห้วยยาง)</t>
  </si>
  <si>
    <t>นายเดชากร</t>
  </si>
  <si>
    <t>เรืองเจริญ(ทุ่งลุยลาย)</t>
  </si>
  <si>
    <t>นายเล็ก</t>
  </si>
  <si>
    <t>นุยันต์(ลุยลาย)</t>
  </si>
  <si>
    <t>นางหนูกัน</t>
  </si>
  <si>
    <t>แว่นทิพย์(หนองเชียงรอด)</t>
  </si>
  <si>
    <t>นายชาติ</t>
  </si>
  <si>
    <t>ชัยโส</t>
  </si>
  <si>
    <t>นายสุเวศ(ยัน)</t>
  </si>
  <si>
    <t>นางราตรี</t>
  </si>
  <si>
    <t>นายทองขัน</t>
  </si>
  <si>
    <t>นางศิริรัตน์</t>
  </si>
  <si>
    <t>นายศักดิ์ชัย</t>
  </si>
  <si>
    <t>นางสุพี</t>
  </si>
  <si>
    <t>มาลี(ห้วยยาง)</t>
  </si>
  <si>
    <t>นายเล็ง</t>
  </si>
  <si>
    <t>ประเสริฐสม(น้ำอุ่น)</t>
  </si>
  <si>
    <t>นางอังศุมาลี</t>
  </si>
  <si>
    <t>สิงห์อาจ</t>
  </si>
  <si>
    <t>นายพิพัฒพงษ์</t>
  </si>
  <si>
    <t>พรมตา(น้ำอุ่น)</t>
  </si>
  <si>
    <t>นายบัญชา</t>
  </si>
  <si>
    <t>จันดี(ผาเบียด)</t>
  </si>
  <si>
    <t>ชัยบุรัมย์ (โนนนางร้อย)</t>
  </si>
  <si>
    <t>นางสุภาวรรณ</t>
  </si>
  <si>
    <t>นันท์แก้ว(หนองเชียงรอด)</t>
  </si>
  <si>
    <t>นายอาทิตย์</t>
  </si>
  <si>
    <t>รัตนนนท์</t>
  </si>
  <si>
    <t>นางบัวลำ</t>
  </si>
  <si>
    <t>โครงการยางหนึ่งก้อน</t>
  </si>
  <si>
    <t>ย้อนสู่สมาชิก</t>
  </si>
  <si>
    <t>นายเบียร์/เสือ</t>
  </si>
  <si>
    <t>นายสมบูรณ์</t>
  </si>
  <si>
    <t>นายบิ๊ก</t>
  </si>
  <si>
    <t>นายเวช</t>
  </si>
  <si>
    <t>โชคเจริญ(น้ำทิพย์)</t>
  </si>
  <si>
    <t>นางฐิติรัตน์</t>
  </si>
  <si>
    <t>คำยา</t>
  </si>
  <si>
    <t>ชำนาญ(ทุ่งลุยลาย)</t>
  </si>
  <si>
    <t>นายพิชิต</t>
  </si>
  <si>
    <t>นางสาววิกานดา</t>
  </si>
  <si>
    <t>นางจินันทิตา</t>
  </si>
  <si>
    <t>หิรัญหลาย</t>
  </si>
  <si>
    <t>นายสมพงษ์</t>
  </si>
  <si>
    <t>เปรมใจ (ห้วยยาง)</t>
  </si>
  <si>
    <t>นายประกาศิต</t>
  </si>
  <si>
    <t>สร้อยพุดเรือ</t>
  </si>
  <si>
    <t>นางสาวดรีม</t>
  </si>
  <si>
    <t>เดชบำรุง(น้ำหนาว)</t>
  </si>
  <si>
    <t>นายประกาศ</t>
  </si>
  <si>
    <t>นางสาวแววนภา</t>
  </si>
  <si>
    <t>เดชบำรุง</t>
  </si>
  <si>
    <t>นายบุญถม</t>
  </si>
  <si>
    <t>นายทองสุข</t>
  </si>
  <si>
    <t>พรมตา(น้ำหนาว)</t>
  </si>
  <si>
    <t>นางลัดดา/ทองสุข</t>
  </si>
  <si>
    <t>ดวงศรยา (น้ำหนาว)</t>
  </si>
  <si>
    <t>นางสาวสายปอ</t>
  </si>
  <si>
    <t>แย้มชุมพร(หนองหญ้าโก้ง)</t>
  </si>
  <si>
    <t>นายอำพร</t>
  </si>
  <si>
    <t>แก้วเวียง(หนองเชียงรอด)</t>
  </si>
  <si>
    <t>แคว้นเขาเม็ง(ห้วยยาง)</t>
  </si>
  <si>
    <t>ลาภประสงค์(ทุ่งลุยลาย)</t>
  </si>
  <si>
    <t>วารียันต์</t>
  </si>
  <si>
    <t>นิ่นทอง</t>
  </si>
  <si>
    <t>จันทะเกิด</t>
  </si>
  <si>
    <t>สุกพทธ</t>
  </si>
  <si>
    <t>นายเลี้ยง</t>
  </si>
  <si>
    <t>จิตพิไล(น้ำอุ่น)</t>
  </si>
  <si>
    <t>นายสุทิน</t>
  </si>
  <si>
    <t>เลิศคอนสาร(น้ำอุ่น)</t>
  </si>
  <si>
    <t>ทุ่งลุยลาย(แหลม)</t>
  </si>
  <si>
    <t>นายปรีชา</t>
  </si>
  <si>
    <t>แปลา(คอนสาร)</t>
  </si>
  <si>
    <t>นายอนุวัฒน์</t>
  </si>
  <si>
    <t>โพพา</t>
  </si>
  <si>
    <t>นางประภัสสร</t>
  </si>
  <si>
    <t>จันทะขัน(โนนนางร้อย)</t>
  </si>
  <si>
    <t>นางพิมพิสา</t>
  </si>
  <si>
    <t>ทองทาย(ร่องแว่)</t>
  </si>
  <si>
    <t>นายวีระพงษ์</t>
  </si>
  <si>
    <t>ศรีวัชนะพงษ์(ห้วยยาง)</t>
  </si>
  <si>
    <t>นายบุญเพ็ง</t>
  </si>
  <si>
    <t>หงษ์รัตน์</t>
  </si>
  <si>
    <t>นางนฤมล</t>
  </si>
  <si>
    <t>การประคอง</t>
  </si>
  <si>
    <t>นายแสงขาล</t>
  </si>
  <si>
    <t>ประเสริฐสาร</t>
  </si>
  <si>
    <t>นายบุญฤทธิ์</t>
  </si>
  <si>
    <t>จันพิมาย(ผาเบียด)</t>
  </si>
  <si>
    <t>นายอุบล</t>
  </si>
  <si>
    <t>มูลมัง(หนองหญ้าโก้ง)</t>
  </si>
  <si>
    <t xml:space="preserve">นายสุชาติ  </t>
  </si>
  <si>
    <t>คำหล้า(หนองหญ้าโก้ง)</t>
  </si>
  <si>
    <t>นายวีรพล</t>
  </si>
  <si>
    <t>แพงจอมซา(น้ำทิพย์)</t>
  </si>
  <si>
    <t>นายคำหล้า</t>
  </si>
  <si>
    <t>น้ำทิพย์</t>
  </si>
  <si>
    <t>สอนสะอาด(ห้วยยาง)</t>
  </si>
  <si>
    <t>นายเรือง</t>
  </si>
  <si>
    <t>ซงภูเขียว (เขาวงค์ภูผาม่าน)</t>
  </si>
  <si>
    <t>อุตสาหกรรมป่าไม้นครราชสีมา(สวนป่าคอนสาร)</t>
  </si>
  <si>
    <t>นางพวงพยอม</t>
  </si>
  <si>
    <t>จันทรประทักษ์(น้ำหนาว)</t>
  </si>
  <si>
    <t>นางวารินทร์/มาริน</t>
  </si>
  <si>
    <t>แพงจอมซา</t>
  </si>
  <si>
    <t>นายอำนาจ</t>
  </si>
  <si>
    <t>เต็มวุฒิ(สวนป่าคอนสาร)</t>
  </si>
  <si>
    <t>นายคำปัน</t>
  </si>
  <si>
    <t>ชาติสุภาพ(ห้วยยาง)</t>
  </si>
  <si>
    <t>นางศรินทร์</t>
  </si>
  <si>
    <t>เลิศคอนสาร(น้ำอ่น)</t>
  </si>
  <si>
    <t>นายชำนาญ</t>
  </si>
  <si>
    <t>สีดาทอง(น้ำหนาว)</t>
  </si>
  <si>
    <t>นางเกศริน</t>
  </si>
  <si>
    <t>ภูมิคอนสาร(ห้วยยาง)</t>
  </si>
  <si>
    <t>นายจรูญ</t>
  </si>
  <si>
    <t>ปลื้มใจ (ฮวงโป)</t>
  </si>
  <si>
    <t>ดาศรี(โนนหัน)</t>
  </si>
  <si>
    <t>นายบุญส่ง</t>
  </si>
  <si>
    <t>มาศวิจิตร</t>
  </si>
  <si>
    <t>นางจิตรดา</t>
  </si>
  <si>
    <t>สีเขียว</t>
  </si>
  <si>
    <t>นายชม</t>
  </si>
  <si>
    <t>ปรีดีวงษ์ (ทุ่งลุยลาย)</t>
  </si>
  <si>
    <t>นางปิยะธิดา</t>
  </si>
  <si>
    <t>มาซา(ห้วยยาง)</t>
  </si>
  <si>
    <t>ปรีดีวงษ์ (ห้วยยาง)</t>
  </si>
  <si>
    <t>นางจินตนา</t>
  </si>
  <si>
    <t>โทรักษา(หัวปลวกแหลม)</t>
  </si>
  <si>
    <t>ศรีธรรม(ห้วยยาง)</t>
  </si>
  <si>
    <t>นายคะนอง</t>
  </si>
  <si>
    <t>พลทาทอง(ห้วยยาง)</t>
  </si>
  <si>
    <t>นายประมวล</t>
  </si>
  <si>
    <t>พาขุนทด(มอตาเจ๊ก)</t>
  </si>
  <si>
    <t>นางสุดลมัย</t>
  </si>
  <si>
    <t>มาชา(โนนนางร้อย)</t>
  </si>
  <si>
    <t>นายคำหมาย</t>
  </si>
  <si>
    <t>ต่อศักดิ์(บ้านฝาย)</t>
  </si>
  <si>
    <t>นายทัศนศิลป์(ทักษิณ)</t>
  </si>
  <si>
    <t>ทองปาน (โนนนางร้อย)</t>
  </si>
  <si>
    <t>นายจำเนียร</t>
  </si>
  <si>
    <t>มณีน้อย(ทุ่งลุยลาย)</t>
  </si>
  <si>
    <t>นายรันดร์</t>
  </si>
  <si>
    <t>แย้มฎีกา(ห้วยยาง)</t>
  </si>
  <si>
    <t>นายวสันต์</t>
  </si>
  <si>
    <t>แสงวิเศษ(ห้วยยาง)</t>
  </si>
  <si>
    <t>จันวิเศษ</t>
  </si>
  <si>
    <t>นางธันวรัตน์</t>
  </si>
  <si>
    <t>กระจันทร์(น้ำหนาว)</t>
  </si>
  <si>
    <t>นายวัชรกร(เจน)</t>
  </si>
  <si>
    <t>ภูวนาท(น้ำหนาว)</t>
  </si>
  <si>
    <t>นายวิรัตน์</t>
  </si>
  <si>
    <t>โชติสุภาพ (น้ำอุ่น)</t>
  </si>
  <si>
    <t>ฮกจัตุรัส</t>
  </si>
  <si>
    <t>นายค้ำ</t>
  </si>
  <si>
    <t>กองกุล</t>
  </si>
  <si>
    <t>นางพัชรินทร์</t>
  </si>
  <si>
    <t>อึ่งกันยา</t>
  </si>
  <si>
    <t>นายอำนวย</t>
  </si>
  <si>
    <t>จันทาทุม(ทุ่งลุยลาย)</t>
  </si>
  <si>
    <t>นายสุพิษ</t>
  </si>
  <si>
    <t>นางเสาวภา</t>
  </si>
  <si>
    <t>ไพรัตน์(ทุ่งลุยลาย)</t>
  </si>
  <si>
    <t>ช่างกาจ</t>
  </si>
  <si>
    <t>ผลคำ</t>
  </si>
  <si>
    <t>นายระมัด</t>
  </si>
  <si>
    <t>แสนกุดเลาะ(ลุยลาย)</t>
  </si>
  <si>
    <t>ฐาโอษฐ์(น้ำหนาว)</t>
  </si>
  <si>
    <t>นายสุทัศ</t>
  </si>
  <si>
    <t>เกตุขุนทด(เขาวงค์)</t>
  </si>
  <si>
    <t>นางมณีรัตน์</t>
  </si>
  <si>
    <t>หาญญา</t>
  </si>
  <si>
    <t>ไร่สิง(ยม)</t>
  </si>
  <si>
    <t>นายเตี้ย</t>
  </si>
  <si>
    <t>ญาติบำรุง(โนนศิลา)</t>
  </si>
  <si>
    <t>นายเจริญ</t>
  </si>
  <si>
    <t>ศรีราวัตร</t>
  </si>
  <si>
    <t>นายจีราวัฒน์/จุฬารัตน์</t>
  </si>
  <si>
    <t>บัวแสงใส</t>
  </si>
  <si>
    <t>นางราวัลย์</t>
  </si>
  <si>
    <t>มาดนอก</t>
  </si>
  <si>
    <t>ปานนิล(น้ำทิพย์)</t>
  </si>
  <si>
    <t>นางผกามาศ</t>
  </si>
  <si>
    <t>ขุนพรม</t>
  </si>
  <si>
    <t>เปล่งหนองแซง(ห้วยยาง)</t>
  </si>
  <si>
    <t>นางเพ็ญฤดี</t>
  </si>
  <si>
    <t>ทุ่งลุยลาย</t>
  </si>
  <si>
    <t>นางนันทภัค(สำลี)</t>
  </si>
  <si>
    <t>จันทร์พิลักษณ์(ผาเบียด)</t>
  </si>
  <si>
    <t>นางประภารัตน์</t>
  </si>
  <si>
    <t>อินอิ่ม</t>
  </si>
  <si>
    <t>นายชัยยัน</t>
  </si>
  <si>
    <t>หมื่นชั่ง</t>
  </si>
  <si>
    <t>สมอาจ(ทุ่งลุยลาย)</t>
  </si>
  <si>
    <t>ศรีดาทอง (น้ำหนาว)</t>
  </si>
  <si>
    <t>ภู่ระหงษ์(น้ำหนาว)</t>
  </si>
  <si>
    <t>บุตรกศก(น้ำมิพย์)</t>
  </si>
  <si>
    <t>นางจีราพร</t>
  </si>
  <si>
    <t>ประสิทธิ์(หนองเชียงรอด)</t>
  </si>
  <si>
    <t>นายกัมปนาท</t>
  </si>
  <si>
    <t>เซียมเวียง(มอตาเจ๊ก)</t>
  </si>
  <si>
    <t>นายไพร(แอ๊ด)</t>
  </si>
  <si>
    <t>เลิศคอนสาร(ห้วยยาง)</t>
  </si>
  <si>
    <t>นายหนูเต็ง</t>
  </si>
  <si>
    <t>นายวีระ</t>
  </si>
  <si>
    <t>นายพเนตร</t>
  </si>
  <si>
    <t>เนตรแสงสี(โนนนางร้อย)</t>
  </si>
  <si>
    <t>ใยขามป้อม(ห้วยยาง)</t>
  </si>
  <si>
    <t>นายภูวนาท</t>
  </si>
  <si>
    <t>แก้วบุญตา</t>
  </si>
  <si>
    <t>นายคำนาว</t>
  </si>
  <si>
    <t>นายพันธสุรกิจ</t>
  </si>
  <si>
    <t>นางสุภัตรา</t>
  </si>
  <si>
    <t>พรมเอี่ยม(ห้วยยาง)</t>
  </si>
  <si>
    <t>นางลิตร</t>
  </si>
  <si>
    <t>ยุระดา</t>
  </si>
  <si>
    <t>ยายเหนียด(นนท์)</t>
  </si>
  <si>
    <t>อุทัยแสง(ร่องแว่)</t>
  </si>
  <si>
    <t>เกิดมงคล(ร่องแว่)</t>
  </si>
  <si>
    <t>นางสุนิสา</t>
  </si>
  <si>
    <t>คำหล้า</t>
  </si>
  <si>
    <t>ภูธิพา</t>
  </si>
  <si>
    <t>นายสุภี</t>
  </si>
  <si>
    <t>นางปราณี</t>
  </si>
  <si>
    <t>คำบ่ง</t>
  </si>
  <si>
    <t>นายยม</t>
  </si>
  <si>
    <t>กิจสุธรรม(ห้วยยาง)</t>
  </si>
  <si>
    <t>กิจสุธรรม</t>
  </si>
  <si>
    <t>นวนมีสี(ห้วยยาง)</t>
  </si>
  <si>
    <t>ไร่ขิง(ยม)</t>
  </si>
  <si>
    <t>นายฉัตรชัย</t>
  </si>
  <si>
    <t>ละลมชัย(มอตาเจ๊ก)</t>
  </si>
  <si>
    <t>นายปฏิพล</t>
  </si>
  <si>
    <t>อภัยสูงเนิน</t>
  </si>
  <si>
    <t>แมนผดุง</t>
  </si>
  <si>
    <t>นายสิทธิชัย</t>
  </si>
  <si>
    <t>จันทร์เล็ก(ห้วยยาง)</t>
  </si>
  <si>
    <t>โชคชัย</t>
  </si>
  <si>
    <t>เต็มวงษ์</t>
  </si>
  <si>
    <t>เจนวิถี(บ้านฝาย)</t>
  </si>
  <si>
    <t>นายบุญเที่ยง</t>
  </si>
  <si>
    <t>แสนตา(ห้วยยาง)</t>
  </si>
  <si>
    <t>เครือเข้(ห้วยยาง)</t>
  </si>
  <si>
    <t>นายเฉลิมพล</t>
  </si>
  <si>
    <t>พรประทุม</t>
  </si>
  <si>
    <t>ศรีบุญฮง</t>
  </si>
  <si>
    <t>นายลำเพลิน</t>
  </si>
  <si>
    <t>นางธิติรัตน์</t>
  </si>
  <si>
    <t>คำญา</t>
  </si>
  <si>
    <t>นายจักรี</t>
  </si>
  <si>
    <t>ศรีเวียง</t>
  </si>
  <si>
    <t>นายน่วม</t>
  </si>
  <si>
    <t>นายเฉลิม</t>
  </si>
  <si>
    <t>ชาติสุภาพ</t>
  </si>
  <si>
    <t>นายเฉลิมชัย</t>
  </si>
  <si>
    <t>จันที(หนองเชียงรอด)</t>
  </si>
  <si>
    <t>นางสีดา</t>
  </si>
  <si>
    <t>นางอุไรวรรณ</t>
  </si>
  <si>
    <t>ดอนนาโว้(น้ำหนาว)</t>
  </si>
  <si>
    <t>นายเกียรติศักดิ์</t>
  </si>
  <si>
    <t>นางเก๋</t>
  </si>
  <si>
    <t>นายบุญหลาย</t>
  </si>
  <si>
    <t>ลาภเกิด(โนนนางร้อย)</t>
  </si>
  <si>
    <t>นางสาวเบญจวรรณ</t>
  </si>
  <si>
    <t>จำรัสลาภ</t>
  </si>
  <si>
    <t>นางหนูกาย</t>
  </si>
  <si>
    <t>นายพรมการ</t>
  </si>
  <si>
    <t>จีมขุนทด(ป่าผึ้ง)</t>
  </si>
  <si>
    <t>นายนิมิตร</t>
  </si>
  <si>
    <t>ชัยบุรัมย์(โนนนางร้อย)</t>
  </si>
  <si>
    <t>นางปิยาพร</t>
  </si>
  <si>
    <t>ธนานุรักษ์(ทุ่งลุยลาย)</t>
  </si>
  <si>
    <t>นางจริยาพร</t>
  </si>
  <si>
    <t>ประชาเขียว</t>
  </si>
  <si>
    <t>นางปนัยพร</t>
  </si>
  <si>
    <t>ห่อทรัพย์(ห้วยยาง)</t>
  </si>
  <si>
    <t>นายภูสิทธิ</t>
  </si>
  <si>
    <t>ต้นภูเขียว(หนองเชียงรอด)</t>
  </si>
  <si>
    <t>นายนิธิพล</t>
  </si>
  <si>
    <t>พิทยโยธิน(โนนนางร้อย)</t>
  </si>
  <si>
    <t>ต่อวาส(ห้วยยาง)</t>
  </si>
  <si>
    <t>นายคำปุ่น</t>
  </si>
  <si>
    <t>มงคลแสน(ทุ่งลุยลาย)</t>
  </si>
  <si>
    <t>นายธนกิจ</t>
  </si>
  <si>
    <t>ลาภชัย(ทุ่งลุยลาย)</t>
  </si>
  <si>
    <t>นาวอรุณ</t>
  </si>
  <si>
    <t>เลิศสมบูรณ์</t>
  </si>
  <si>
    <t>รองสุพรรณ(ลุยลาย)</t>
  </si>
  <si>
    <t>นางพงษ์พิเชษฐ</t>
  </si>
  <si>
    <t>ชมชื่น(ร่องแว่)</t>
  </si>
  <si>
    <t>นายโชค</t>
  </si>
  <si>
    <t>ขวัญยืน(ทุ่งลุยลาย)</t>
  </si>
  <si>
    <t>นายสำรวย</t>
  </si>
  <si>
    <t>ภาโค</t>
  </si>
  <si>
    <t>นางสายฝน</t>
  </si>
  <si>
    <t>หมวดทองหลาง(หนองเชียง)</t>
  </si>
  <si>
    <t>นางอึ่ง</t>
  </si>
  <si>
    <t>จำรัสแนว</t>
  </si>
  <si>
    <t>นางสิน</t>
  </si>
  <si>
    <t>นาคนาคา(ร่องแว่)</t>
  </si>
  <si>
    <t>นางรัตตินันท์</t>
  </si>
  <si>
    <t>นางปู</t>
  </si>
  <si>
    <t>น้ำหนาว</t>
  </si>
  <si>
    <t>นายวิชัย</t>
  </si>
  <si>
    <t>สบู่ทอง</t>
  </si>
  <si>
    <t>นางหนูจีน</t>
  </si>
  <si>
    <t>นายสมภพ</t>
  </si>
  <si>
    <t>ทองธรรมชาติ</t>
  </si>
  <si>
    <t>นางสุภาพร/สวาท</t>
  </si>
  <si>
    <t>ภูมิคอนสาร(ลุยลาย)</t>
  </si>
  <si>
    <t>นายรัชชานนท์</t>
  </si>
  <si>
    <t>ร่องแซง(ป่าผึ้ง)</t>
  </si>
  <si>
    <t>นางดารัตน์</t>
  </si>
  <si>
    <t>หาญปี(คอนสาร)</t>
  </si>
  <si>
    <t>นางสุนทรี</t>
  </si>
  <si>
    <t>กิมขุนทด(ร่องแว่)</t>
  </si>
  <si>
    <t>นายบวร</t>
  </si>
  <si>
    <t>ภูมิพระบุ(ห้วยยาง)</t>
  </si>
  <si>
    <t>นายจักรพันธ์</t>
  </si>
  <si>
    <t>พรมคำ(น้ำหนาว)</t>
  </si>
  <si>
    <t>นายวิเชียร</t>
  </si>
  <si>
    <t>พลแสนนอก</t>
  </si>
  <si>
    <t>นางเมรี</t>
  </si>
  <si>
    <t>บึงอำพัน</t>
  </si>
  <si>
    <t>นายวรรณา</t>
  </si>
  <si>
    <t>นายเสนาะ</t>
  </si>
  <si>
    <t>(ป๊อด)ตู้ประเสริฐ</t>
  </si>
  <si>
    <t>นายอนุเทพ</t>
  </si>
  <si>
    <t>บำรุงแจ้ง(บ้านฝาย)</t>
  </si>
  <si>
    <t>นายพิเชษ</t>
  </si>
  <si>
    <t>แสนคำ(ห้วยยาง)</t>
  </si>
  <si>
    <t>นายสุบรรณ</t>
  </si>
  <si>
    <t>สวัสดิรักษ์</t>
  </si>
  <si>
    <t>สวัสดิรักดิ์(ห้วยยาง)</t>
  </si>
  <si>
    <t>นายโกวิทย์</t>
  </si>
  <si>
    <t>เชื้อสามารถ(โนนนางร้อย)</t>
  </si>
  <si>
    <t>นายสวาท</t>
  </si>
  <si>
    <t>ตลับเงิน(ห้วยยาง)</t>
  </si>
  <si>
    <t>นายแจ่มผล</t>
  </si>
  <si>
    <t>ศรีจุนโฮ(ห้วยยาง)</t>
  </si>
  <si>
    <t>นางปริชาติ</t>
  </si>
  <si>
    <t>คำทัช</t>
  </si>
  <si>
    <t>นางนิมิตร</t>
  </si>
  <si>
    <t>ชัยคำภา(ร่องแว่)</t>
  </si>
  <si>
    <t>นายทรงศักดิ์</t>
  </si>
  <si>
    <t>จุนนันท์</t>
  </si>
  <si>
    <t>นายทองแดง</t>
  </si>
  <si>
    <t>ต่อวิเศษ</t>
  </si>
  <si>
    <t>นางหนูเจียม</t>
  </si>
  <si>
    <t>แสนกุล</t>
  </si>
  <si>
    <t>นายสาวิด</t>
  </si>
  <si>
    <t>แก้วมโหสถ(ร่องแว่)</t>
  </si>
  <si>
    <t>นายไพฑูรย์</t>
  </si>
  <si>
    <t>เสมาทอง</t>
  </si>
  <si>
    <t>นางบัวพิศ</t>
  </si>
  <si>
    <t>จีรนูน(ทุ่งลุยลาย)</t>
  </si>
  <si>
    <t>อึ่งปัญญา</t>
  </si>
  <si>
    <t>นายชัยมงคล</t>
  </si>
  <si>
    <t>มูลกลาง</t>
  </si>
  <si>
    <t>นายบรรเทิง</t>
  </si>
  <si>
    <t>ลาภทวี</t>
  </si>
  <si>
    <t>นายสมพร</t>
  </si>
  <si>
    <t>แก้วอ่ำ(น้ำหนาว)</t>
  </si>
  <si>
    <t>นายทวีชัย</t>
  </si>
  <si>
    <t>ตู้จำรูญ(ห้วยยาง)</t>
  </si>
  <si>
    <t>นางสมยงค์</t>
  </si>
  <si>
    <t>นายจตุรเทพ</t>
  </si>
  <si>
    <t>เต็มราษี(ป่าผึ้ง)</t>
  </si>
  <si>
    <t>นายไกรวิทย์</t>
  </si>
  <si>
    <t>นางทิพวัลย์</t>
  </si>
  <si>
    <t>(กิ๊ฟ)</t>
  </si>
  <si>
    <t>แตงทิพย์(ห้วยยาง)</t>
  </si>
  <si>
    <t>นายแก้ว</t>
  </si>
  <si>
    <t>แตงทิพย์(น้ำอุ่น)</t>
  </si>
  <si>
    <t>นางบุปผา</t>
  </si>
  <si>
    <t>นายวิทยา</t>
  </si>
  <si>
    <t>ชมพูพาณิชย์/น้ำทิพย์</t>
  </si>
  <si>
    <t>นางสมร</t>
  </si>
  <si>
    <t>ถมเวียง(ทุ่งลุยลาย)</t>
  </si>
  <si>
    <t>นางบุญเพ็ง</t>
  </si>
  <si>
    <t>ต่อศรี</t>
  </si>
  <si>
    <t>นางพัทยา</t>
  </si>
  <si>
    <t>ญานประเสริฐ</t>
  </si>
  <si>
    <t>ชัยบุญ(หนองเชียงรอด)</t>
  </si>
  <si>
    <t>นางวันนิสา</t>
  </si>
  <si>
    <t>แก้วสุโพ(ทุ่งลุยลาย)</t>
  </si>
  <si>
    <t>นายทองม้วน</t>
  </si>
  <si>
    <t>นางเรณู</t>
  </si>
  <si>
    <t>หวง</t>
  </si>
  <si>
    <t>นายชูวิทย์(ยาว)</t>
  </si>
  <si>
    <t>ศรีหามารถ(ห้วยยาง)</t>
  </si>
  <si>
    <t>นายคณิสร</t>
  </si>
  <si>
    <t>เจริญถิ่น(ดงกลาง)</t>
  </si>
  <si>
    <t>ยศจำรัส(หนองเชียงรอด)</t>
  </si>
  <si>
    <t>นายวีระพันธ์</t>
  </si>
  <si>
    <t>ชนะทรัพย์(หนองเชียงรอด)</t>
  </si>
  <si>
    <t>สมแสง(หนองหญ้าโก้ง)</t>
  </si>
  <si>
    <t>นายสิริวิทย์</t>
  </si>
  <si>
    <t>พันทอง</t>
  </si>
  <si>
    <t>นายแปลก</t>
  </si>
  <si>
    <t>นางปภัสสร</t>
  </si>
  <si>
    <t>ภูคงยอด/บุญคงยอด</t>
  </si>
  <si>
    <t>กิจสุวรรณ/กิจสุธรรม</t>
  </si>
  <si>
    <t>นางอ้อย</t>
  </si>
  <si>
    <t>แก่นเพชร</t>
  </si>
  <si>
    <t>นางอนุนงค์</t>
  </si>
  <si>
    <t>แฝงสระ(ลุยลาย)</t>
  </si>
  <si>
    <t>โซ่เมืองแซะ(เคโระ)</t>
  </si>
  <si>
    <t>นายชัยเดช</t>
  </si>
  <si>
    <t>ปราบอรินทร์</t>
  </si>
  <si>
    <t>ปราบอรินทร์(ผาเบียด)</t>
  </si>
  <si>
    <t>นายสมควร</t>
  </si>
  <si>
    <t>นายสัมพันธ์</t>
  </si>
  <si>
    <t>ขอสันเทียะ(ห้วยยาง)</t>
  </si>
  <si>
    <t>ผาทองที</t>
  </si>
  <si>
    <t>ลื่นภูเขียว</t>
  </si>
  <si>
    <t>นายธีรเดช</t>
  </si>
  <si>
    <t>นางมงคล</t>
  </si>
  <si>
    <t>คชพล</t>
  </si>
  <si>
    <t>นางศิริขวัญ</t>
  </si>
  <si>
    <t>บัตรสันเทียะ</t>
  </si>
  <si>
    <t>นายอดุล</t>
  </si>
  <si>
    <t>คชพล(น้ำทิพย์)</t>
  </si>
  <si>
    <t>นายพนมไพร</t>
  </si>
  <si>
    <t>ชมพูพาน(บ้านน้ำทิพย์)</t>
  </si>
  <si>
    <t>นายบัวชัย</t>
  </si>
  <si>
    <t>สิทธิคร</t>
  </si>
  <si>
    <t>นายพนม</t>
  </si>
  <si>
    <t>สิงห์แดง(ห้วยยาง)</t>
  </si>
  <si>
    <t>น้อยบุ่งคล้า(ร่องแว่)</t>
  </si>
  <si>
    <t>โค้งอาภาส(ห้วยยาง)</t>
  </si>
  <si>
    <t>นายบุญฤทธิ์/หลอด</t>
  </si>
  <si>
    <t>บำราชเข็ญ(ห้วยยาง)</t>
  </si>
  <si>
    <t>คุณเปิ้ล/สามัคคี</t>
  </si>
  <si>
    <t>อินจันทร์ดี(ห้ววยาง)</t>
  </si>
  <si>
    <t>บุญหา</t>
  </si>
  <si>
    <t>นางสาวสายรุ้ง</t>
  </si>
  <si>
    <t>คำตู้/คำตื้อ</t>
  </si>
  <si>
    <t>นางรุ้ง</t>
  </si>
  <si>
    <t>คำขวา</t>
  </si>
  <si>
    <t>นายเก่ง</t>
  </si>
  <si>
    <t>ปิ่นแก้ว(หนองเชียงรอด)</t>
  </si>
  <si>
    <t>นายปฎิพล(เอก)</t>
  </si>
  <si>
    <t>นางสาวนันทิกานต์</t>
  </si>
  <si>
    <t>ดุขุนทด</t>
  </si>
  <si>
    <t>นายกฤษฎา</t>
  </si>
  <si>
    <t>จิตรผล(ทุ่งลุยลาย)</t>
  </si>
  <si>
    <t>นายสมภาร</t>
  </si>
  <si>
    <t>นาคนิรันดร์(โนนศิลา)</t>
  </si>
  <si>
    <t>นายคำมูล</t>
  </si>
  <si>
    <t>มหาเสนา(ทุ่งลุยลาย)</t>
  </si>
  <si>
    <t>นายวิชิต</t>
  </si>
  <si>
    <t>คำมะนาม/ธรรมนาม</t>
  </si>
  <si>
    <t>ลือกำลัง</t>
  </si>
  <si>
    <t>นางบุญมี</t>
  </si>
  <si>
    <t>ที่รัก(ร่องแว่)</t>
  </si>
  <si>
    <t>ต่อวิญญา(พัน)ร่องแว่</t>
  </si>
  <si>
    <t>นายพานิชย์</t>
  </si>
  <si>
    <t>วรฤทธิ์(ร่องแว่)</t>
  </si>
  <si>
    <t>นางสาวฐาวลี</t>
  </si>
  <si>
    <t>วันทานี(น้ำทิพยฺ)</t>
  </si>
  <si>
    <t>นายสนั่น</t>
  </si>
  <si>
    <t>ทองตาเต็ม(หนองเชียงรอด)</t>
  </si>
  <si>
    <t>นายทองอินทร์</t>
  </si>
  <si>
    <t>แก้วเจิม(หนองเชียงรอด)</t>
  </si>
  <si>
    <t>นางคอนรี่</t>
  </si>
  <si>
    <t>วันดี(น้ำทิพย์)</t>
  </si>
  <si>
    <t>นางสำเภา</t>
  </si>
  <si>
    <t>หอมกระโทก</t>
  </si>
  <si>
    <t>นายอัษชา</t>
  </si>
  <si>
    <t>เปรมประยูร(หนองเชียงรอด)</t>
  </si>
  <si>
    <t>นายอภิราช</t>
  </si>
  <si>
    <t>ทุ่มโมง(ทุ่งลุยลาย)</t>
  </si>
  <si>
    <t>นายกอบ</t>
  </si>
  <si>
    <t>บัวเมืองเพียร</t>
  </si>
  <si>
    <t>นางจรัสศรี</t>
  </si>
  <si>
    <t>เรียนกระโทก</t>
  </si>
  <si>
    <t>รวมน้ำหนัก(กก.)</t>
  </si>
  <si>
    <t>รวมเป็นเงินทั้งสิ้น(บาท)</t>
  </si>
  <si>
    <t>รวมเป็นเงินทั้งสิ้น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</si>
</sst>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6"/>
      <color theme="1"/>
      <name val="Angsana New"/>
      <family val="1"/>
    </font>
    <font>
      <sz val="11"/>
      <color theme="1"/>
      <name val="Angsana New"/>
      <family val="1"/>
    </font>
    <font>
      <sz val="16"/>
      <color rgb="FFFF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2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2" fillId="2" borderId="2" xfId="1" applyNumberFormat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3" fillId="2" borderId="2" xfId="0" applyNumberFormat="1" applyFont="1" applyFill="1" applyBorder="1" applyAlignment="1">
      <alignment horizontal="center"/>
    </xf>
    <xf numFmtId="43" fontId="2" fillId="2" borderId="2" xfId="0" applyNumberFormat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2" xfId="0" applyNumberFormat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43" fontId="3" fillId="2" borderId="2" xfId="1" applyFont="1" applyFill="1" applyBorder="1"/>
    <xf numFmtId="43" fontId="3" fillId="2" borderId="2" xfId="0" applyNumberFormat="1" applyFont="1" applyFill="1" applyBorder="1"/>
    <xf numFmtId="43" fontId="3" fillId="2" borderId="5" xfId="1" applyFont="1" applyFill="1" applyBorder="1"/>
    <xf numFmtId="43" fontId="2" fillId="2" borderId="2" xfId="1" applyFont="1" applyFill="1" applyBorder="1"/>
    <xf numFmtId="43" fontId="2" fillId="2" borderId="2" xfId="0" applyNumberFormat="1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43" fontId="3" fillId="2" borderId="3" xfId="1" applyFont="1" applyFill="1" applyBorder="1"/>
    <xf numFmtId="43" fontId="3" fillId="2" borderId="4" xfId="0" applyNumberFormat="1" applyFont="1" applyFill="1" applyBorder="1"/>
    <xf numFmtId="0" fontId="3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3" fillId="2" borderId="8" xfId="0" applyFont="1" applyFill="1" applyBorder="1" applyAlignment="1">
      <alignment horizontal="center"/>
    </xf>
    <xf numFmtId="43" fontId="3" fillId="2" borderId="8" xfId="1" applyFont="1" applyFill="1" applyBorder="1"/>
    <xf numFmtId="43" fontId="3" fillId="2" borderId="6" xfId="1" applyFont="1" applyFill="1" applyBorder="1"/>
    <xf numFmtId="43" fontId="3" fillId="2" borderId="7" xfId="0" applyNumberFormat="1" applyFont="1" applyFill="1" applyBorder="1"/>
    <xf numFmtId="43" fontId="2" fillId="2" borderId="8" xfId="1" applyFont="1" applyFill="1" applyBorder="1"/>
    <xf numFmtId="43" fontId="3" fillId="2" borderId="8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43" fontId="2" fillId="2" borderId="8" xfId="0" applyNumberFormat="1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2" xfId="0" applyFont="1" applyFill="1" applyBorder="1"/>
    <xf numFmtId="43" fontId="5" fillId="2" borderId="2" xfId="1" applyFont="1" applyFill="1" applyBorder="1"/>
    <xf numFmtId="43" fontId="5" fillId="2" borderId="2" xfId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2" borderId="0" xfId="0" applyNumberFormat="1" applyFont="1" applyFill="1"/>
    <xf numFmtId="0" fontId="2" fillId="2" borderId="0" xfId="0" applyFont="1" applyFill="1" applyAlignment="1">
      <alignment horizontal="center"/>
    </xf>
    <xf numFmtId="43" fontId="3" fillId="2" borderId="1" xfId="1" applyFont="1" applyFill="1" applyBorder="1" applyAlignment="1"/>
    <xf numFmtId="43" fontId="2" fillId="2" borderId="1" xfId="1" applyFont="1" applyFill="1" applyBorder="1" applyAlignment="1"/>
    <xf numFmtId="43" fontId="3" fillId="2" borderId="1" xfId="0" applyNumberFormat="1" applyFont="1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4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/>
    </xf>
    <xf numFmtId="41" fontId="3" fillId="2" borderId="9" xfId="0" applyNumberFormat="1" applyFont="1" applyFill="1" applyBorder="1" applyAlignment="1">
      <alignment horizontal="center" vertical="center"/>
    </xf>
    <xf numFmtId="43" fontId="3" fillId="2" borderId="3" xfId="0" applyNumberFormat="1" applyFont="1" applyFill="1" applyBorder="1" applyAlignment="1">
      <alignment horizontal="center" vertical="center"/>
    </xf>
    <xf numFmtId="43" fontId="3" fillId="2" borderId="4" xfId="0" applyNumberFormat="1" applyFont="1" applyFill="1" applyBorder="1" applyAlignment="1">
      <alignment horizontal="center" vertical="center"/>
    </xf>
    <xf numFmtId="43" fontId="3" fillId="2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1" fontId="3" fillId="2" borderId="4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3" fillId="2" borderId="4" xfId="1" applyFont="1" applyFill="1" applyBorder="1" applyAlignment="1">
      <alignment horizontal="center" vertical="center"/>
    </xf>
    <xf numFmtId="43" fontId="3" fillId="2" borderId="2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43" fontId="3" fillId="2" borderId="2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43" fontId="3" fillId="2" borderId="2" xfId="1" applyFont="1" applyFill="1" applyBorder="1" applyAlignment="1"/>
    <xf numFmtId="43" fontId="3" fillId="2" borderId="2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43" fontId="3" fillId="2" borderId="8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43" fontId="3" fillId="2" borderId="8" xfId="1" applyFont="1" applyFill="1" applyBorder="1" applyAlignment="1">
      <alignment horizontal="center"/>
    </xf>
    <xf numFmtId="43" fontId="2" fillId="2" borderId="8" xfId="1" applyFont="1" applyFill="1" applyBorder="1" applyAlignment="1">
      <alignment horizontal="center"/>
    </xf>
    <xf numFmtId="43" fontId="3" fillId="2" borderId="8" xfId="1" applyFont="1" applyFill="1" applyBorder="1" applyAlignment="1">
      <alignment horizontal="right"/>
    </xf>
    <xf numFmtId="43" fontId="3" fillId="2" borderId="8" xfId="1" applyFont="1" applyFill="1" applyBorder="1" applyAlignment="1"/>
    <xf numFmtId="0" fontId="3" fillId="2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3" fontId="4" fillId="2" borderId="2" xfId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43" fontId="3" fillId="2" borderId="0" xfId="1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2" fillId="2" borderId="0" xfId="1" applyFont="1" applyFill="1" applyAlignment="1">
      <alignment horizontal="right"/>
    </xf>
    <xf numFmtId="43" fontId="3" fillId="2" borderId="0" xfId="1" applyFont="1" applyFill="1" applyAlignment="1"/>
    <xf numFmtId="43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right"/>
    </xf>
    <xf numFmtId="43" fontId="3" fillId="2" borderId="6" xfId="0" applyNumberFormat="1" applyFont="1" applyFill="1" applyBorder="1" applyAlignment="1">
      <alignment horizontal="center" vertical="center"/>
    </xf>
    <xf numFmtId="43" fontId="3" fillId="2" borderId="11" xfId="0" applyNumberFormat="1" applyFont="1" applyFill="1" applyBorder="1" applyAlignment="1">
      <alignment horizontal="center" vertical="center"/>
    </xf>
    <xf numFmtId="43" fontId="3" fillId="2" borderId="5" xfId="0" applyNumberFormat="1" applyFont="1" applyFill="1" applyBorder="1" applyAlignment="1">
      <alignment horizontal="center" vertical="center"/>
    </xf>
    <xf numFmtId="43" fontId="3" fillId="2" borderId="3" xfId="0" applyNumberFormat="1" applyFont="1" applyFill="1" applyBorder="1" applyAlignment="1">
      <alignment horizontal="center"/>
    </xf>
    <xf numFmtId="0" fontId="6" fillId="2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3" fontId="7" fillId="2" borderId="2" xfId="1" applyFont="1" applyFill="1" applyBorder="1" applyAlignment="1">
      <alignment horizontal="center"/>
    </xf>
    <xf numFmtId="43" fontId="7" fillId="2" borderId="2" xfId="1" applyFont="1" applyFill="1" applyBorder="1" applyAlignment="1">
      <alignment horizontal="right"/>
    </xf>
    <xf numFmtId="43" fontId="5" fillId="2" borderId="3" xfId="0" applyNumberFormat="1" applyFont="1" applyFill="1" applyBorder="1" applyAlignment="1">
      <alignment horizontal="center"/>
    </xf>
    <xf numFmtId="43" fontId="5" fillId="2" borderId="2" xfId="0" applyNumberFormat="1" applyFont="1" applyFill="1" applyBorder="1"/>
    <xf numFmtId="0" fontId="3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3" fontId="3" fillId="2" borderId="2" xfId="1" applyFont="1" applyFill="1" applyBorder="1" applyAlignment="1">
      <alignment horizontal="center" vertical="center" wrapText="1"/>
    </xf>
    <xf numFmtId="43" fontId="3" fillId="2" borderId="8" xfId="0" applyNumberFormat="1" applyFont="1" applyFill="1" applyBorder="1" applyAlignment="1">
      <alignment horizontal="center" vertical="center"/>
    </xf>
    <xf numFmtId="43" fontId="3" fillId="2" borderId="10" xfId="0" applyNumberFormat="1" applyFont="1" applyFill="1" applyBorder="1" applyAlignment="1">
      <alignment horizontal="center" vertical="center"/>
    </xf>
    <xf numFmtId="43" fontId="3" fillId="2" borderId="13" xfId="0" applyNumberFormat="1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8A40-FBCE-4E9E-BF23-CE9BABBFBB3E}">
  <dimension ref="A1:BP564"/>
  <sheetViews>
    <sheetView topLeftCell="AE1" workbookViewId="0">
      <selection activeCell="AS16" sqref="AS16"/>
    </sheetView>
  </sheetViews>
  <sheetFormatPr defaultColWidth="9" defaultRowHeight="23.25" x14ac:dyDescent="0.5"/>
  <cols>
    <col min="1" max="1" width="6.25" style="50" customWidth="1"/>
    <col min="2" max="2" width="16.75" style="1" customWidth="1"/>
    <col min="3" max="3" width="13.25" style="1" customWidth="1"/>
    <col min="4" max="4" width="9" style="31"/>
    <col min="5" max="5" width="5.375" style="31" customWidth="1"/>
    <col min="6" max="6" width="12.125" style="31" customWidth="1"/>
    <col min="7" max="7" width="14.25" style="31" customWidth="1"/>
    <col min="8" max="8" width="12.125" style="31" customWidth="1"/>
    <col min="9" max="9" width="14.25" style="31" customWidth="1"/>
    <col min="10" max="10" width="11.875" style="31" customWidth="1"/>
    <col min="11" max="11" width="14.125" style="31" customWidth="1"/>
    <col min="12" max="12" width="13.375" style="31" customWidth="1"/>
    <col min="13" max="13" width="12.75" style="31" customWidth="1"/>
    <col min="14" max="14" width="11.75" style="31" customWidth="1"/>
    <col min="15" max="15" width="13.25" style="31" customWidth="1"/>
    <col min="16" max="16" width="11.375" style="31" customWidth="1"/>
    <col min="17" max="17" width="15.375" style="31" customWidth="1"/>
    <col min="18" max="18" width="11.25" style="31" customWidth="1"/>
    <col min="19" max="19" width="15" style="31" customWidth="1"/>
    <col min="20" max="20" width="11.375" style="31" customWidth="1"/>
    <col min="21" max="21" width="14" style="31" customWidth="1"/>
    <col min="22" max="22" width="12.125" style="31" customWidth="1"/>
    <col min="23" max="23" width="16" style="31" customWidth="1"/>
    <col min="24" max="24" width="11.375" style="31" customWidth="1"/>
    <col min="25" max="25" width="14.25" style="31" customWidth="1"/>
    <col min="26" max="26" width="12.25" style="31" customWidth="1"/>
    <col min="27" max="27" width="13.25" style="31" customWidth="1"/>
    <col min="28" max="28" width="11.375" style="31" customWidth="1"/>
    <col min="29" max="29" width="12.875" style="31" customWidth="1"/>
    <col min="30" max="30" width="12" style="31" customWidth="1"/>
    <col min="31" max="31" width="15.625" style="31" customWidth="1"/>
    <col min="32" max="32" width="13.875" style="31" customWidth="1"/>
    <col min="33" max="33" width="14.375" style="31" customWidth="1"/>
    <col min="34" max="34" width="12.375" style="31" customWidth="1"/>
    <col min="35" max="35" width="13.875" style="31" customWidth="1"/>
    <col min="36" max="36" width="11.25" style="31" customWidth="1"/>
    <col min="37" max="37" width="14.25" style="31" customWidth="1"/>
    <col min="38" max="38" width="12.25" style="1" customWidth="1"/>
    <col min="39" max="39" width="14.375" style="1" customWidth="1"/>
    <col min="40" max="40" width="14.75" style="31" customWidth="1"/>
    <col min="41" max="41" width="15.25" style="31" customWidth="1"/>
    <col min="42" max="16384" width="9" style="1"/>
  </cols>
  <sheetData>
    <row r="1" spans="1:41" x14ac:dyDescent="0.5">
      <c r="A1" s="122" t="s">
        <v>969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</row>
    <row r="2" spans="1:41" x14ac:dyDescent="0.5">
      <c r="A2" s="2" t="s">
        <v>0</v>
      </c>
      <c r="B2" s="2" t="s">
        <v>1</v>
      </c>
      <c r="C2" s="2"/>
      <c r="D2" s="3" t="s">
        <v>2</v>
      </c>
      <c r="E2" s="3" t="s">
        <v>3</v>
      </c>
      <c r="F2" s="4" t="s">
        <v>4</v>
      </c>
      <c r="G2" s="4"/>
      <c r="H2" s="5" t="s">
        <v>5</v>
      </c>
      <c r="I2" s="5"/>
      <c r="J2" s="4" t="s">
        <v>5</v>
      </c>
      <c r="K2" s="4"/>
      <c r="L2" s="6" t="s">
        <v>6</v>
      </c>
      <c r="M2" s="4"/>
      <c r="N2" s="7" t="s">
        <v>7</v>
      </c>
      <c r="O2" s="5"/>
      <c r="P2" s="4" t="s">
        <v>8</v>
      </c>
      <c r="Q2" s="4"/>
      <c r="R2" s="8" t="s">
        <v>8</v>
      </c>
      <c r="S2" s="9"/>
      <c r="T2" s="9" t="s">
        <v>9</v>
      </c>
      <c r="U2" s="9"/>
      <c r="V2" s="10" t="s">
        <v>9</v>
      </c>
      <c r="W2" s="10"/>
      <c r="X2" s="10" t="s">
        <v>10</v>
      </c>
      <c r="Y2" s="10"/>
      <c r="Z2" s="10" t="s">
        <v>11</v>
      </c>
      <c r="AA2" s="10"/>
      <c r="AB2" s="10" t="s">
        <v>12</v>
      </c>
      <c r="AC2" s="10"/>
      <c r="AD2" s="10" t="s">
        <v>13</v>
      </c>
      <c r="AE2" s="10"/>
      <c r="AF2" s="11" t="s">
        <v>14</v>
      </c>
      <c r="AG2" s="11"/>
      <c r="AH2" s="10" t="s">
        <v>14</v>
      </c>
      <c r="AI2" s="10"/>
      <c r="AJ2" s="10" t="s">
        <v>15</v>
      </c>
      <c r="AK2" s="10"/>
      <c r="AL2" s="10" t="s">
        <v>15</v>
      </c>
      <c r="AM2" s="10"/>
      <c r="AN2" s="123" t="s">
        <v>1548</v>
      </c>
      <c r="AO2" s="123" t="s">
        <v>1549</v>
      </c>
    </row>
    <row r="3" spans="1:41" x14ac:dyDescent="0.5">
      <c r="A3" s="2"/>
      <c r="B3" s="2"/>
      <c r="C3" s="2"/>
      <c r="D3" s="3"/>
      <c r="E3" s="3"/>
      <c r="F3" s="4" t="s">
        <v>18</v>
      </c>
      <c r="G3" s="4"/>
      <c r="H3" s="5" t="s">
        <v>19</v>
      </c>
      <c r="I3" s="5"/>
      <c r="J3" s="4" t="s">
        <v>20</v>
      </c>
      <c r="K3" s="4"/>
      <c r="L3" s="6" t="s">
        <v>21</v>
      </c>
      <c r="M3" s="4"/>
      <c r="N3" s="7" t="s">
        <v>22</v>
      </c>
      <c r="O3" s="5"/>
      <c r="P3" s="4" t="s">
        <v>19</v>
      </c>
      <c r="Q3" s="4"/>
      <c r="R3" s="9" t="s">
        <v>23</v>
      </c>
      <c r="S3" s="9"/>
      <c r="T3" s="9" t="s">
        <v>24</v>
      </c>
      <c r="U3" s="9"/>
      <c r="V3" s="10" t="s">
        <v>25</v>
      </c>
      <c r="W3" s="10"/>
      <c r="X3" s="10" t="s">
        <v>26</v>
      </c>
      <c r="Y3" s="10"/>
      <c r="Z3" s="10" t="s">
        <v>24</v>
      </c>
      <c r="AA3" s="10"/>
      <c r="AB3" s="10" t="s">
        <v>27</v>
      </c>
      <c r="AC3" s="10"/>
      <c r="AD3" s="10" t="s">
        <v>28</v>
      </c>
      <c r="AE3" s="10"/>
      <c r="AF3" s="11" t="s">
        <v>19</v>
      </c>
      <c r="AG3" s="11"/>
      <c r="AH3" s="10" t="s">
        <v>29</v>
      </c>
      <c r="AI3" s="10"/>
      <c r="AJ3" s="10" t="s">
        <v>30</v>
      </c>
      <c r="AK3" s="10"/>
      <c r="AL3" s="11" t="s">
        <v>29</v>
      </c>
      <c r="AM3" s="11"/>
      <c r="AN3" s="123"/>
      <c r="AO3" s="123"/>
    </row>
    <row r="4" spans="1:41" x14ac:dyDescent="0.5">
      <c r="A4" s="2"/>
      <c r="B4" s="2"/>
      <c r="C4" s="2"/>
      <c r="D4" s="3"/>
      <c r="E4" s="3"/>
      <c r="F4" s="12" t="s">
        <v>31</v>
      </c>
      <c r="G4" s="12" t="s">
        <v>32</v>
      </c>
      <c r="H4" s="12" t="s">
        <v>31</v>
      </c>
      <c r="I4" s="13" t="s">
        <v>32</v>
      </c>
      <c r="J4" s="12" t="s">
        <v>31</v>
      </c>
      <c r="K4" s="12" t="s">
        <v>32</v>
      </c>
      <c r="L4" s="14" t="s">
        <v>31</v>
      </c>
      <c r="M4" s="12" t="s">
        <v>32</v>
      </c>
      <c r="N4" s="15" t="s">
        <v>31</v>
      </c>
      <c r="O4" s="16" t="s">
        <v>32</v>
      </c>
      <c r="P4" s="12" t="s">
        <v>31</v>
      </c>
      <c r="Q4" s="12" t="s">
        <v>32</v>
      </c>
      <c r="R4" s="17" t="s">
        <v>31</v>
      </c>
      <c r="S4" s="17" t="s">
        <v>32</v>
      </c>
      <c r="T4" s="17" t="s">
        <v>31</v>
      </c>
      <c r="U4" s="17" t="s">
        <v>32</v>
      </c>
      <c r="V4" s="13" t="s">
        <v>31</v>
      </c>
      <c r="W4" s="13" t="s">
        <v>32</v>
      </c>
      <c r="X4" s="13" t="s">
        <v>31</v>
      </c>
      <c r="Y4" s="13" t="s">
        <v>32</v>
      </c>
      <c r="Z4" s="13" t="s">
        <v>31</v>
      </c>
      <c r="AA4" s="13" t="s">
        <v>32</v>
      </c>
      <c r="AB4" s="13" t="s">
        <v>33</v>
      </c>
      <c r="AC4" s="13" t="s">
        <v>32</v>
      </c>
      <c r="AD4" s="13" t="s">
        <v>31</v>
      </c>
      <c r="AE4" s="13" t="s">
        <v>32</v>
      </c>
      <c r="AF4" s="18" t="s">
        <v>31</v>
      </c>
      <c r="AG4" s="18" t="s">
        <v>32</v>
      </c>
      <c r="AH4" s="13" t="s">
        <v>31</v>
      </c>
      <c r="AI4" s="13" t="s">
        <v>32</v>
      </c>
      <c r="AJ4" s="13" t="s">
        <v>31</v>
      </c>
      <c r="AK4" s="13" t="s">
        <v>32</v>
      </c>
      <c r="AL4" s="18" t="s">
        <v>31</v>
      </c>
      <c r="AM4" s="18" t="s">
        <v>32</v>
      </c>
      <c r="AN4" s="12" t="s">
        <v>34</v>
      </c>
      <c r="AO4" s="12" t="s">
        <v>35</v>
      </c>
    </row>
    <row r="5" spans="1:41" x14ac:dyDescent="0.5">
      <c r="A5" s="19">
        <v>1</v>
      </c>
      <c r="B5" s="20" t="s">
        <v>36</v>
      </c>
      <c r="C5" s="21" t="s">
        <v>37</v>
      </c>
      <c r="D5" s="16">
        <v>2</v>
      </c>
      <c r="E5" s="16">
        <v>1</v>
      </c>
      <c r="F5" s="22">
        <v>511</v>
      </c>
      <c r="G5" s="22">
        <f>F5*31.12</f>
        <v>15902.32</v>
      </c>
      <c r="H5" s="22">
        <v>387</v>
      </c>
      <c r="I5" s="23">
        <f>H5*32.41</f>
        <v>12542.669999999998</v>
      </c>
      <c r="J5" s="22"/>
      <c r="K5" s="22">
        <f>J5*33.01</f>
        <v>0</v>
      </c>
      <c r="L5" s="22"/>
      <c r="M5" s="24">
        <f>L5*35.12</f>
        <v>0</v>
      </c>
      <c r="N5" s="23">
        <v>541</v>
      </c>
      <c r="O5" s="23">
        <f>N5*38.25</f>
        <v>20693.25</v>
      </c>
      <c r="P5" s="22">
        <v>532</v>
      </c>
      <c r="Q5" s="22">
        <f>P5*42</f>
        <v>22344</v>
      </c>
      <c r="R5" s="25">
        <v>415</v>
      </c>
      <c r="S5" s="25">
        <f>R5*38.7</f>
        <v>16060.500000000002</v>
      </c>
      <c r="T5" s="25">
        <v>519</v>
      </c>
      <c r="U5" s="25">
        <f>T5*33.7</f>
        <v>17490.300000000003</v>
      </c>
      <c r="V5" s="23">
        <v>535</v>
      </c>
      <c r="W5" s="23">
        <f>V5*32.8</f>
        <v>17548</v>
      </c>
      <c r="X5" s="23">
        <v>569</v>
      </c>
      <c r="Y5" s="23">
        <f>X5*35.15</f>
        <v>20000.349999999999</v>
      </c>
      <c r="Z5" s="23">
        <v>526</v>
      </c>
      <c r="AA5" s="23">
        <f>Z5*34.66</f>
        <v>18231.16</v>
      </c>
      <c r="AB5" s="23">
        <v>408</v>
      </c>
      <c r="AC5" s="23">
        <f>AB5*36.05</f>
        <v>14708.4</v>
      </c>
      <c r="AD5" s="23">
        <v>485</v>
      </c>
      <c r="AE5" s="23">
        <f>AD5*35.04</f>
        <v>16994.399999999998</v>
      </c>
      <c r="AF5" s="26">
        <v>702</v>
      </c>
      <c r="AG5" s="26">
        <f>AF5*34.18</f>
        <v>23994.36</v>
      </c>
      <c r="AH5" s="23">
        <v>612</v>
      </c>
      <c r="AI5" s="23">
        <f>AH5*33.3</f>
        <v>20379.599999999999</v>
      </c>
      <c r="AJ5" s="23">
        <v>693</v>
      </c>
      <c r="AK5" s="23">
        <f>AJ5*35.95</f>
        <v>24913.350000000002</v>
      </c>
      <c r="AL5" s="26">
        <v>609</v>
      </c>
      <c r="AM5" s="26">
        <f>AL5*36.67</f>
        <v>22332.030000000002</v>
      </c>
      <c r="AN5" s="12">
        <f>F5+H5+J5+L5+N5+P5+R5+T5+V5+X5+Z5+AB5+AD5+AF5+AH5+AJ5+AL5</f>
        <v>8044</v>
      </c>
      <c r="AO5" s="22">
        <f>G5+I5+K5+M5+O5+Q5+S5+U5+W5+Y5+AA5+AC5+AE5+AG5+AI5+AK5+AM5</f>
        <v>284134.69</v>
      </c>
    </row>
    <row r="6" spans="1:41" x14ac:dyDescent="0.5">
      <c r="A6" s="19">
        <v>2</v>
      </c>
      <c r="B6" s="20" t="s">
        <v>38</v>
      </c>
      <c r="C6" s="21" t="s">
        <v>39</v>
      </c>
      <c r="D6" s="16">
        <v>9</v>
      </c>
      <c r="E6" s="16">
        <v>1</v>
      </c>
      <c r="F6" s="22">
        <v>551</v>
      </c>
      <c r="G6" s="22">
        <f t="shared" ref="G6:G69" si="0">F6*31.12</f>
        <v>17147.12</v>
      </c>
      <c r="H6" s="22"/>
      <c r="I6" s="23">
        <f t="shared" ref="I6:I69" si="1">H6*32.41</f>
        <v>0</v>
      </c>
      <c r="J6" s="22"/>
      <c r="K6" s="22">
        <f t="shared" ref="K6:K69" si="2">J6*33.01</f>
        <v>0</v>
      </c>
      <c r="L6" s="22"/>
      <c r="M6" s="24">
        <f t="shared" ref="M6:M69" si="3">L6*35.12</f>
        <v>0</v>
      </c>
      <c r="N6" s="23">
        <v>1529</v>
      </c>
      <c r="O6" s="23">
        <f t="shared" ref="O6:O69" si="4">N6*38.25</f>
        <v>58484.25</v>
      </c>
      <c r="P6" s="22">
        <v>1367</v>
      </c>
      <c r="Q6" s="22">
        <f t="shared" ref="Q6:Q69" si="5">P6*42</f>
        <v>57414</v>
      </c>
      <c r="R6" s="25">
        <v>2438</v>
      </c>
      <c r="S6" s="25">
        <f t="shared" ref="S6:S69" si="6">R6*38.7</f>
        <v>94350.6</v>
      </c>
      <c r="T6" s="25">
        <v>2377</v>
      </c>
      <c r="U6" s="25">
        <f t="shared" ref="U6:U69" si="7">T6*33.7</f>
        <v>80104.900000000009</v>
      </c>
      <c r="V6" s="23">
        <v>2215</v>
      </c>
      <c r="W6" s="23">
        <f t="shared" ref="W6:W69" si="8">V6*32.8</f>
        <v>72652</v>
      </c>
      <c r="X6" s="23">
        <v>2438</v>
      </c>
      <c r="Y6" s="23">
        <f t="shared" ref="Y6:Y69" si="9">X6*35.15</f>
        <v>85695.7</v>
      </c>
      <c r="Z6" s="23">
        <v>1697</v>
      </c>
      <c r="AA6" s="23">
        <f t="shared" ref="AA6:AA69" si="10">Z6*34.66</f>
        <v>58818.02</v>
      </c>
      <c r="AB6" s="23">
        <v>2425</v>
      </c>
      <c r="AC6" s="23">
        <f t="shared" ref="AC6:AC69" si="11">AB6*36.05</f>
        <v>87421.25</v>
      </c>
      <c r="AD6" s="23">
        <v>2238</v>
      </c>
      <c r="AE6" s="23">
        <f t="shared" ref="AE6:AE69" si="12">AD6*35.04</f>
        <v>78419.520000000004</v>
      </c>
      <c r="AF6" s="26">
        <v>2351</v>
      </c>
      <c r="AG6" s="26">
        <f t="shared" ref="AG6:AG69" si="13">AF6*34.18</f>
        <v>80357.179999999993</v>
      </c>
      <c r="AH6" s="23">
        <v>1114</v>
      </c>
      <c r="AI6" s="23">
        <f t="shared" ref="AI6:AI69" si="14">AH6*33.3</f>
        <v>37096.199999999997</v>
      </c>
      <c r="AJ6" s="23">
        <v>2628</v>
      </c>
      <c r="AK6" s="23">
        <f t="shared" ref="AK6:AK69" si="15">AJ6*35.95</f>
        <v>94476.6</v>
      </c>
      <c r="AL6" s="26">
        <v>2240</v>
      </c>
      <c r="AM6" s="26">
        <f t="shared" ref="AM6:AM69" si="16">AL6*36.67</f>
        <v>82140.800000000003</v>
      </c>
      <c r="AN6" s="12">
        <f t="shared" ref="AN6:AN69" si="17">F6+H6+J6+L6+N6+P6+R6+T6+V6+X6+Z6+AB6+AD6+AF6+AH6+AJ6+AL6</f>
        <v>27608</v>
      </c>
      <c r="AO6" s="22">
        <f t="shared" ref="AO6:AO69" si="18">G6+I6+K6+M6+O6+Q6+S6+U6+W6+Y6+AA6+AC6+AE6+AG6+AI6+AK6+AM6</f>
        <v>984578.14</v>
      </c>
    </row>
    <row r="7" spans="1:41" x14ac:dyDescent="0.5">
      <c r="A7" s="19">
        <v>3</v>
      </c>
      <c r="B7" s="20" t="s">
        <v>40</v>
      </c>
      <c r="C7" s="21" t="s">
        <v>41</v>
      </c>
      <c r="D7" s="16">
        <v>13</v>
      </c>
      <c r="E7" s="16">
        <v>1</v>
      </c>
      <c r="F7" s="22">
        <v>457</v>
      </c>
      <c r="G7" s="22">
        <f t="shared" si="0"/>
        <v>14221.84</v>
      </c>
      <c r="H7" s="22">
        <v>319</v>
      </c>
      <c r="I7" s="23">
        <f t="shared" si="1"/>
        <v>10338.789999999999</v>
      </c>
      <c r="J7" s="22">
        <v>358</v>
      </c>
      <c r="K7" s="22">
        <f t="shared" si="2"/>
        <v>11817.58</v>
      </c>
      <c r="L7" s="22">
        <v>267</v>
      </c>
      <c r="M7" s="24">
        <f t="shared" si="3"/>
        <v>9377.0399999999991</v>
      </c>
      <c r="N7" s="23">
        <v>315</v>
      </c>
      <c r="O7" s="23">
        <f t="shared" si="4"/>
        <v>12048.75</v>
      </c>
      <c r="P7" s="22">
        <v>381</v>
      </c>
      <c r="Q7" s="22">
        <f t="shared" si="5"/>
        <v>16002</v>
      </c>
      <c r="R7" s="25">
        <v>358</v>
      </c>
      <c r="S7" s="25">
        <f t="shared" si="6"/>
        <v>13854.6</v>
      </c>
      <c r="T7" s="25">
        <v>343</v>
      </c>
      <c r="U7" s="25">
        <f t="shared" si="7"/>
        <v>11559.1</v>
      </c>
      <c r="V7" s="23">
        <v>310</v>
      </c>
      <c r="W7" s="23">
        <f t="shared" si="8"/>
        <v>10168</v>
      </c>
      <c r="X7" s="23">
        <v>457</v>
      </c>
      <c r="Y7" s="23">
        <f t="shared" si="9"/>
        <v>16063.55</v>
      </c>
      <c r="Z7" s="23">
        <v>443</v>
      </c>
      <c r="AA7" s="23">
        <f t="shared" si="10"/>
        <v>15354.38</v>
      </c>
      <c r="AB7" s="23">
        <v>271</v>
      </c>
      <c r="AC7" s="23">
        <f t="shared" si="11"/>
        <v>9769.5499999999993</v>
      </c>
      <c r="AD7" s="23">
        <v>427</v>
      </c>
      <c r="AE7" s="23">
        <f t="shared" si="12"/>
        <v>14962.08</v>
      </c>
      <c r="AF7" s="26">
        <v>381</v>
      </c>
      <c r="AG7" s="26">
        <f t="shared" si="13"/>
        <v>13022.58</v>
      </c>
      <c r="AH7" s="23">
        <v>390</v>
      </c>
      <c r="AI7" s="23">
        <f t="shared" si="14"/>
        <v>12986.999999999998</v>
      </c>
      <c r="AJ7" s="23">
        <v>408</v>
      </c>
      <c r="AK7" s="23">
        <f t="shared" si="15"/>
        <v>14667.6</v>
      </c>
      <c r="AL7" s="26">
        <v>431</v>
      </c>
      <c r="AM7" s="26">
        <f t="shared" si="16"/>
        <v>15804.77</v>
      </c>
      <c r="AN7" s="12">
        <f t="shared" si="17"/>
        <v>6316</v>
      </c>
      <c r="AO7" s="22">
        <f t="shared" si="18"/>
        <v>222019.20999999996</v>
      </c>
    </row>
    <row r="8" spans="1:41" x14ac:dyDescent="0.5">
      <c r="A8" s="19">
        <v>4</v>
      </c>
      <c r="B8" s="20" t="s">
        <v>42</v>
      </c>
      <c r="C8" s="21" t="s">
        <v>43</v>
      </c>
      <c r="D8" s="16">
        <v>76</v>
      </c>
      <c r="E8" s="16">
        <v>1</v>
      </c>
      <c r="F8" s="22">
        <v>535</v>
      </c>
      <c r="G8" s="22">
        <f t="shared" si="0"/>
        <v>16649.2</v>
      </c>
      <c r="H8" s="22">
        <v>73</v>
      </c>
      <c r="I8" s="23">
        <f t="shared" si="1"/>
        <v>2365.9299999999998</v>
      </c>
      <c r="J8" s="22">
        <v>502</v>
      </c>
      <c r="K8" s="22">
        <f t="shared" si="2"/>
        <v>16571.02</v>
      </c>
      <c r="L8" s="22"/>
      <c r="M8" s="24">
        <f t="shared" si="3"/>
        <v>0</v>
      </c>
      <c r="N8" s="23">
        <v>261</v>
      </c>
      <c r="O8" s="23">
        <f t="shared" si="4"/>
        <v>9983.25</v>
      </c>
      <c r="P8" s="22">
        <v>682</v>
      </c>
      <c r="Q8" s="22">
        <f t="shared" si="5"/>
        <v>28644</v>
      </c>
      <c r="R8" s="25">
        <v>595</v>
      </c>
      <c r="S8" s="25">
        <f t="shared" si="6"/>
        <v>23026.5</v>
      </c>
      <c r="T8" s="25">
        <v>615</v>
      </c>
      <c r="U8" s="25">
        <f t="shared" si="7"/>
        <v>20725.5</v>
      </c>
      <c r="V8" s="23">
        <v>674</v>
      </c>
      <c r="W8" s="23">
        <f t="shared" si="8"/>
        <v>22107.199999999997</v>
      </c>
      <c r="X8" s="23">
        <v>571</v>
      </c>
      <c r="Y8" s="23">
        <f t="shared" si="9"/>
        <v>20070.649999999998</v>
      </c>
      <c r="Z8" s="23">
        <v>660</v>
      </c>
      <c r="AA8" s="23">
        <f t="shared" si="10"/>
        <v>22875.599999999999</v>
      </c>
      <c r="AB8" s="23">
        <v>526</v>
      </c>
      <c r="AC8" s="23">
        <f t="shared" si="11"/>
        <v>18962.3</v>
      </c>
      <c r="AD8" s="23">
        <v>579</v>
      </c>
      <c r="AE8" s="23">
        <f t="shared" si="12"/>
        <v>20288.16</v>
      </c>
      <c r="AF8" s="26">
        <v>647</v>
      </c>
      <c r="AG8" s="26">
        <f t="shared" si="13"/>
        <v>22114.46</v>
      </c>
      <c r="AH8" s="23">
        <v>595</v>
      </c>
      <c r="AI8" s="23">
        <f t="shared" si="14"/>
        <v>19813.5</v>
      </c>
      <c r="AJ8" s="23">
        <v>676</v>
      </c>
      <c r="AK8" s="23">
        <f t="shared" si="15"/>
        <v>24302.2</v>
      </c>
      <c r="AL8" s="26">
        <v>664</v>
      </c>
      <c r="AM8" s="26">
        <f t="shared" si="16"/>
        <v>24348.880000000001</v>
      </c>
      <c r="AN8" s="12">
        <f t="shared" si="17"/>
        <v>8855</v>
      </c>
      <c r="AO8" s="22">
        <f t="shared" si="18"/>
        <v>312848.34999999998</v>
      </c>
    </row>
    <row r="9" spans="1:41" x14ac:dyDescent="0.5">
      <c r="A9" s="19">
        <v>5</v>
      </c>
      <c r="B9" s="20" t="s">
        <v>44</v>
      </c>
      <c r="C9" s="21" t="s">
        <v>45</v>
      </c>
      <c r="D9" s="16">
        <v>77</v>
      </c>
      <c r="E9" s="16">
        <v>1</v>
      </c>
      <c r="F9" s="22"/>
      <c r="G9" s="22">
        <f t="shared" si="0"/>
        <v>0</v>
      </c>
      <c r="H9" s="22">
        <v>113</v>
      </c>
      <c r="I9" s="23">
        <f t="shared" si="1"/>
        <v>3662.3299999999995</v>
      </c>
      <c r="J9" s="22"/>
      <c r="K9" s="22">
        <f t="shared" si="2"/>
        <v>0</v>
      </c>
      <c r="L9" s="22">
        <v>320</v>
      </c>
      <c r="M9" s="24">
        <f t="shared" si="3"/>
        <v>11238.4</v>
      </c>
      <c r="N9" s="23">
        <v>196</v>
      </c>
      <c r="O9" s="23">
        <f t="shared" si="4"/>
        <v>7497</v>
      </c>
      <c r="P9" s="22">
        <v>269</v>
      </c>
      <c r="Q9" s="22">
        <f t="shared" si="5"/>
        <v>11298</v>
      </c>
      <c r="R9" s="25">
        <v>210</v>
      </c>
      <c r="S9" s="25">
        <f t="shared" si="6"/>
        <v>8127.0000000000009</v>
      </c>
      <c r="T9" s="25">
        <v>217</v>
      </c>
      <c r="U9" s="25">
        <f t="shared" si="7"/>
        <v>7312.9000000000005</v>
      </c>
      <c r="V9" s="23">
        <v>388</v>
      </c>
      <c r="W9" s="23">
        <f t="shared" si="8"/>
        <v>12726.4</v>
      </c>
      <c r="X9" s="23">
        <v>527</v>
      </c>
      <c r="Y9" s="23">
        <f t="shared" si="9"/>
        <v>18524.05</v>
      </c>
      <c r="Z9" s="23">
        <v>245</v>
      </c>
      <c r="AA9" s="23">
        <f t="shared" si="10"/>
        <v>8491.6999999999989</v>
      </c>
      <c r="AB9" s="23">
        <v>379</v>
      </c>
      <c r="AC9" s="23">
        <f t="shared" si="11"/>
        <v>13662.949999999999</v>
      </c>
      <c r="AD9" s="23">
        <v>453</v>
      </c>
      <c r="AE9" s="23">
        <f t="shared" si="12"/>
        <v>15873.119999999999</v>
      </c>
      <c r="AF9" s="26">
        <v>324</v>
      </c>
      <c r="AG9" s="26">
        <f t="shared" si="13"/>
        <v>11074.32</v>
      </c>
      <c r="AH9" s="23">
        <v>413</v>
      </c>
      <c r="AI9" s="23">
        <f t="shared" si="14"/>
        <v>13752.9</v>
      </c>
      <c r="AJ9" s="23">
        <v>297</v>
      </c>
      <c r="AK9" s="23">
        <f t="shared" si="15"/>
        <v>10677.150000000001</v>
      </c>
      <c r="AL9" s="26">
        <v>379</v>
      </c>
      <c r="AM9" s="26">
        <f t="shared" si="16"/>
        <v>13897.93</v>
      </c>
      <c r="AN9" s="12">
        <f t="shared" si="17"/>
        <v>4730</v>
      </c>
      <c r="AO9" s="22">
        <f t="shared" si="18"/>
        <v>167816.14999999997</v>
      </c>
    </row>
    <row r="10" spans="1:41" s="31" customFormat="1" x14ac:dyDescent="0.5">
      <c r="A10" s="19">
        <v>6</v>
      </c>
      <c r="B10" s="27" t="s">
        <v>46</v>
      </c>
      <c r="C10" s="28" t="s">
        <v>47</v>
      </c>
      <c r="D10" s="16">
        <v>326</v>
      </c>
      <c r="E10" s="16">
        <v>1</v>
      </c>
      <c r="F10" s="22">
        <v>106</v>
      </c>
      <c r="G10" s="22">
        <f t="shared" si="0"/>
        <v>3298.7200000000003</v>
      </c>
      <c r="H10" s="22"/>
      <c r="I10" s="23">
        <f t="shared" si="1"/>
        <v>0</v>
      </c>
      <c r="J10" s="22"/>
      <c r="K10" s="22">
        <f t="shared" si="2"/>
        <v>0</v>
      </c>
      <c r="L10" s="29"/>
      <c r="M10" s="24">
        <f t="shared" si="3"/>
        <v>0</v>
      </c>
      <c r="N10" s="30">
        <v>101</v>
      </c>
      <c r="O10" s="23">
        <f t="shared" si="4"/>
        <v>3863.25</v>
      </c>
      <c r="P10" s="22">
        <v>98</v>
      </c>
      <c r="Q10" s="22">
        <f t="shared" si="5"/>
        <v>4116</v>
      </c>
      <c r="R10" s="25">
        <v>708</v>
      </c>
      <c r="S10" s="25">
        <f t="shared" si="6"/>
        <v>27399.600000000002</v>
      </c>
      <c r="T10" s="25">
        <v>564</v>
      </c>
      <c r="U10" s="25">
        <f t="shared" si="7"/>
        <v>19006.800000000003</v>
      </c>
      <c r="V10" s="23">
        <v>511</v>
      </c>
      <c r="W10" s="23">
        <f t="shared" si="8"/>
        <v>16760.8</v>
      </c>
      <c r="X10" s="23">
        <v>539</v>
      </c>
      <c r="Y10" s="23">
        <f t="shared" si="9"/>
        <v>18945.849999999999</v>
      </c>
      <c r="Z10" s="23">
        <v>434</v>
      </c>
      <c r="AA10" s="23">
        <f t="shared" si="10"/>
        <v>15042.439999999999</v>
      </c>
      <c r="AB10" s="23">
        <v>434</v>
      </c>
      <c r="AC10" s="23">
        <f t="shared" si="11"/>
        <v>15645.699999999999</v>
      </c>
      <c r="AD10" s="23">
        <v>427</v>
      </c>
      <c r="AE10" s="23">
        <f t="shared" si="12"/>
        <v>14962.08</v>
      </c>
      <c r="AF10" s="26">
        <v>489</v>
      </c>
      <c r="AG10" s="26">
        <f t="shared" si="13"/>
        <v>16714.02</v>
      </c>
      <c r="AH10" s="23">
        <v>356</v>
      </c>
      <c r="AI10" s="23">
        <f t="shared" si="14"/>
        <v>11854.8</v>
      </c>
      <c r="AJ10" s="23">
        <v>457</v>
      </c>
      <c r="AK10" s="23">
        <f t="shared" si="15"/>
        <v>16429.150000000001</v>
      </c>
      <c r="AL10" s="23">
        <v>406</v>
      </c>
      <c r="AM10" s="26">
        <f t="shared" si="16"/>
        <v>14888.02</v>
      </c>
      <c r="AN10" s="12">
        <f t="shared" si="17"/>
        <v>5630</v>
      </c>
      <c r="AO10" s="22">
        <f t="shared" si="18"/>
        <v>198927.22999999998</v>
      </c>
    </row>
    <row r="11" spans="1:41" x14ac:dyDescent="0.5">
      <c r="A11" s="19">
        <v>7</v>
      </c>
      <c r="B11" s="20" t="s">
        <v>48</v>
      </c>
      <c r="C11" s="21" t="s">
        <v>49</v>
      </c>
      <c r="D11" s="16">
        <v>373</v>
      </c>
      <c r="E11" s="16">
        <v>1</v>
      </c>
      <c r="F11" s="22">
        <v>792</v>
      </c>
      <c r="G11" s="22">
        <f t="shared" si="0"/>
        <v>24647.040000000001</v>
      </c>
      <c r="H11" s="22">
        <v>306</v>
      </c>
      <c r="I11" s="23">
        <f t="shared" si="1"/>
        <v>9917.4599999999991</v>
      </c>
      <c r="J11" s="22">
        <v>736</v>
      </c>
      <c r="K11" s="22">
        <f t="shared" si="2"/>
        <v>24295.359999999997</v>
      </c>
      <c r="L11" s="29">
        <v>424</v>
      </c>
      <c r="M11" s="24">
        <f t="shared" si="3"/>
        <v>14890.88</v>
      </c>
      <c r="N11" s="30">
        <v>448</v>
      </c>
      <c r="O11" s="23">
        <f t="shared" si="4"/>
        <v>17136</v>
      </c>
      <c r="P11" s="22">
        <v>635</v>
      </c>
      <c r="Q11" s="22">
        <f t="shared" si="5"/>
        <v>26670</v>
      </c>
      <c r="R11" s="25">
        <v>527</v>
      </c>
      <c r="S11" s="25">
        <f t="shared" si="6"/>
        <v>20394.900000000001</v>
      </c>
      <c r="T11" s="25">
        <v>592</v>
      </c>
      <c r="U11" s="25">
        <f t="shared" si="7"/>
        <v>19950.400000000001</v>
      </c>
      <c r="V11" s="23">
        <v>680</v>
      </c>
      <c r="W11" s="23">
        <f t="shared" si="8"/>
        <v>22303.999999999996</v>
      </c>
      <c r="X11" s="23">
        <v>559</v>
      </c>
      <c r="Y11" s="23">
        <f t="shared" si="9"/>
        <v>19648.849999999999</v>
      </c>
      <c r="Z11" s="23">
        <v>817</v>
      </c>
      <c r="AA11" s="23">
        <f t="shared" si="10"/>
        <v>28317.219999999998</v>
      </c>
      <c r="AB11" s="23">
        <v>621</v>
      </c>
      <c r="AC11" s="23">
        <f t="shared" si="11"/>
        <v>22387.05</v>
      </c>
      <c r="AD11" s="23">
        <v>770</v>
      </c>
      <c r="AE11" s="23">
        <f t="shared" si="12"/>
        <v>26980.799999999999</v>
      </c>
      <c r="AF11" s="26">
        <v>626</v>
      </c>
      <c r="AG11" s="26">
        <f t="shared" si="13"/>
        <v>21396.68</v>
      </c>
      <c r="AH11" s="23">
        <v>591</v>
      </c>
      <c r="AI11" s="23">
        <f t="shared" si="14"/>
        <v>19680.3</v>
      </c>
      <c r="AJ11" s="23">
        <v>881</v>
      </c>
      <c r="AK11" s="23">
        <f t="shared" si="15"/>
        <v>31671.95</v>
      </c>
      <c r="AL11" s="26">
        <v>808</v>
      </c>
      <c r="AM11" s="26">
        <f t="shared" si="16"/>
        <v>29629.360000000001</v>
      </c>
      <c r="AN11" s="12">
        <f t="shared" si="17"/>
        <v>10813</v>
      </c>
      <c r="AO11" s="22">
        <f t="shared" si="18"/>
        <v>379918.25</v>
      </c>
    </row>
    <row r="12" spans="1:41" s="31" customFormat="1" x14ac:dyDescent="0.5">
      <c r="A12" s="19">
        <v>8</v>
      </c>
      <c r="B12" s="27" t="s">
        <v>50</v>
      </c>
      <c r="C12" s="28" t="s">
        <v>51</v>
      </c>
      <c r="D12" s="16">
        <v>376</v>
      </c>
      <c r="E12" s="16">
        <v>1</v>
      </c>
      <c r="F12" s="22"/>
      <c r="G12" s="22">
        <f t="shared" si="0"/>
        <v>0</v>
      </c>
      <c r="H12" s="22"/>
      <c r="I12" s="23">
        <f t="shared" si="1"/>
        <v>0</v>
      </c>
      <c r="J12" s="22"/>
      <c r="K12" s="22">
        <f t="shared" si="2"/>
        <v>0</v>
      </c>
      <c r="L12" s="22"/>
      <c r="M12" s="24">
        <f t="shared" si="3"/>
        <v>0</v>
      </c>
      <c r="N12" s="23"/>
      <c r="O12" s="23">
        <f t="shared" si="4"/>
        <v>0</v>
      </c>
      <c r="P12" s="22"/>
      <c r="Q12" s="22">
        <f t="shared" si="5"/>
        <v>0</v>
      </c>
      <c r="R12" s="25"/>
      <c r="S12" s="25">
        <f t="shared" si="6"/>
        <v>0</v>
      </c>
      <c r="T12" s="25"/>
      <c r="U12" s="25">
        <f t="shared" si="7"/>
        <v>0</v>
      </c>
      <c r="V12" s="23"/>
      <c r="W12" s="23">
        <f t="shared" si="8"/>
        <v>0</v>
      </c>
      <c r="X12" s="23"/>
      <c r="Y12" s="23">
        <f t="shared" si="9"/>
        <v>0</v>
      </c>
      <c r="Z12" s="23"/>
      <c r="AA12" s="23">
        <f t="shared" si="10"/>
        <v>0</v>
      </c>
      <c r="AB12" s="23"/>
      <c r="AC12" s="23">
        <f t="shared" si="11"/>
        <v>0</v>
      </c>
      <c r="AD12" s="23"/>
      <c r="AE12" s="23">
        <f t="shared" si="12"/>
        <v>0</v>
      </c>
      <c r="AF12" s="26"/>
      <c r="AG12" s="26">
        <f t="shared" si="13"/>
        <v>0</v>
      </c>
      <c r="AH12" s="23"/>
      <c r="AI12" s="23">
        <f t="shared" si="14"/>
        <v>0</v>
      </c>
      <c r="AJ12" s="23"/>
      <c r="AK12" s="23">
        <f t="shared" si="15"/>
        <v>0</v>
      </c>
      <c r="AL12" s="23"/>
      <c r="AM12" s="26">
        <f t="shared" si="16"/>
        <v>0</v>
      </c>
      <c r="AN12" s="12">
        <f t="shared" si="17"/>
        <v>0</v>
      </c>
      <c r="AO12" s="22">
        <f t="shared" si="18"/>
        <v>0</v>
      </c>
    </row>
    <row r="13" spans="1:41" s="31" customFormat="1" x14ac:dyDescent="0.5">
      <c r="A13" s="19">
        <v>9</v>
      </c>
      <c r="B13" s="27" t="s">
        <v>52</v>
      </c>
      <c r="C13" s="28" t="s">
        <v>53</v>
      </c>
      <c r="D13" s="16">
        <v>378</v>
      </c>
      <c r="E13" s="16">
        <v>1</v>
      </c>
      <c r="F13" s="22"/>
      <c r="G13" s="22">
        <f t="shared" si="0"/>
        <v>0</v>
      </c>
      <c r="H13" s="22"/>
      <c r="I13" s="23">
        <f t="shared" si="1"/>
        <v>0</v>
      </c>
      <c r="J13" s="22"/>
      <c r="K13" s="22">
        <f t="shared" si="2"/>
        <v>0</v>
      </c>
      <c r="L13" s="29"/>
      <c r="M13" s="24">
        <f t="shared" si="3"/>
        <v>0</v>
      </c>
      <c r="N13" s="30"/>
      <c r="O13" s="23">
        <f t="shared" si="4"/>
        <v>0</v>
      </c>
      <c r="P13" s="22"/>
      <c r="Q13" s="22">
        <f t="shared" si="5"/>
        <v>0</v>
      </c>
      <c r="R13" s="25"/>
      <c r="S13" s="25">
        <f t="shared" si="6"/>
        <v>0</v>
      </c>
      <c r="T13" s="25"/>
      <c r="U13" s="25">
        <f t="shared" si="7"/>
        <v>0</v>
      </c>
      <c r="V13" s="23"/>
      <c r="W13" s="23">
        <f t="shared" si="8"/>
        <v>0</v>
      </c>
      <c r="X13" s="23"/>
      <c r="Y13" s="23">
        <f t="shared" si="9"/>
        <v>0</v>
      </c>
      <c r="Z13" s="23"/>
      <c r="AA13" s="23">
        <f t="shared" si="10"/>
        <v>0</v>
      </c>
      <c r="AB13" s="23"/>
      <c r="AC13" s="23">
        <f t="shared" si="11"/>
        <v>0</v>
      </c>
      <c r="AD13" s="23"/>
      <c r="AE13" s="23">
        <f t="shared" si="12"/>
        <v>0</v>
      </c>
      <c r="AF13" s="26"/>
      <c r="AG13" s="26">
        <f t="shared" si="13"/>
        <v>0</v>
      </c>
      <c r="AH13" s="23"/>
      <c r="AI13" s="23">
        <f t="shared" si="14"/>
        <v>0</v>
      </c>
      <c r="AJ13" s="23"/>
      <c r="AK13" s="23">
        <f t="shared" si="15"/>
        <v>0</v>
      </c>
      <c r="AL13" s="23"/>
      <c r="AM13" s="26">
        <f t="shared" si="16"/>
        <v>0</v>
      </c>
      <c r="AN13" s="12">
        <f t="shared" si="17"/>
        <v>0</v>
      </c>
      <c r="AO13" s="22">
        <f t="shared" si="18"/>
        <v>0</v>
      </c>
    </row>
    <row r="14" spans="1:41" x14ac:dyDescent="0.5">
      <c r="A14" s="19">
        <v>10</v>
      </c>
      <c r="B14" s="20" t="s">
        <v>54</v>
      </c>
      <c r="C14" s="21" t="s">
        <v>55</v>
      </c>
      <c r="D14" s="16">
        <v>382</v>
      </c>
      <c r="E14" s="16">
        <v>1</v>
      </c>
      <c r="F14" s="22">
        <v>1415</v>
      </c>
      <c r="G14" s="22">
        <f t="shared" si="0"/>
        <v>44034.8</v>
      </c>
      <c r="H14" s="22">
        <v>950</v>
      </c>
      <c r="I14" s="23">
        <f t="shared" si="1"/>
        <v>30789.499999999996</v>
      </c>
      <c r="J14" s="22">
        <v>489</v>
      </c>
      <c r="K14" s="22">
        <f t="shared" si="2"/>
        <v>16141.89</v>
      </c>
      <c r="L14" s="29">
        <v>867</v>
      </c>
      <c r="M14" s="24">
        <f t="shared" si="3"/>
        <v>30449.039999999997</v>
      </c>
      <c r="N14" s="30">
        <v>716</v>
      </c>
      <c r="O14" s="23">
        <f t="shared" si="4"/>
        <v>27387</v>
      </c>
      <c r="P14" s="22">
        <v>1596</v>
      </c>
      <c r="Q14" s="22">
        <f t="shared" si="5"/>
        <v>67032</v>
      </c>
      <c r="R14" s="25">
        <v>1143</v>
      </c>
      <c r="S14" s="25">
        <f t="shared" si="6"/>
        <v>44234.100000000006</v>
      </c>
      <c r="T14" s="25">
        <v>1360</v>
      </c>
      <c r="U14" s="25">
        <f t="shared" si="7"/>
        <v>45832.000000000007</v>
      </c>
      <c r="V14" s="23">
        <v>976</v>
      </c>
      <c r="W14" s="23">
        <f t="shared" si="8"/>
        <v>32012.799999999996</v>
      </c>
      <c r="X14" s="23">
        <v>1340</v>
      </c>
      <c r="Y14" s="23">
        <f t="shared" si="9"/>
        <v>47101</v>
      </c>
      <c r="Z14" s="23">
        <v>1249</v>
      </c>
      <c r="AA14" s="23">
        <f t="shared" si="10"/>
        <v>43290.34</v>
      </c>
      <c r="AB14" s="23">
        <v>720</v>
      </c>
      <c r="AC14" s="23">
        <f t="shared" si="11"/>
        <v>25955.999999999996</v>
      </c>
      <c r="AD14" s="23">
        <v>1362</v>
      </c>
      <c r="AE14" s="23">
        <f t="shared" si="12"/>
        <v>47724.479999999996</v>
      </c>
      <c r="AF14" s="26">
        <v>1289</v>
      </c>
      <c r="AG14" s="26">
        <f t="shared" si="13"/>
        <v>44058.02</v>
      </c>
      <c r="AH14" s="23">
        <v>1348</v>
      </c>
      <c r="AI14" s="23">
        <f t="shared" si="14"/>
        <v>44888.399999999994</v>
      </c>
      <c r="AJ14" s="23">
        <v>1303</v>
      </c>
      <c r="AK14" s="23">
        <f t="shared" si="15"/>
        <v>46842.850000000006</v>
      </c>
      <c r="AL14" s="26">
        <v>1557</v>
      </c>
      <c r="AM14" s="26">
        <f t="shared" si="16"/>
        <v>57095.19</v>
      </c>
      <c r="AN14" s="12">
        <f t="shared" si="17"/>
        <v>19680</v>
      </c>
      <c r="AO14" s="22">
        <f t="shared" si="18"/>
        <v>694869.40999999992</v>
      </c>
    </row>
    <row r="15" spans="1:41" x14ac:dyDescent="0.5">
      <c r="A15" s="19">
        <v>11</v>
      </c>
      <c r="B15" s="20" t="s">
        <v>56</v>
      </c>
      <c r="C15" s="21" t="s">
        <v>47</v>
      </c>
      <c r="D15" s="16">
        <v>458</v>
      </c>
      <c r="E15" s="16">
        <v>1</v>
      </c>
      <c r="F15" s="22">
        <v>594</v>
      </c>
      <c r="G15" s="22">
        <f t="shared" si="0"/>
        <v>18485.28</v>
      </c>
      <c r="H15" s="22">
        <v>147</v>
      </c>
      <c r="I15" s="23">
        <f t="shared" si="1"/>
        <v>4764.2699999999995</v>
      </c>
      <c r="J15" s="22">
        <v>136</v>
      </c>
      <c r="K15" s="22">
        <f t="shared" si="2"/>
        <v>4489.3599999999997</v>
      </c>
      <c r="L15" s="29">
        <v>593</v>
      </c>
      <c r="M15" s="24">
        <f t="shared" si="3"/>
        <v>20826.16</v>
      </c>
      <c r="N15" s="30">
        <v>506</v>
      </c>
      <c r="O15" s="23">
        <f t="shared" si="4"/>
        <v>19354.5</v>
      </c>
      <c r="P15" s="22">
        <v>445</v>
      </c>
      <c r="Q15" s="22">
        <f t="shared" si="5"/>
        <v>18690</v>
      </c>
      <c r="R15" s="25">
        <v>300</v>
      </c>
      <c r="S15" s="25">
        <f t="shared" si="6"/>
        <v>11610</v>
      </c>
      <c r="T15" s="25">
        <v>388</v>
      </c>
      <c r="U15" s="25">
        <f t="shared" si="7"/>
        <v>13075.6</v>
      </c>
      <c r="V15" s="23">
        <v>373</v>
      </c>
      <c r="W15" s="23">
        <f t="shared" si="8"/>
        <v>12234.4</v>
      </c>
      <c r="X15" s="23">
        <v>551</v>
      </c>
      <c r="Y15" s="23">
        <f t="shared" si="9"/>
        <v>19367.649999999998</v>
      </c>
      <c r="Z15" s="23">
        <v>459</v>
      </c>
      <c r="AA15" s="23">
        <f t="shared" si="10"/>
        <v>15908.939999999999</v>
      </c>
      <c r="AB15" s="23">
        <v>458</v>
      </c>
      <c r="AC15" s="23">
        <f t="shared" si="11"/>
        <v>16510.899999999998</v>
      </c>
      <c r="AD15" s="23">
        <v>695</v>
      </c>
      <c r="AE15" s="23">
        <f t="shared" si="12"/>
        <v>24352.799999999999</v>
      </c>
      <c r="AF15" s="26">
        <v>670</v>
      </c>
      <c r="AG15" s="26">
        <f t="shared" si="13"/>
        <v>22900.6</v>
      </c>
      <c r="AH15" s="23">
        <v>599</v>
      </c>
      <c r="AI15" s="23">
        <f t="shared" si="14"/>
        <v>19946.699999999997</v>
      </c>
      <c r="AJ15" s="23">
        <v>633</v>
      </c>
      <c r="AK15" s="23">
        <f t="shared" si="15"/>
        <v>22756.350000000002</v>
      </c>
      <c r="AL15" s="26">
        <v>705</v>
      </c>
      <c r="AM15" s="26">
        <f t="shared" si="16"/>
        <v>25852.350000000002</v>
      </c>
      <c r="AN15" s="12">
        <f t="shared" si="17"/>
        <v>8252</v>
      </c>
      <c r="AO15" s="22">
        <f t="shared" si="18"/>
        <v>291125.85999999993</v>
      </c>
    </row>
    <row r="16" spans="1:41" s="31" customFormat="1" x14ac:dyDescent="0.5">
      <c r="A16" s="19">
        <v>12</v>
      </c>
      <c r="B16" s="27" t="s">
        <v>57</v>
      </c>
      <c r="C16" s="28" t="s">
        <v>58</v>
      </c>
      <c r="D16" s="16">
        <v>459</v>
      </c>
      <c r="E16" s="16">
        <v>1</v>
      </c>
      <c r="F16" s="22">
        <v>1963</v>
      </c>
      <c r="G16" s="22">
        <f t="shared" si="0"/>
        <v>61088.560000000005</v>
      </c>
      <c r="H16" s="22">
        <v>1507</v>
      </c>
      <c r="I16" s="23">
        <f t="shared" si="1"/>
        <v>48841.869999999995</v>
      </c>
      <c r="J16" s="22">
        <v>337</v>
      </c>
      <c r="K16" s="22">
        <f t="shared" si="2"/>
        <v>11124.369999999999</v>
      </c>
      <c r="L16" s="29">
        <v>218</v>
      </c>
      <c r="M16" s="24">
        <f t="shared" si="3"/>
        <v>7656.16</v>
      </c>
      <c r="N16" s="30">
        <v>815</v>
      </c>
      <c r="O16" s="23">
        <f t="shared" si="4"/>
        <v>31173.75</v>
      </c>
      <c r="P16" s="22">
        <v>1558</v>
      </c>
      <c r="Q16" s="22">
        <f t="shared" si="5"/>
        <v>65436</v>
      </c>
      <c r="R16" s="25">
        <v>1108</v>
      </c>
      <c r="S16" s="25">
        <f t="shared" si="6"/>
        <v>42879.600000000006</v>
      </c>
      <c r="T16" s="25">
        <v>1702</v>
      </c>
      <c r="U16" s="25">
        <f t="shared" si="7"/>
        <v>57357.4</v>
      </c>
      <c r="V16" s="23">
        <v>1367</v>
      </c>
      <c r="W16" s="23">
        <f t="shared" si="8"/>
        <v>44837.599999999999</v>
      </c>
      <c r="X16" s="23">
        <v>1369</v>
      </c>
      <c r="Y16" s="23">
        <f t="shared" si="9"/>
        <v>48120.35</v>
      </c>
      <c r="Z16" s="23">
        <v>1176</v>
      </c>
      <c r="AA16" s="23">
        <f t="shared" si="10"/>
        <v>40760.159999999996</v>
      </c>
      <c r="AB16" s="23">
        <v>1030</v>
      </c>
      <c r="AC16" s="23">
        <f t="shared" si="11"/>
        <v>37131.5</v>
      </c>
      <c r="AD16" s="23">
        <v>1655</v>
      </c>
      <c r="AE16" s="23">
        <f t="shared" si="12"/>
        <v>57991.199999999997</v>
      </c>
      <c r="AF16" s="26">
        <v>1576</v>
      </c>
      <c r="AG16" s="26">
        <f t="shared" si="13"/>
        <v>53867.68</v>
      </c>
      <c r="AH16" s="23">
        <v>1237</v>
      </c>
      <c r="AI16" s="23">
        <f t="shared" si="14"/>
        <v>41192.1</v>
      </c>
      <c r="AJ16" s="23">
        <v>1570</v>
      </c>
      <c r="AK16" s="23">
        <f t="shared" si="15"/>
        <v>56441.500000000007</v>
      </c>
      <c r="AL16" s="23">
        <v>1383</v>
      </c>
      <c r="AM16" s="26">
        <f t="shared" si="16"/>
        <v>50714.61</v>
      </c>
      <c r="AN16" s="12">
        <f t="shared" si="17"/>
        <v>21571</v>
      </c>
      <c r="AO16" s="22">
        <f t="shared" si="18"/>
        <v>756614.40999999992</v>
      </c>
    </row>
    <row r="17" spans="1:50" s="31" customFormat="1" x14ac:dyDescent="0.5">
      <c r="A17" s="19">
        <v>13</v>
      </c>
      <c r="B17" s="27" t="s">
        <v>59</v>
      </c>
      <c r="C17" s="28" t="s">
        <v>60</v>
      </c>
      <c r="D17" s="16">
        <v>468</v>
      </c>
      <c r="E17" s="16">
        <v>1</v>
      </c>
      <c r="F17" s="22"/>
      <c r="G17" s="22">
        <f t="shared" si="0"/>
        <v>0</v>
      </c>
      <c r="H17" s="22"/>
      <c r="I17" s="23">
        <f t="shared" si="1"/>
        <v>0</v>
      </c>
      <c r="J17" s="22"/>
      <c r="K17" s="22">
        <f t="shared" si="2"/>
        <v>0</v>
      </c>
      <c r="L17" s="22"/>
      <c r="M17" s="24">
        <f t="shared" si="3"/>
        <v>0</v>
      </c>
      <c r="N17" s="23"/>
      <c r="O17" s="23">
        <f t="shared" si="4"/>
        <v>0</v>
      </c>
      <c r="P17" s="22"/>
      <c r="Q17" s="22">
        <f t="shared" si="5"/>
        <v>0</v>
      </c>
      <c r="R17" s="25"/>
      <c r="S17" s="25">
        <f t="shared" si="6"/>
        <v>0</v>
      </c>
      <c r="T17" s="25"/>
      <c r="U17" s="25">
        <f t="shared" si="7"/>
        <v>0</v>
      </c>
      <c r="V17" s="23"/>
      <c r="W17" s="23">
        <f t="shared" si="8"/>
        <v>0</v>
      </c>
      <c r="X17" s="23"/>
      <c r="Y17" s="23">
        <f t="shared" si="9"/>
        <v>0</v>
      </c>
      <c r="Z17" s="23"/>
      <c r="AA17" s="23">
        <f t="shared" si="10"/>
        <v>0</v>
      </c>
      <c r="AB17" s="23"/>
      <c r="AC17" s="23">
        <f t="shared" si="11"/>
        <v>0</v>
      </c>
      <c r="AD17" s="23"/>
      <c r="AE17" s="23">
        <f t="shared" si="12"/>
        <v>0</v>
      </c>
      <c r="AF17" s="26"/>
      <c r="AG17" s="26">
        <f t="shared" si="13"/>
        <v>0</v>
      </c>
      <c r="AH17" s="23"/>
      <c r="AI17" s="23">
        <f t="shared" si="14"/>
        <v>0</v>
      </c>
      <c r="AJ17" s="23"/>
      <c r="AK17" s="23">
        <f t="shared" si="15"/>
        <v>0</v>
      </c>
      <c r="AL17" s="23"/>
      <c r="AM17" s="26">
        <f t="shared" si="16"/>
        <v>0</v>
      </c>
      <c r="AN17" s="12">
        <f t="shared" si="17"/>
        <v>0</v>
      </c>
      <c r="AO17" s="22">
        <f t="shared" si="18"/>
        <v>0</v>
      </c>
    </row>
    <row r="18" spans="1:50" x14ac:dyDescent="0.5">
      <c r="A18" s="19">
        <v>14</v>
      </c>
      <c r="B18" s="20" t="s">
        <v>61</v>
      </c>
      <c r="C18" s="21" t="s">
        <v>62</v>
      </c>
      <c r="D18" s="16">
        <v>469</v>
      </c>
      <c r="E18" s="16">
        <v>1</v>
      </c>
      <c r="F18" s="22">
        <v>804</v>
      </c>
      <c r="G18" s="22">
        <f t="shared" si="0"/>
        <v>25020.48</v>
      </c>
      <c r="H18" s="22">
        <v>202</v>
      </c>
      <c r="I18" s="23">
        <f t="shared" si="1"/>
        <v>6546.82</v>
      </c>
      <c r="J18" s="22"/>
      <c r="K18" s="22">
        <f t="shared" si="2"/>
        <v>0</v>
      </c>
      <c r="L18" s="22"/>
      <c r="M18" s="24">
        <f t="shared" si="3"/>
        <v>0</v>
      </c>
      <c r="N18" s="23">
        <v>301</v>
      </c>
      <c r="O18" s="23">
        <f t="shared" si="4"/>
        <v>11513.25</v>
      </c>
      <c r="P18" s="22">
        <v>1273</v>
      </c>
      <c r="Q18" s="22">
        <f t="shared" si="5"/>
        <v>53466</v>
      </c>
      <c r="R18" s="25">
        <v>1220</v>
      </c>
      <c r="S18" s="25">
        <f t="shared" si="6"/>
        <v>47214</v>
      </c>
      <c r="T18" s="25">
        <v>1279</v>
      </c>
      <c r="U18" s="25">
        <f t="shared" si="7"/>
        <v>43102.3</v>
      </c>
      <c r="V18" s="23">
        <v>1384</v>
      </c>
      <c r="W18" s="23">
        <f t="shared" si="8"/>
        <v>45395.199999999997</v>
      </c>
      <c r="X18" s="23">
        <v>1532</v>
      </c>
      <c r="Y18" s="23">
        <f t="shared" si="9"/>
        <v>53849.799999999996</v>
      </c>
      <c r="Z18" s="23">
        <v>1314</v>
      </c>
      <c r="AA18" s="23">
        <f t="shared" si="10"/>
        <v>45543.24</v>
      </c>
      <c r="AB18" s="23">
        <v>1258</v>
      </c>
      <c r="AC18" s="23">
        <f t="shared" si="11"/>
        <v>45350.899999999994</v>
      </c>
      <c r="AD18" s="23">
        <v>1323</v>
      </c>
      <c r="AE18" s="23">
        <f t="shared" si="12"/>
        <v>46357.919999999998</v>
      </c>
      <c r="AF18" s="26">
        <v>1618</v>
      </c>
      <c r="AG18" s="26">
        <f t="shared" si="13"/>
        <v>55303.24</v>
      </c>
      <c r="AH18" s="23">
        <v>1414</v>
      </c>
      <c r="AI18" s="23">
        <f t="shared" si="14"/>
        <v>47086.2</v>
      </c>
      <c r="AJ18" s="23">
        <v>1430</v>
      </c>
      <c r="AK18" s="23">
        <f t="shared" si="15"/>
        <v>51408.500000000007</v>
      </c>
      <c r="AL18" s="26">
        <v>1498</v>
      </c>
      <c r="AM18" s="26">
        <f t="shared" si="16"/>
        <v>54931.66</v>
      </c>
      <c r="AN18" s="12">
        <f t="shared" si="17"/>
        <v>17850</v>
      </c>
      <c r="AO18" s="22">
        <f t="shared" si="18"/>
        <v>632089.51</v>
      </c>
    </row>
    <row r="19" spans="1:50" x14ac:dyDescent="0.5">
      <c r="A19" s="19">
        <v>15</v>
      </c>
      <c r="B19" s="20" t="s">
        <v>63</v>
      </c>
      <c r="C19" s="21" t="s">
        <v>64</v>
      </c>
      <c r="D19" s="16">
        <v>470</v>
      </c>
      <c r="E19" s="16">
        <v>1</v>
      </c>
      <c r="F19" s="22">
        <v>246</v>
      </c>
      <c r="G19" s="22">
        <f t="shared" si="0"/>
        <v>7655.52</v>
      </c>
      <c r="H19" s="22"/>
      <c r="I19" s="23">
        <f t="shared" si="1"/>
        <v>0</v>
      </c>
      <c r="J19" s="22"/>
      <c r="K19" s="22">
        <f t="shared" si="2"/>
        <v>0</v>
      </c>
      <c r="L19" s="22"/>
      <c r="M19" s="24">
        <f t="shared" si="3"/>
        <v>0</v>
      </c>
      <c r="N19" s="23"/>
      <c r="O19" s="23">
        <f t="shared" si="4"/>
        <v>0</v>
      </c>
      <c r="P19" s="22">
        <v>633</v>
      </c>
      <c r="Q19" s="22">
        <f t="shared" si="5"/>
        <v>26586</v>
      </c>
      <c r="R19" s="25">
        <v>331</v>
      </c>
      <c r="S19" s="25">
        <f t="shared" si="6"/>
        <v>12809.7</v>
      </c>
      <c r="T19" s="25">
        <v>413</v>
      </c>
      <c r="U19" s="25">
        <f t="shared" si="7"/>
        <v>13918.1</v>
      </c>
      <c r="V19" s="23">
        <v>316</v>
      </c>
      <c r="W19" s="23">
        <f t="shared" si="8"/>
        <v>10364.799999999999</v>
      </c>
      <c r="X19" s="23">
        <v>332</v>
      </c>
      <c r="Y19" s="23">
        <f t="shared" si="9"/>
        <v>11669.8</v>
      </c>
      <c r="Z19" s="23">
        <v>304</v>
      </c>
      <c r="AA19" s="23">
        <f t="shared" si="10"/>
        <v>10536.64</v>
      </c>
      <c r="AB19" s="23">
        <v>285</v>
      </c>
      <c r="AC19" s="23">
        <f t="shared" si="11"/>
        <v>10274.25</v>
      </c>
      <c r="AD19" s="23">
        <v>348</v>
      </c>
      <c r="AE19" s="23">
        <f t="shared" si="12"/>
        <v>12193.92</v>
      </c>
      <c r="AF19" s="26">
        <v>423</v>
      </c>
      <c r="AG19" s="26">
        <f t="shared" si="13"/>
        <v>14458.14</v>
      </c>
      <c r="AH19" s="23">
        <v>372</v>
      </c>
      <c r="AI19" s="23">
        <f t="shared" si="14"/>
        <v>12387.599999999999</v>
      </c>
      <c r="AJ19" s="23">
        <v>413</v>
      </c>
      <c r="AK19" s="23">
        <f t="shared" si="15"/>
        <v>14847.35</v>
      </c>
      <c r="AL19" s="26"/>
      <c r="AM19" s="26">
        <f t="shared" si="16"/>
        <v>0</v>
      </c>
      <c r="AN19" s="12">
        <f t="shared" si="17"/>
        <v>4416</v>
      </c>
      <c r="AO19" s="22">
        <f t="shared" si="18"/>
        <v>157701.82</v>
      </c>
    </row>
    <row r="20" spans="1:50" x14ac:dyDescent="0.5">
      <c r="A20" s="19">
        <v>16</v>
      </c>
      <c r="B20" s="20" t="s">
        <v>65</v>
      </c>
      <c r="C20" s="21" t="s">
        <v>66</v>
      </c>
      <c r="D20" s="16">
        <v>471</v>
      </c>
      <c r="E20" s="16">
        <v>1</v>
      </c>
      <c r="F20" s="22"/>
      <c r="G20" s="22">
        <f t="shared" si="0"/>
        <v>0</v>
      </c>
      <c r="H20" s="22"/>
      <c r="I20" s="23">
        <f t="shared" si="1"/>
        <v>0</v>
      </c>
      <c r="J20" s="22"/>
      <c r="K20" s="22">
        <f t="shared" si="2"/>
        <v>0</v>
      </c>
      <c r="L20" s="22"/>
      <c r="M20" s="24">
        <f t="shared" si="3"/>
        <v>0</v>
      </c>
      <c r="N20" s="23"/>
      <c r="O20" s="23">
        <f t="shared" si="4"/>
        <v>0</v>
      </c>
      <c r="P20" s="22"/>
      <c r="Q20" s="22">
        <f t="shared" si="5"/>
        <v>0</v>
      </c>
      <c r="R20" s="25"/>
      <c r="S20" s="25">
        <f t="shared" si="6"/>
        <v>0</v>
      </c>
      <c r="T20" s="25"/>
      <c r="U20" s="25">
        <f t="shared" si="7"/>
        <v>0</v>
      </c>
      <c r="V20" s="23"/>
      <c r="W20" s="23">
        <f t="shared" si="8"/>
        <v>0</v>
      </c>
      <c r="X20" s="23"/>
      <c r="Y20" s="23">
        <f t="shared" si="9"/>
        <v>0</v>
      </c>
      <c r="Z20" s="23"/>
      <c r="AA20" s="23">
        <f t="shared" si="10"/>
        <v>0</v>
      </c>
      <c r="AB20" s="23"/>
      <c r="AC20" s="23">
        <f t="shared" si="11"/>
        <v>0</v>
      </c>
      <c r="AD20" s="23"/>
      <c r="AE20" s="23">
        <f t="shared" si="12"/>
        <v>0</v>
      </c>
      <c r="AF20" s="26"/>
      <c r="AG20" s="26">
        <f t="shared" si="13"/>
        <v>0</v>
      </c>
      <c r="AH20" s="23"/>
      <c r="AI20" s="23">
        <f t="shared" si="14"/>
        <v>0</v>
      </c>
      <c r="AJ20" s="23"/>
      <c r="AK20" s="23">
        <f t="shared" si="15"/>
        <v>0</v>
      </c>
      <c r="AL20" s="26"/>
      <c r="AM20" s="26">
        <f t="shared" si="16"/>
        <v>0</v>
      </c>
      <c r="AN20" s="12">
        <f t="shared" si="17"/>
        <v>0</v>
      </c>
      <c r="AO20" s="22">
        <f t="shared" si="18"/>
        <v>0</v>
      </c>
    </row>
    <row r="21" spans="1:50" s="31" customFormat="1" x14ac:dyDescent="0.5">
      <c r="A21" s="19">
        <v>17</v>
      </c>
      <c r="B21" s="27" t="s">
        <v>67</v>
      </c>
      <c r="C21" s="28" t="s">
        <v>68</v>
      </c>
      <c r="D21" s="16">
        <v>472</v>
      </c>
      <c r="E21" s="16">
        <v>1</v>
      </c>
      <c r="F21" s="22"/>
      <c r="G21" s="22">
        <f t="shared" si="0"/>
        <v>0</v>
      </c>
      <c r="H21" s="22"/>
      <c r="I21" s="23">
        <f t="shared" si="1"/>
        <v>0</v>
      </c>
      <c r="J21" s="22"/>
      <c r="K21" s="22">
        <f t="shared" si="2"/>
        <v>0</v>
      </c>
      <c r="L21" s="22"/>
      <c r="M21" s="24">
        <f t="shared" si="3"/>
        <v>0</v>
      </c>
      <c r="N21" s="23"/>
      <c r="O21" s="23">
        <f t="shared" si="4"/>
        <v>0</v>
      </c>
      <c r="P21" s="22"/>
      <c r="Q21" s="22">
        <f t="shared" si="5"/>
        <v>0</v>
      </c>
      <c r="R21" s="25"/>
      <c r="S21" s="25">
        <f t="shared" si="6"/>
        <v>0</v>
      </c>
      <c r="T21" s="25"/>
      <c r="U21" s="25">
        <f t="shared" si="7"/>
        <v>0</v>
      </c>
      <c r="V21" s="23"/>
      <c r="W21" s="23">
        <f t="shared" si="8"/>
        <v>0</v>
      </c>
      <c r="X21" s="23"/>
      <c r="Y21" s="23">
        <f t="shared" si="9"/>
        <v>0</v>
      </c>
      <c r="Z21" s="23"/>
      <c r="AA21" s="23">
        <f t="shared" si="10"/>
        <v>0</v>
      </c>
      <c r="AB21" s="23"/>
      <c r="AC21" s="23">
        <f t="shared" si="11"/>
        <v>0</v>
      </c>
      <c r="AD21" s="23"/>
      <c r="AE21" s="23">
        <f t="shared" si="12"/>
        <v>0</v>
      </c>
      <c r="AF21" s="26"/>
      <c r="AG21" s="26">
        <f t="shared" si="13"/>
        <v>0</v>
      </c>
      <c r="AH21" s="23"/>
      <c r="AI21" s="23">
        <f t="shared" si="14"/>
        <v>0</v>
      </c>
      <c r="AJ21" s="23"/>
      <c r="AK21" s="23">
        <f t="shared" si="15"/>
        <v>0</v>
      </c>
      <c r="AL21" s="23"/>
      <c r="AM21" s="26">
        <f t="shared" si="16"/>
        <v>0</v>
      </c>
      <c r="AN21" s="12">
        <f t="shared" si="17"/>
        <v>0</v>
      </c>
      <c r="AO21" s="22">
        <f t="shared" si="18"/>
        <v>0</v>
      </c>
    </row>
    <row r="22" spans="1:50" s="31" customFormat="1" x14ac:dyDescent="0.5">
      <c r="A22" s="19">
        <v>18</v>
      </c>
      <c r="B22" s="27" t="s">
        <v>69</v>
      </c>
      <c r="C22" s="28" t="s">
        <v>51</v>
      </c>
      <c r="D22" s="16">
        <v>521</v>
      </c>
      <c r="E22" s="16">
        <v>1</v>
      </c>
      <c r="F22" s="22"/>
      <c r="G22" s="22">
        <f t="shared" si="0"/>
        <v>0</v>
      </c>
      <c r="H22" s="22"/>
      <c r="I22" s="23">
        <f t="shared" si="1"/>
        <v>0</v>
      </c>
      <c r="J22" s="22"/>
      <c r="K22" s="22">
        <f t="shared" si="2"/>
        <v>0</v>
      </c>
      <c r="L22" s="22"/>
      <c r="M22" s="24">
        <f t="shared" si="3"/>
        <v>0</v>
      </c>
      <c r="N22" s="23"/>
      <c r="O22" s="23">
        <f t="shared" si="4"/>
        <v>0</v>
      </c>
      <c r="P22" s="22"/>
      <c r="Q22" s="22">
        <f t="shared" si="5"/>
        <v>0</v>
      </c>
      <c r="R22" s="25"/>
      <c r="S22" s="25">
        <f t="shared" si="6"/>
        <v>0</v>
      </c>
      <c r="T22" s="25"/>
      <c r="U22" s="25">
        <f t="shared" si="7"/>
        <v>0</v>
      </c>
      <c r="V22" s="23"/>
      <c r="W22" s="23">
        <f t="shared" si="8"/>
        <v>0</v>
      </c>
      <c r="X22" s="23"/>
      <c r="Y22" s="23">
        <f t="shared" si="9"/>
        <v>0</v>
      </c>
      <c r="Z22" s="23"/>
      <c r="AA22" s="23">
        <f t="shared" si="10"/>
        <v>0</v>
      </c>
      <c r="AB22" s="23"/>
      <c r="AC22" s="23">
        <f t="shared" si="11"/>
        <v>0</v>
      </c>
      <c r="AD22" s="23"/>
      <c r="AE22" s="23">
        <f t="shared" si="12"/>
        <v>0</v>
      </c>
      <c r="AF22" s="26"/>
      <c r="AG22" s="26">
        <f t="shared" si="13"/>
        <v>0</v>
      </c>
      <c r="AH22" s="23"/>
      <c r="AI22" s="23">
        <f t="shared" si="14"/>
        <v>0</v>
      </c>
      <c r="AJ22" s="23"/>
      <c r="AK22" s="23">
        <f t="shared" si="15"/>
        <v>0</v>
      </c>
      <c r="AL22" s="23"/>
      <c r="AM22" s="26">
        <f t="shared" si="16"/>
        <v>0</v>
      </c>
      <c r="AN22" s="12">
        <f t="shared" si="17"/>
        <v>0</v>
      </c>
      <c r="AO22" s="22">
        <f t="shared" si="18"/>
        <v>0</v>
      </c>
    </row>
    <row r="23" spans="1:50" x14ac:dyDescent="0.5">
      <c r="A23" s="19">
        <v>19</v>
      </c>
      <c r="B23" s="20" t="s">
        <v>70</v>
      </c>
      <c r="C23" s="21" t="s">
        <v>71</v>
      </c>
      <c r="D23" s="16">
        <v>528</v>
      </c>
      <c r="E23" s="16">
        <v>1</v>
      </c>
      <c r="F23" s="22">
        <v>623</v>
      </c>
      <c r="G23" s="22">
        <f t="shared" si="0"/>
        <v>19387.760000000002</v>
      </c>
      <c r="H23" s="22">
        <v>379</v>
      </c>
      <c r="I23" s="23">
        <f t="shared" si="1"/>
        <v>12283.39</v>
      </c>
      <c r="J23" s="22">
        <v>333</v>
      </c>
      <c r="K23" s="22">
        <f t="shared" si="2"/>
        <v>10992.33</v>
      </c>
      <c r="L23" s="29">
        <v>537</v>
      </c>
      <c r="M23" s="24">
        <f t="shared" si="3"/>
        <v>18859.439999999999</v>
      </c>
      <c r="N23" s="30">
        <v>424</v>
      </c>
      <c r="O23" s="23">
        <f t="shared" si="4"/>
        <v>16218</v>
      </c>
      <c r="P23" s="22">
        <v>742</v>
      </c>
      <c r="Q23" s="22">
        <f t="shared" si="5"/>
        <v>31164</v>
      </c>
      <c r="R23" s="25">
        <v>666</v>
      </c>
      <c r="S23" s="25">
        <f t="shared" si="6"/>
        <v>25774.2</v>
      </c>
      <c r="T23" s="25">
        <v>726</v>
      </c>
      <c r="U23" s="25">
        <f t="shared" si="7"/>
        <v>24466.2</v>
      </c>
      <c r="V23" s="23">
        <v>654</v>
      </c>
      <c r="W23" s="23">
        <f t="shared" si="8"/>
        <v>21451.199999999997</v>
      </c>
      <c r="X23" s="23">
        <v>689</v>
      </c>
      <c r="Y23" s="23">
        <f t="shared" si="9"/>
        <v>24218.35</v>
      </c>
      <c r="Z23" s="23">
        <v>163</v>
      </c>
      <c r="AA23" s="23">
        <f t="shared" si="10"/>
        <v>5649.579999999999</v>
      </c>
      <c r="AB23" s="23">
        <v>111</v>
      </c>
      <c r="AC23" s="23">
        <f t="shared" si="11"/>
        <v>4001.5499999999997</v>
      </c>
      <c r="AD23" s="23">
        <v>160</v>
      </c>
      <c r="AE23" s="23">
        <f t="shared" si="12"/>
        <v>5606.4</v>
      </c>
      <c r="AF23" s="26">
        <v>646</v>
      </c>
      <c r="AG23" s="26">
        <f t="shared" si="13"/>
        <v>22080.28</v>
      </c>
      <c r="AH23" s="23">
        <v>658</v>
      </c>
      <c r="AI23" s="23">
        <f t="shared" si="14"/>
        <v>21911.399999999998</v>
      </c>
      <c r="AJ23" s="23">
        <v>770</v>
      </c>
      <c r="AK23" s="23">
        <f t="shared" si="15"/>
        <v>27681.500000000004</v>
      </c>
      <c r="AL23" s="26">
        <v>783</v>
      </c>
      <c r="AM23" s="26">
        <f t="shared" si="16"/>
        <v>28712.61</v>
      </c>
      <c r="AN23" s="12">
        <f t="shared" si="17"/>
        <v>9064</v>
      </c>
      <c r="AO23" s="22">
        <f t="shared" si="18"/>
        <v>320458.19</v>
      </c>
    </row>
    <row r="24" spans="1:50" s="31" customFormat="1" x14ac:dyDescent="0.5">
      <c r="A24" s="19">
        <v>20</v>
      </c>
      <c r="B24" s="27" t="s">
        <v>72</v>
      </c>
      <c r="C24" s="28" t="s">
        <v>73</v>
      </c>
      <c r="D24" s="16">
        <v>574</v>
      </c>
      <c r="E24" s="16">
        <v>1</v>
      </c>
      <c r="F24" s="22">
        <v>1169</v>
      </c>
      <c r="G24" s="22">
        <f t="shared" si="0"/>
        <v>36379.279999999999</v>
      </c>
      <c r="H24" s="22">
        <v>589</v>
      </c>
      <c r="I24" s="23">
        <f t="shared" si="1"/>
        <v>19089.489999999998</v>
      </c>
      <c r="J24" s="22">
        <v>738</v>
      </c>
      <c r="K24" s="22">
        <f t="shared" si="2"/>
        <v>24361.379999999997</v>
      </c>
      <c r="L24" s="22">
        <v>471</v>
      </c>
      <c r="M24" s="24">
        <f t="shared" si="3"/>
        <v>16541.52</v>
      </c>
      <c r="N24" s="23">
        <v>960</v>
      </c>
      <c r="O24" s="23">
        <f t="shared" si="4"/>
        <v>36720</v>
      </c>
      <c r="P24" s="22">
        <v>1418</v>
      </c>
      <c r="Q24" s="22">
        <f t="shared" si="5"/>
        <v>59556</v>
      </c>
      <c r="R24" s="25">
        <v>1181</v>
      </c>
      <c r="S24" s="25">
        <f t="shared" si="6"/>
        <v>45704.700000000004</v>
      </c>
      <c r="T24" s="25">
        <v>1142</v>
      </c>
      <c r="U24" s="25">
        <f t="shared" si="7"/>
        <v>38485.4</v>
      </c>
      <c r="V24" s="23">
        <v>1284</v>
      </c>
      <c r="W24" s="23">
        <f t="shared" si="8"/>
        <v>42115.199999999997</v>
      </c>
      <c r="X24" s="23">
        <v>1240</v>
      </c>
      <c r="Y24" s="23">
        <f t="shared" si="9"/>
        <v>43586</v>
      </c>
      <c r="Z24" s="23">
        <v>917</v>
      </c>
      <c r="AA24" s="23">
        <f t="shared" si="10"/>
        <v>31783.219999999998</v>
      </c>
      <c r="AB24" s="23">
        <v>1065</v>
      </c>
      <c r="AC24" s="23">
        <f t="shared" si="11"/>
        <v>38393.25</v>
      </c>
      <c r="AD24" s="23">
        <v>1423</v>
      </c>
      <c r="AE24" s="23">
        <f t="shared" si="12"/>
        <v>49861.919999999998</v>
      </c>
      <c r="AF24" s="26">
        <v>1545</v>
      </c>
      <c r="AG24" s="26">
        <f t="shared" si="13"/>
        <v>52808.1</v>
      </c>
      <c r="AH24" s="23">
        <v>1359</v>
      </c>
      <c r="AI24" s="23">
        <f t="shared" si="14"/>
        <v>45254.7</v>
      </c>
      <c r="AJ24" s="23">
        <v>1306</v>
      </c>
      <c r="AK24" s="23">
        <f t="shared" si="15"/>
        <v>46950.700000000004</v>
      </c>
      <c r="AL24" s="23">
        <v>1736</v>
      </c>
      <c r="AM24" s="26">
        <f t="shared" si="16"/>
        <v>63659.12</v>
      </c>
      <c r="AN24" s="12">
        <f t="shared" si="17"/>
        <v>19543</v>
      </c>
      <c r="AO24" s="22">
        <f t="shared" si="18"/>
        <v>691249.97999999986</v>
      </c>
    </row>
    <row r="25" spans="1:50" s="31" customFormat="1" x14ac:dyDescent="0.5">
      <c r="A25" s="19">
        <v>21</v>
      </c>
      <c r="B25" s="27" t="s">
        <v>74</v>
      </c>
      <c r="C25" s="28" t="s">
        <v>75</v>
      </c>
      <c r="D25" s="16">
        <v>581</v>
      </c>
      <c r="E25" s="16">
        <v>1</v>
      </c>
      <c r="F25" s="22">
        <v>611</v>
      </c>
      <c r="G25" s="22">
        <f t="shared" si="0"/>
        <v>19014.32</v>
      </c>
      <c r="H25" s="22">
        <v>410</v>
      </c>
      <c r="I25" s="23">
        <f t="shared" si="1"/>
        <v>13288.099999999999</v>
      </c>
      <c r="J25" s="22">
        <v>207</v>
      </c>
      <c r="K25" s="22">
        <f t="shared" si="2"/>
        <v>6833.07</v>
      </c>
      <c r="L25" s="22"/>
      <c r="M25" s="24">
        <f t="shared" si="3"/>
        <v>0</v>
      </c>
      <c r="N25" s="23">
        <v>336</v>
      </c>
      <c r="O25" s="23">
        <f t="shared" si="4"/>
        <v>12852</v>
      </c>
      <c r="P25" s="22">
        <v>407</v>
      </c>
      <c r="Q25" s="22">
        <f t="shared" si="5"/>
        <v>17094</v>
      </c>
      <c r="R25" s="25">
        <v>236</v>
      </c>
      <c r="S25" s="25">
        <f t="shared" si="6"/>
        <v>9133.2000000000007</v>
      </c>
      <c r="T25" s="25">
        <v>607</v>
      </c>
      <c r="U25" s="25">
        <f t="shared" si="7"/>
        <v>20455.900000000001</v>
      </c>
      <c r="V25" s="23">
        <v>720</v>
      </c>
      <c r="W25" s="23">
        <f t="shared" si="8"/>
        <v>23615.999999999996</v>
      </c>
      <c r="X25" s="23">
        <v>270</v>
      </c>
      <c r="Y25" s="23">
        <f t="shared" si="9"/>
        <v>9490.5</v>
      </c>
      <c r="Z25" s="23">
        <v>561</v>
      </c>
      <c r="AA25" s="23">
        <f t="shared" si="10"/>
        <v>19444.259999999998</v>
      </c>
      <c r="AB25" s="23">
        <v>340</v>
      </c>
      <c r="AC25" s="23">
        <f t="shared" si="11"/>
        <v>12256.999999999998</v>
      </c>
      <c r="AD25" s="23">
        <v>496</v>
      </c>
      <c r="AE25" s="23">
        <f t="shared" si="12"/>
        <v>17379.84</v>
      </c>
      <c r="AF25" s="26">
        <v>693</v>
      </c>
      <c r="AG25" s="26">
        <f t="shared" si="13"/>
        <v>23686.74</v>
      </c>
      <c r="AH25" s="23">
        <v>278</v>
      </c>
      <c r="AI25" s="23">
        <f t="shared" si="14"/>
        <v>9257.4</v>
      </c>
      <c r="AJ25" s="23">
        <v>260</v>
      </c>
      <c r="AK25" s="23">
        <f t="shared" si="15"/>
        <v>9347</v>
      </c>
      <c r="AL25" s="23">
        <v>611</v>
      </c>
      <c r="AM25" s="26">
        <f t="shared" si="16"/>
        <v>22405.370000000003</v>
      </c>
      <c r="AN25" s="12">
        <f t="shared" si="17"/>
        <v>7043</v>
      </c>
      <c r="AO25" s="22">
        <f t="shared" si="18"/>
        <v>245554.69999999998</v>
      </c>
    </row>
    <row r="26" spans="1:50" x14ac:dyDescent="0.5">
      <c r="A26" s="19">
        <v>22</v>
      </c>
      <c r="B26" s="20" t="s">
        <v>76</v>
      </c>
      <c r="C26" s="21" t="s">
        <v>49</v>
      </c>
      <c r="D26" s="16">
        <v>584</v>
      </c>
      <c r="E26" s="16">
        <v>1</v>
      </c>
      <c r="F26" s="22">
        <v>2011</v>
      </c>
      <c r="G26" s="22">
        <f t="shared" si="0"/>
        <v>62582.32</v>
      </c>
      <c r="H26" s="22">
        <v>659</v>
      </c>
      <c r="I26" s="23">
        <f t="shared" si="1"/>
        <v>21358.19</v>
      </c>
      <c r="J26" s="22">
        <v>1068</v>
      </c>
      <c r="K26" s="22">
        <f t="shared" si="2"/>
        <v>35254.68</v>
      </c>
      <c r="L26" s="29">
        <v>1505</v>
      </c>
      <c r="M26" s="24">
        <f t="shared" si="3"/>
        <v>52855.6</v>
      </c>
      <c r="N26" s="30">
        <v>1908</v>
      </c>
      <c r="O26" s="23">
        <f t="shared" si="4"/>
        <v>72981</v>
      </c>
      <c r="P26" s="22">
        <v>2004</v>
      </c>
      <c r="Q26" s="22">
        <f t="shared" si="5"/>
        <v>84168</v>
      </c>
      <c r="R26" s="25">
        <v>2270</v>
      </c>
      <c r="S26" s="25">
        <f t="shared" si="6"/>
        <v>87849</v>
      </c>
      <c r="T26" s="25">
        <v>2601</v>
      </c>
      <c r="U26" s="25">
        <f t="shared" si="7"/>
        <v>87653.700000000012</v>
      </c>
      <c r="V26" s="23">
        <v>2518</v>
      </c>
      <c r="W26" s="23">
        <f t="shared" si="8"/>
        <v>82590.399999999994</v>
      </c>
      <c r="X26" s="23">
        <v>2557</v>
      </c>
      <c r="Y26" s="23">
        <f t="shared" si="9"/>
        <v>89878.55</v>
      </c>
      <c r="Z26" s="23">
        <v>2357</v>
      </c>
      <c r="AA26" s="23">
        <f t="shared" si="10"/>
        <v>81693.62</v>
      </c>
      <c r="AB26" s="23">
        <v>2838</v>
      </c>
      <c r="AC26" s="23">
        <f t="shared" si="11"/>
        <v>102309.9</v>
      </c>
      <c r="AD26" s="23">
        <v>3019</v>
      </c>
      <c r="AE26" s="23">
        <f t="shared" si="12"/>
        <v>105785.76</v>
      </c>
      <c r="AF26" s="26">
        <v>2822</v>
      </c>
      <c r="AG26" s="26">
        <f t="shared" si="13"/>
        <v>96455.96</v>
      </c>
      <c r="AH26" s="23">
        <v>3014</v>
      </c>
      <c r="AI26" s="23">
        <f t="shared" si="14"/>
        <v>100366.2</v>
      </c>
      <c r="AJ26" s="23">
        <v>2947</v>
      </c>
      <c r="AK26" s="23">
        <f t="shared" si="15"/>
        <v>105944.65000000001</v>
      </c>
      <c r="AL26" s="26">
        <v>2949</v>
      </c>
      <c r="AM26" s="26">
        <f t="shared" si="16"/>
        <v>108139.83</v>
      </c>
      <c r="AN26" s="12">
        <f t="shared" si="17"/>
        <v>39047</v>
      </c>
      <c r="AO26" s="22">
        <f t="shared" si="18"/>
        <v>1377867.36</v>
      </c>
      <c r="AT26" s="1">
        <v>5</v>
      </c>
      <c r="AX26" s="1">
        <v>8</v>
      </c>
    </row>
    <row r="27" spans="1:50" x14ac:dyDescent="0.5">
      <c r="A27" s="19">
        <v>23</v>
      </c>
      <c r="B27" s="20" t="s">
        <v>77</v>
      </c>
      <c r="C27" s="21" t="s">
        <v>78</v>
      </c>
      <c r="D27" s="16">
        <v>597</v>
      </c>
      <c r="E27" s="16">
        <v>1</v>
      </c>
      <c r="F27" s="22">
        <v>556</v>
      </c>
      <c r="G27" s="22">
        <f t="shared" si="0"/>
        <v>17302.72</v>
      </c>
      <c r="H27" s="22">
        <v>358</v>
      </c>
      <c r="I27" s="23">
        <f t="shared" si="1"/>
        <v>11602.779999999999</v>
      </c>
      <c r="J27" s="22">
        <v>290</v>
      </c>
      <c r="K27" s="22">
        <f t="shared" si="2"/>
        <v>9572.9</v>
      </c>
      <c r="L27" s="22">
        <v>203</v>
      </c>
      <c r="M27" s="24">
        <f t="shared" si="3"/>
        <v>7129.36</v>
      </c>
      <c r="N27" s="23">
        <v>298</v>
      </c>
      <c r="O27" s="23">
        <f t="shared" si="4"/>
        <v>11398.5</v>
      </c>
      <c r="P27" s="22">
        <v>347</v>
      </c>
      <c r="Q27" s="22">
        <f t="shared" si="5"/>
        <v>14574</v>
      </c>
      <c r="R27" s="25">
        <v>132</v>
      </c>
      <c r="S27" s="25">
        <f t="shared" si="6"/>
        <v>5108.4000000000005</v>
      </c>
      <c r="T27" s="25">
        <v>265</v>
      </c>
      <c r="U27" s="25">
        <f t="shared" si="7"/>
        <v>8930.5</v>
      </c>
      <c r="V27" s="23">
        <v>342</v>
      </c>
      <c r="W27" s="23">
        <f t="shared" si="8"/>
        <v>11217.599999999999</v>
      </c>
      <c r="X27" s="23">
        <v>508</v>
      </c>
      <c r="Y27" s="23">
        <f t="shared" si="9"/>
        <v>17856.2</v>
      </c>
      <c r="Z27" s="23">
        <v>346</v>
      </c>
      <c r="AA27" s="23">
        <f t="shared" si="10"/>
        <v>11992.359999999999</v>
      </c>
      <c r="AB27" s="23">
        <v>264</v>
      </c>
      <c r="AC27" s="23">
        <f t="shared" si="11"/>
        <v>9517.1999999999989</v>
      </c>
      <c r="AD27" s="23">
        <v>371</v>
      </c>
      <c r="AE27" s="23">
        <f t="shared" si="12"/>
        <v>12999.84</v>
      </c>
      <c r="AF27" s="26">
        <v>398</v>
      </c>
      <c r="AG27" s="26">
        <f t="shared" si="13"/>
        <v>13603.64</v>
      </c>
      <c r="AH27" s="23">
        <v>311</v>
      </c>
      <c r="AI27" s="23">
        <f t="shared" si="14"/>
        <v>10356.299999999999</v>
      </c>
      <c r="AJ27" s="23">
        <v>387</v>
      </c>
      <c r="AK27" s="23">
        <f t="shared" si="15"/>
        <v>13912.650000000001</v>
      </c>
      <c r="AL27" s="26">
        <v>378</v>
      </c>
      <c r="AM27" s="26">
        <f t="shared" si="16"/>
        <v>13861.26</v>
      </c>
      <c r="AN27" s="12">
        <f t="shared" si="17"/>
        <v>5754</v>
      </c>
      <c r="AO27" s="22">
        <f t="shared" si="18"/>
        <v>200936.21</v>
      </c>
    </row>
    <row r="28" spans="1:50" x14ac:dyDescent="0.5">
      <c r="A28" s="19">
        <v>24</v>
      </c>
      <c r="B28" s="20" t="s">
        <v>79</v>
      </c>
      <c r="C28" s="21" t="s">
        <v>80</v>
      </c>
      <c r="D28" s="16">
        <v>600</v>
      </c>
      <c r="E28" s="16">
        <v>1</v>
      </c>
      <c r="F28" s="22">
        <v>356</v>
      </c>
      <c r="G28" s="22">
        <f t="shared" si="0"/>
        <v>11078.720000000001</v>
      </c>
      <c r="H28" s="22">
        <v>296</v>
      </c>
      <c r="I28" s="23">
        <f t="shared" si="1"/>
        <v>9593.3599999999988</v>
      </c>
      <c r="J28" s="22">
        <v>318</v>
      </c>
      <c r="K28" s="22">
        <f t="shared" si="2"/>
        <v>10497.179999999998</v>
      </c>
      <c r="L28" s="22">
        <v>302</v>
      </c>
      <c r="M28" s="24">
        <f t="shared" si="3"/>
        <v>10606.24</v>
      </c>
      <c r="N28" s="23">
        <v>265</v>
      </c>
      <c r="O28" s="23">
        <f t="shared" si="4"/>
        <v>10136.25</v>
      </c>
      <c r="P28" s="22">
        <v>307</v>
      </c>
      <c r="Q28" s="22">
        <f t="shared" si="5"/>
        <v>12894</v>
      </c>
      <c r="R28" s="25">
        <v>328</v>
      </c>
      <c r="S28" s="25">
        <f t="shared" si="6"/>
        <v>12693.6</v>
      </c>
      <c r="T28" s="25">
        <v>416</v>
      </c>
      <c r="U28" s="25">
        <f t="shared" si="7"/>
        <v>14019.2</v>
      </c>
      <c r="V28" s="23">
        <v>378</v>
      </c>
      <c r="W28" s="23">
        <f t="shared" si="8"/>
        <v>12398.4</v>
      </c>
      <c r="X28" s="23">
        <v>414</v>
      </c>
      <c r="Y28" s="23">
        <f t="shared" si="9"/>
        <v>14552.099999999999</v>
      </c>
      <c r="Z28" s="23">
        <v>443</v>
      </c>
      <c r="AA28" s="23">
        <f t="shared" si="10"/>
        <v>15354.38</v>
      </c>
      <c r="AB28" s="23">
        <v>384</v>
      </c>
      <c r="AC28" s="23">
        <f t="shared" si="11"/>
        <v>13843.199999999999</v>
      </c>
      <c r="AD28" s="23">
        <v>383</v>
      </c>
      <c r="AE28" s="23">
        <f t="shared" si="12"/>
        <v>13420.32</v>
      </c>
      <c r="AF28" s="26">
        <v>493</v>
      </c>
      <c r="AG28" s="26">
        <f t="shared" si="13"/>
        <v>16850.740000000002</v>
      </c>
      <c r="AH28" s="23">
        <v>336</v>
      </c>
      <c r="AI28" s="23">
        <f t="shared" si="14"/>
        <v>11188.8</v>
      </c>
      <c r="AJ28" s="23">
        <v>411</v>
      </c>
      <c r="AK28" s="23">
        <f t="shared" si="15"/>
        <v>14775.45</v>
      </c>
      <c r="AL28" s="26">
        <v>369</v>
      </c>
      <c r="AM28" s="26">
        <f t="shared" si="16"/>
        <v>13531.230000000001</v>
      </c>
      <c r="AN28" s="12">
        <f t="shared" si="17"/>
        <v>6199</v>
      </c>
      <c r="AO28" s="22">
        <f t="shared" si="18"/>
        <v>217433.17</v>
      </c>
    </row>
    <row r="29" spans="1:50" x14ac:dyDescent="0.5">
      <c r="A29" s="19">
        <v>25</v>
      </c>
      <c r="B29" s="20" t="s">
        <v>81</v>
      </c>
      <c r="C29" s="21" t="s">
        <v>82</v>
      </c>
      <c r="D29" s="16">
        <v>634</v>
      </c>
      <c r="E29" s="16">
        <v>1</v>
      </c>
      <c r="F29" s="22">
        <v>1426</v>
      </c>
      <c r="G29" s="22">
        <f t="shared" si="0"/>
        <v>44377.120000000003</v>
      </c>
      <c r="H29" s="22"/>
      <c r="I29" s="23">
        <f t="shared" si="1"/>
        <v>0</v>
      </c>
      <c r="J29" s="22">
        <v>1223</v>
      </c>
      <c r="K29" s="22">
        <f t="shared" si="2"/>
        <v>40371.229999999996</v>
      </c>
      <c r="L29" s="29">
        <v>938</v>
      </c>
      <c r="M29" s="24">
        <f t="shared" si="3"/>
        <v>32942.559999999998</v>
      </c>
      <c r="N29" s="30">
        <v>800</v>
      </c>
      <c r="O29" s="23">
        <f t="shared" si="4"/>
        <v>30600</v>
      </c>
      <c r="P29" s="22">
        <v>1270</v>
      </c>
      <c r="Q29" s="22">
        <f t="shared" si="5"/>
        <v>53340</v>
      </c>
      <c r="R29" s="25">
        <v>1212</v>
      </c>
      <c r="S29" s="25">
        <f t="shared" si="6"/>
        <v>46904.4</v>
      </c>
      <c r="T29" s="25">
        <v>1511</v>
      </c>
      <c r="U29" s="25">
        <f t="shared" si="7"/>
        <v>50920.700000000004</v>
      </c>
      <c r="V29" s="23">
        <v>1195</v>
      </c>
      <c r="W29" s="23">
        <f t="shared" si="8"/>
        <v>39196</v>
      </c>
      <c r="X29" s="23">
        <v>1731</v>
      </c>
      <c r="Y29" s="23">
        <f t="shared" si="9"/>
        <v>60844.649999999994</v>
      </c>
      <c r="Z29" s="23">
        <v>1086</v>
      </c>
      <c r="AA29" s="23">
        <f t="shared" si="10"/>
        <v>37640.759999999995</v>
      </c>
      <c r="AB29" s="23">
        <v>1330</v>
      </c>
      <c r="AC29" s="23">
        <f t="shared" si="11"/>
        <v>47946.499999999993</v>
      </c>
      <c r="AD29" s="23">
        <v>1191</v>
      </c>
      <c r="AE29" s="23">
        <f t="shared" si="12"/>
        <v>41732.639999999999</v>
      </c>
      <c r="AF29" s="26">
        <v>1833</v>
      </c>
      <c r="AG29" s="26">
        <f t="shared" si="13"/>
        <v>62651.94</v>
      </c>
      <c r="AH29" s="23">
        <v>1635</v>
      </c>
      <c r="AI29" s="23">
        <f t="shared" si="14"/>
        <v>54445.499999999993</v>
      </c>
      <c r="AJ29" s="23">
        <v>1535</v>
      </c>
      <c r="AK29" s="23">
        <f t="shared" si="15"/>
        <v>55183.250000000007</v>
      </c>
      <c r="AL29" s="26">
        <v>1519</v>
      </c>
      <c r="AM29" s="26">
        <f t="shared" si="16"/>
        <v>55701.73</v>
      </c>
      <c r="AN29" s="12">
        <f t="shared" si="17"/>
        <v>21435</v>
      </c>
      <c r="AO29" s="22">
        <f t="shared" si="18"/>
        <v>754798.98</v>
      </c>
    </row>
    <row r="30" spans="1:50" x14ac:dyDescent="0.5">
      <c r="A30" s="19">
        <v>26</v>
      </c>
      <c r="B30" s="20" t="s">
        <v>83</v>
      </c>
      <c r="C30" s="21" t="s">
        <v>84</v>
      </c>
      <c r="D30" s="16">
        <v>635</v>
      </c>
      <c r="E30" s="16">
        <v>1</v>
      </c>
      <c r="F30" s="22">
        <v>1296</v>
      </c>
      <c r="G30" s="22">
        <f t="shared" si="0"/>
        <v>40331.520000000004</v>
      </c>
      <c r="H30" s="22">
        <v>1178</v>
      </c>
      <c r="I30" s="23">
        <f t="shared" si="1"/>
        <v>38178.979999999996</v>
      </c>
      <c r="J30" s="22">
        <v>533</v>
      </c>
      <c r="K30" s="22">
        <f t="shared" si="2"/>
        <v>17594.329999999998</v>
      </c>
      <c r="L30" s="22">
        <v>475</v>
      </c>
      <c r="M30" s="24">
        <f t="shared" si="3"/>
        <v>16682</v>
      </c>
      <c r="N30" s="23">
        <v>724</v>
      </c>
      <c r="O30" s="23">
        <f t="shared" si="4"/>
        <v>27693</v>
      </c>
      <c r="P30" s="22">
        <v>1182</v>
      </c>
      <c r="Q30" s="22">
        <f t="shared" si="5"/>
        <v>49644</v>
      </c>
      <c r="R30" s="25">
        <v>1449</v>
      </c>
      <c r="S30" s="25">
        <f t="shared" si="6"/>
        <v>56076.3</v>
      </c>
      <c r="T30" s="25">
        <v>1134</v>
      </c>
      <c r="U30" s="25">
        <f t="shared" si="7"/>
        <v>38215.800000000003</v>
      </c>
      <c r="V30" s="23">
        <v>1347</v>
      </c>
      <c r="W30" s="23">
        <f t="shared" si="8"/>
        <v>44181.599999999999</v>
      </c>
      <c r="X30" s="23">
        <v>1308</v>
      </c>
      <c r="Y30" s="23">
        <f t="shared" si="9"/>
        <v>45976.2</v>
      </c>
      <c r="Z30" s="23">
        <v>1283</v>
      </c>
      <c r="AA30" s="23">
        <f t="shared" si="10"/>
        <v>44468.78</v>
      </c>
      <c r="AB30" s="23">
        <v>1314</v>
      </c>
      <c r="AC30" s="23">
        <f t="shared" si="11"/>
        <v>47369.7</v>
      </c>
      <c r="AD30" s="23">
        <v>1878</v>
      </c>
      <c r="AE30" s="23">
        <f t="shared" si="12"/>
        <v>65805.119999999995</v>
      </c>
      <c r="AF30" s="26">
        <v>1417</v>
      </c>
      <c r="AG30" s="26">
        <f t="shared" si="13"/>
        <v>48433.06</v>
      </c>
      <c r="AH30" s="23">
        <v>1990</v>
      </c>
      <c r="AI30" s="23">
        <f t="shared" si="14"/>
        <v>66267</v>
      </c>
      <c r="AJ30" s="23">
        <v>2330</v>
      </c>
      <c r="AK30" s="23">
        <f t="shared" si="15"/>
        <v>83763.5</v>
      </c>
      <c r="AL30" s="26">
        <v>2400</v>
      </c>
      <c r="AM30" s="26">
        <f t="shared" si="16"/>
        <v>88008</v>
      </c>
      <c r="AN30" s="12">
        <f t="shared" si="17"/>
        <v>23238</v>
      </c>
      <c r="AO30" s="22">
        <f t="shared" si="18"/>
        <v>818688.89000000013</v>
      </c>
    </row>
    <row r="31" spans="1:50" x14ac:dyDescent="0.5">
      <c r="A31" s="19">
        <v>27</v>
      </c>
      <c r="B31" s="20" t="s">
        <v>85</v>
      </c>
      <c r="C31" s="21" t="s">
        <v>86</v>
      </c>
      <c r="D31" s="16">
        <v>641</v>
      </c>
      <c r="E31" s="16">
        <v>1</v>
      </c>
      <c r="F31" s="22">
        <v>12248</v>
      </c>
      <c r="G31" s="22">
        <f t="shared" si="0"/>
        <v>381157.76</v>
      </c>
      <c r="H31" s="22">
        <v>9224</v>
      </c>
      <c r="I31" s="23">
        <f t="shared" si="1"/>
        <v>298949.83999999997</v>
      </c>
      <c r="J31" s="22"/>
      <c r="K31" s="22">
        <f t="shared" si="2"/>
        <v>0</v>
      </c>
      <c r="L31" s="22">
        <v>521</v>
      </c>
      <c r="M31" s="24">
        <f t="shared" si="3"/>
        <v>18297.52</v>
      </c>
      <c r="N31" s="23">
        <v>9284</v>
      </c>
      <c r="O31" s="23">
        <f t="shared" si="4"/>
        <v>355113</v>
      </c>
      <c r="P31" s="22">
        <v>11523</v>
      </c>
      <c r="Q31" s="22">
        <f t="shared" si="5"/>
        <v>483966</v>
      </c>
      <c r="R31" s="25">
        <v>13518</v>
      </c>
      <c r="S31" s="25">
        <f t="shared" si="6"/>
        <v>523146.60000000003</v>
      </c>
      <c r="T31" s="25">
        <v>15812</v>
      </c>
      <c r="U31" s="25">
        <f t="shared" si="7"/>
        <v>532864.4</v>
      </c>
      <c r="V31" s="23">
        <v>18014</v>
      </c>
      <c r="W31" s="23">
        <f t="shared" si="8"/>
        <v>590859.19999999995</v>
      </c>
      <c r="X31" s="23">
        <v>18900</v>
      </c>
      <c r="Y31" s="23">
        <f t="shared" si="9"/>
        <v>664335</v>
      </c>
      <c r="Z31" s="23">
        <v>14711</v>
      </c>
      <c r="AA31" s="23">
        <f t="shared" si="10"/>
        <v>509883.25999999995</v>
      </c>
      <c r="AB31" s="23">
        <v>12120</v>
      </c>
      <c r="AC31" s="23">
        <f t="shared" si="11"/>
        <v>436925.99999999994</v>
      </c>
      <c r="AD31" s="23">
        <v>17886</v>
      </c>
      <c r="AE31" s="23">
        <f t="shared" si="12"/>
        <v>626725.43999999994</v>
      </c>
      <c r="AF31" s="26">
        <v>19786</v>
      </c>
      <c r="AG31" s="26">
        <f t="shared" si="13"/>
        <v>676285.48</v>
      </c>
      <c r="AH31" s="23">
        <v>17151</v>
      </c>
      <c r="AI31" s="23">
        <f t="shared" si="14"/>
        <v>571128.29999999993</v>
      </c>
      <c r="AJ31" s="23">
        <v>21962</v>
      </c>
      <c r="AK31" s="23">
        <f t="shared" si="15"/>
        <v>789533.9</v>
      </c>
      <c r="AL31" s="26">
        <v>18775</v>
      </c>
      <c r="AM31" s="26">
        <f t="shared" si="16"/>
        <v>688479.25</v>
      </c>
      <c r="AN31" s="12">
        <f t="shared" si="17"/>
        <v>231435</v>
      </c>
      <c r="AO31" s="22">
        <f t="shared" si="18"/>
        <v>8147650.9500000002</v>
      </c>
    </row>
    <row r="32" spans="1:50" x14ac:dyDescent="0.5">
      <c r="A32" s="19">
        <v>28</v>
      </c>
      <c r="B32" s="20" t="s">
        <v>87</v>
      </c>
      <c r="C32" s="21" t="s">
        <v>88</v>
      </c>
      <c r="D32" s="16">
        <v>671</v>
      </c>
      <c r="E32" s="16">
        <v>1</v>
      </c>
      <c r="F32" s="22">
        <v>876</v>
      </c>
      <c r="G32" s="22">
        <f t="shared" si="0"/>
        <v>27261.120000000003</v>
      </c>
      <c r="H32" s="22"/>
      <c r="I32" s="23">
        <f t="shared" si="1"/>
        <v>0</v>
      </c>
      <c r="J32" s="22"/>
      <c r="K32" s="22">
        <f t="shared" si="2"/>
        <v>0</v>
      </c>
      <c r="L32" s="22"/>
      <c r="M32" s="24">
        <f t="shared" si="3"/>
        <v>0</v>
      </c>
      <c r="N32" s="23">
        <v>689</v>
      </c>
      <c r="O32" s="23">
        <f t="shared" si="4"/>
        <v>26354.25</v>
      </c>
      <c r="P32" s="22">
        <v>1035</v>
      </c>
      <c r="Q32" s="22">
        <f t="shared" si="5"/>
        <v>43470</v>
      </c>
      <c r="R32" s="25">
        <v>824</v>
      </c>
      <c r="S32" s="25">
        <f t="shared" si="6"/>
        <v>31888.800000000003</v>
      </c>
      <c r="T32" s="25">
        <v>1007</v>
      </c>
      <c r="U32" s="25">
        <f t="shared" si="7"/>
        <v>33935.9</v>
      </c>
      <c r="V32" s="23">
        <v>1102</v>
      </c>
      <c r="W32" s="23">
        <f t="shared" si="8"/>
        <v>36145.599999999999</v>
      </c>
      <c r="X32" s="23">
        <v>1127</v>
      </c>
      <c r="Y32" s="23">
        <f t="shared" si="9"/>
        <v>39614.049999999996</v>
      </c>
      <c r="Z32" s="23">
        <v>1103</v>
      </c>
      <c r="AA32" s="23">
        <f t="shared" si="10"/>
        <v>38229.979999999996</v>
      </c>
      <c r="AB32" s="23">
        <v>884</v>
      </c>
      <c r="AC32" s="23">
        <f t="shared" si="11"/>
        <v>31868.199999999997</v>
      </c>
      <c r="AD32" s="23">
        <v>1001</v>
      </c>
      <c r="AE32" s="23">
        <f t="shared" si="12"/>
        <v>35075.040000000001</v>
      </c>
      <c r="AF32" s="26">
        <v>1141</v>
      </c>
      <c r="AG32" s="26">
        <f t="shared" si="13"/>
        <v>38999.379999999997</v>
      </c>
      <c r="AH32" s="23">
        <v>1004</v>
      </c>
      <c r="AI32" s="23">
        <f t="shared" si="14"/>
        <v>33433.199999999997</v>
      </c>
      <c r="AJ32" s="23">
        <v>1054</v>
      </c>
      <c r="AK32" s="23">
        <f t="shared" si="15"/>
        <v>37891.300000000003</v>
      </c>
      <c r="AL32" s="26">
        <v>1099</v>
      </c>
      <c r="AM32" s="26">
        <f t="shared" si="16"/>
        <v>40300.33</v>
      </c>
      <c r="AN32" s="12">
        <f t="shared" si="17"/>
        <v>13946</v>
      </c>
      <c r="AO32" s="22">
        <f t="shared" si="18"/>
        <v>494467.15</v>
      </c>
    </row>
    <row r="33" spans="1:41" x14ac:dyDescent="0.5">
      <c r="A33" s="19">
        <v>29</v>
      </c>
      <c r="B33" s="20" t="s">
        <v>48</v>
      </c>
      <c r="C33" s="21" t="s">
        <v>47</v>
      </c>
      <c r="D33" s="16">
        <v>693</v>
      </c>
      <c r="E33" s="16">
        <v>1</v>
      </c>
      <c r="F33" s="22">
        <v>1047</v>
      </c>
      <c r="G33" s="22">
        <f t="shared" si="0"/>
        <v>32582.639999999999</v>
      </c>
      <c r="H33" s="22">
        <v>748</v>
      </c>
      <c r="I33" s="23">
        <f t="shared" si="1"/>
        <v>24242.679999999997</v>
      </c>
      <c r="J33" s="22">
        <v>346</v>
      </c>
      <c r="K33" s="22">
        <f t="shared" si="2"/>
        <v>11421.46</v>
      </c>
      <c r="L33" s="29"/>
      <c r="M33" s="24">
        <f t="shared" si="3"/>
        <v>0</v>
      </c>
      <c r="N33" s="30">
        <v>557</v>
      </c>
      <c r="O33" s="23">
        <f t="shared" si="4"/>
        <v>21305.25</v>
      </c>
      <c r="P33" s="22">
        <v>1089</v>
      </c>
      <c r="Q33" s="22">
        <f t="shared" si="5"/>
        <v>45738</v>
      </c>
      <c r="R33" s="25">
        <v>829</v>
      </c>
      <c r="S33" s="25">
        <f t="shared" si="6"/>
        <v>32082.300000000003</v>
      </c>
      <c r="T33" s="25">
        <v>1476</v>
      </c>
      <c r="U33" s="25">
        <f t="shared" si="7"/>
        <v>49741.200000000004</v>
      </c>
      <c r="V33" s="23">
        <v>1178</v>
      </c>
      <c r="W33" s="23">
        <f t="shared" si="8"/>
        <v>38638.399999999994</v>
      </c>
      <c r="X33" s="23">
        <v>1260</v>
      </c>
      <c r="Y33" s="23">
        <f t="shared" si="9"/>
        <v>44289</v>
      </c>
      <c r="Z33" s="23">
        <v>1099</v>
      </c>
      <c r="AA33" s="23">
        <f t="shared" si="10"/>
        <v>38091.339999999997</v>
      </c>
      <c r="AB33" s="23">
        <v>852</v>
      </c>
      <c r="AC33" s="23">
        <f t="shared" si="11"/>
        <v>30714.6</v>
      </c>
      <c r="AD33" s="23">
        <v>1462</v>
      </c>
      <c r="AE33" s="23">
        <f t="shared" si="12"/>
        <v>51228.479999999996</v>
      </c>
      <c r="AF33" s="26">
        <v>1715</v>
      </c>
      <c r="AG33" s="26">
        <f t="shared" si="13"/>
        <v>58618.7</v>
      </c>
      <c r="AH33" s="23">
        <v>1245</v>
      </c>
      <c r="AI33" s="23">
        <f t="shared" si="14"/>
        <v>41458.5</v>
      </c>
      <c r="AJ33" s="23">
        <v>1482</v>
      </c>
      <c r="AK33" s="23">
        <f t="shared" si="15"/>
        <v>53277.9</v>
      </c>
      <c r="AL33" s="26">
        <v>1192</v>
      </c>
      <c r="AM33" s="26">
        <f t="shared" si="16"/>
        <v>43710.64</v>
      </c>
      <c r="AN33" s="12">
        <f t="shared" si="17"/>
        <v>17577</v>
      </c>
      <c r="AO33" s="22">
        <f t="shared" si="18"/>
        <v>617141.09</v>
      </c>
    </row>
    <row r="34" spans="1:41" s="31" customFormat="1" x14ac:dyDescent="0.5">
      <c r="A34" s="19">
        <v>30</v>
      </c>
      <c r="B34" s="27" t="s">
        <v>89</v>
      </c>
      <c r="C34" s="28" t="s">
        <v>90</v>
      </c>
      <c r="D34" s="16">
        <v>716</v>
      </c>
      <c r="E34" s="16">
        <v>1</v>
      </c>
      <c r="F34" s="22">
        <v>135</v>
      </c>
      <c r="G34" s="22">
        <f t="shared" si="0"/>
        <v>4201.2</v>
      </c>
      <c r="H34" s="22">
        <v>204</v>
      </c>
      <c r="I34" s="23">
        <f t="shared" si="1"/>
        <v>6611.6399999999994</v>
      </c>
      <c r="J34" s="22">
        <v>79</v>
      </c>
      <c r="K34" s="22">
        <f t="shared" si="2"/>
        <v>2607.79</v>
      </c>
      <c r="L34" s="29">
        <v>146</v>
      </c>
      <c r="M34" s="24">
        <f t="shared" si="3"/>
        <v>5127.5199999999995</v>
      </c>
      <c r="N34" s="30"/>
      <c r="O34" s="23">
        <f t="shared" si="4"/>
        <v>0</v>
      </c>
      <c r="P34" s="22">
        <v>164</v>
      </c>
      <c r="Q34" s="22">
        <f t="shared" si="5"/>
        <v>6888</v>
      </c>
      <c r="R34" s="25">
        <v>167</v>
      </c>
      <c r="S34" s="25">
        <f t="shared" si="6"/>
        <v>6462.9000000000005</v>
      </c>
      <c r="T34" s="25"/>
      <c r="U34" s="25">
        <f t="shared" si="7"/>
        <v>0</v>
      </c>
      <c r="V34" s="23"/>
      <c r="W34" s="23">
        <f t="shared" si="8"/>
        <v>0</v>
      </c>
      <c r="X34" s="23">
        <v>398</v>
      </c>
      <c r="Y34" s="23">
        <f t="shared" si="9"/>
        <v>13989.699999999999</v>
      </c>
      <c r="Z34" s="23">
        <v>282</v>
      </c>
      <c r="AA34" s="23">
        <f t="shared" si="10"/>
        <v>9774.119999999999</v>
      </c>
      <c r="AB34" s="23"/>
      <c r="AC34" s="23">
        <f t="shared" si="11"/>
        <v>0</v>
      </c>
      <c r="AD34" s="23">
        <v>208</v>
      </c>
      <c r="AE34" s="23">
        <f t="shared" si="12"/>
        <v>7288.32</v>
      </c>
      <c r="AF34" s="26">
        <v>266</v>
      </c>
      <c r="AG34" s="26">
        <f t="shared" si="13"/>
        <v>9091.8799999999992</v>
      </c>
      <c r="AH34" s="23">
        <v>431</v>
      </c>
      <c r="AI34" s="23">
        <f t="shared" si="14"/>
        <v>14352.3</v>
      </c>
      <c r="AJ34" s="23">
        <v>413</v>
      </c>
      <c r="AK34" s="23">
        <f t="shared" si="15"/>
        <v>14847.35</v>
      </c>
      <c r="AL34" s="23">
        <v>402</v>
      </c>
      <c r="AM34" s="26">
        <f t="shared" si="16"/>
        <v>14741.34</v>
      </c>
      <c r="AN34" s="12">
        <f t="shared" si="17"/>
        <v>3295</v>
      </c>
      <c r="AO34" s="22">
        <f t="shared" si="18"/>
        <v>115984.06</v>
      </c>
    </row>
    <row r="35" spans="1:41" x14ac:dyDescent="0.5">
      <c r="A35" s="19">
        <v>31</v>
      </c>
      <c r="B35" s="20" t="s">
        <v>91</v>
      </c>
      <c r="C35" s="21" t="s">
        <v>92</v>
      </c>
      <c r="D35" s="16">
        <v>718</v>
      </c>
      <c r="E35" s="16">
        <v>1</v>
      </c>
      <c r="F35" s="22">
        <v>258</v>
      </c>
      <c r="G35" s="22">
        <f t="shared" si="0"/>
        <v>8028.96</v>
      </c>
      <c r="H35" s="22"/>
      <c r="I35" s="23">
        <f t="shared" si="1"/>
        <v>0</v>
      </c>
      <c r="J35" s="22">
        <v>366</v>
      </c>
      <c r="K35" s="22">
        <f t="shared" si="2"/>
        <v>12081.66</v>
      </c>
      <c r="L35" s="29">
        <v>408</v>
      </c>
      <c r="M35" s="24">
        <f t="shared" si="3"/>
        <v>14328.96</v>
      </c>
      <c r="N35" s="30"/>
      <c r="O35" s="23">
        <f t="shared" si="4"/>
        <v>0</v>
      </c>
      <c r="P35" s="22">
        <v>281</v>
      </c>
      <c r="Q35" s="22">
        <f t="shared" si="5"/>
        <v>11802</v>
      </c>
      <c r="R35" s="25">
        <v>277</v>
      </c>
      <c r="S35" s="25">
        <f t="shared" si="6"/>
        <v>10719.900000000001</v>
      </c>
      <c r="T35" s="25">
        <v>313</v>
      </c>
      <c r="U35" s="25">
        <f t="shared" si="7"/>
        <v>10548.1</v>
      </c>
      <c r="V35" s="23">
        <v>315</v>
      </c>
      <c r="W35" s="23">
        <f t="shared" si="8"/>
        <v>10332</v>
      </c>
      <c r="X35" s="23">
        <v>474</v>
      </c>
      <c r="Y35" s="23">
        <f t="shared" si="9"/>
        <v>16661.099999999999</v>
      </c>
      <c r="Z35" s="23">
        <v>834</v>
      </c>
      <c r="AA35" s="23">
        <f t="shared" si="10"/>
        <v>28906.44</v>
      </c>
      <c r="AB35" s="23">
        <v>212</v>
      </c>
      <c r="AC35" s="23">
        <f t="shared" si="11"/>
        <v>7642.5999999999995</v>
      </c>
      <c r="AD35" s="23">
        <v>398</v>
      </c>
      <c r="AE35" s="23">
        <f t="shared" si="12"/>
        <v>13945.92</v>
      </c>
      <c r="AF35" s="26">
        <v>503</v>
      </c>
      <c r="AG35" s="26">
        <f t="shared" si="13"/>
        <v>17192.54</v>
      </c>
      <c r="AH35" s="23">
        <v>422</v>
      </c>
      <c r="AI35" s="23">
        <f t="shared" si="14"/>
        <v>14052.599999999999</v>
      </c>
      <c r="AJ35" s="23">
        <v>419</v>
      </c>
      <c r="AK35" s="23">
        <f t="shared" si="15"/>
        <v>15063.050000000001</v>
      </c>
      <c r="AL35" s="26">
        <v>362</v>
      </c>
      <c r="AM35" s="26">
        <f t="shared" si="16"/>
        <v>13274.54</v>
      </c>
      <c r="AN35" s="12">
        <f t="shared" si="17"/>
        <v>5842</v>
      </c>
      <c r="AO35" s="22">
        <f t="shared" si="18"/>
        <v>204580.37000000002</v>
      </c>
    </row>
    <row r="36" spans="1:41" s="31" customFormat="1" x14ac:dyDescent="0.5">
      <c r="A36" s="19">
        <v>32</v>
      </c>
      <c r="B36" s="27" t="s">
        <v>93</v>
      </c>
      <c r="C36" s="28" t="s">
        <v>94</v>
      </c>
      <c r="D36" s="16">
        <v>724</v>
      </c>
      <c r="E36" s="16">
        <v>1</v>
      </c>
      <c r="F36" s="22"/>
      <c r="G36" s="22">
        <f t="shared" si="0"/>
        <v>0</v>
      </c>
      <c r="H36" s="22"/>
      <c r="I36" s="23">
        <f t="shared" si="1"/>
        <v>0</v>
      </c>
      <c r="J36" s="22"/>
      <c r="K36" s="22">
        <f t="shared" si="2"/>
        <v>0</v>
      </c>
      <c r="L36" s="22"/>
      <c r="M36" s="24">
        <f t="shared" si="3"/>
        <v>0</v>
      </c>
      <c r="N36" s="23"/>
      <c r="O36" s="23">
        <f t="shared" si="4"/>
        <v>0</v>
      </c>
      <c r="P36" s="22"/>
      <c r="Q36" s="22">
        <f t="shared" si="5"/>
        <v>0</v>
      </c>
      <c r="R36" s="25"/>
      <c r="S36" s="25">
        <f t="shared" si="6"/>
        <v>0</v>
      </c>
      <c r="T36" s="25"/>
      <c r="U36" s="25">
        <f t="shared" si="7"/>
        <v>0</v>
      </c>
      <c r="V36" s="23"/>
      <c r="W36" s="23">
        <f t="shared" si="8"/>
        <v>0</v>
      </c>
      <c r="X36" s="23"/>
      <c r="Y36" s="23">
        <f t="shared" si="9"/>
        <v>0</v>
      </c>
      <c r="Z36" s="23"/>
      <c r="AA36" s="23">
        <f t="shared" si="10"/>
        <v>0</v>
      </c>
      <c r="AB36" s="23"/>
      <c r="AC36" s="23">
        <f t="shared" si="11"/>
        <v>0</v>
      </c>
      <c r="AD36" s="23"/>
      <c r="AE36" s="23">
        <f t="shared" si="12"/>
        <v>0</v>
      </c>
      <c r="AF36" s="26"/>
      <c r="AG36" s="26">
        <f t="shared" si="13"/>
        <v>0</v>
      </c>
      <c r="AH36" s="23"/>
      <c r="AI36" s="23">
        <f t="shared" si="14"/>
        <v>0</v>
      </c>
      <c r="AJ36" s="23"/>
      <c r="AK36" s="23">
        <f t="shared" si="15"/>
        <v>0</v>
      </c>
      <c r="AL36" s="23"/>
      <c r="AM36" s="26">
        <f t="shared" si="16"/>
        <v>0</v>
      </c>
      <c r="AN36" s="12">
        <f t="shared" si="17"/>
        <v>0</v>
      </c>
      <c r="AO36" s="22">
        <f t="shared" si="18"/>
        <v>0</v>
      </c>
    </row>
    <row r="37" spans="1:41" x14ac:dyDescent="0.5">
      <c r="A37" s="19">
        <v>33</v>
      </c>
      <c r="B37" s="20" t="s">
        <v>95</v>
      </c>
      <c r="C37" s="21" t="s">
        <v>96</v>
      </c>
      <c r="D37" s="16">
        <v>725</v>
      </c>
      <c r="E37" s="16">
        <v>1</v>
      </c>
      <c r="F37" s="22">
        <v>388</v>
      </c>
      <c r="G37" s="22">
        <f t="shared" si="0"/>
        <v>12074.56</v>
      </c>
      <c r="H37" s="22">
        <v>245</v>
      </c>
      <c r="I37" s="23">
        <f t="shared" si="1"/>
        <v>7940.4499999999989</v>
      </c>
      <c r="J37" s="22"/>
      <c r="K37" s="22">
        <f t="shared" si="2"/>
        <v>0</v>
      </c>
      <c r="L37" s="22"/>
      <c r="M37" s="24">
        <f t="shared" si="3"/>
        <v>0</v>
      </c>
      <c r="N37" s="23"/>
      <c r="O37" s="23">
        <f t="shared" si="4"/>
        <v>0</v>
      </c>
      <c r="P37" s="22">
        <v>539</v>
      </c>
      <c r="Q37" s="22">
        <f t="shared" si="5"/>
        <v>22638</v>
      </c>
      <c r="R37" s="25">
        <v>407</v>
      </c>
      <c r="S37" s="25">
        <f t="shared" si="6"/>
        <v>15750.900000000001</v>
      </c>
      <c r="T37" s="25">
        <v>462</v>
      </c>
      <c r="U37" s="25">
        <f t="shared" si="7"/>
        <v>15569.400000000001</v>
      </c>
      <c r="V37" s="23">
        <v>357</v>
      </c>
      <c r="W37" s="23">
        <f t="shared" si="8"/>
        <v>11709.599999999999</v>
      </c>
      <c r="X37" s="23">
        <v>457</v>
      </c>
      <c r="Y37" s="23">
        <f t="shared" si="9"/>
        <v>16063.55</v>
      </c>
      <c r="Z37" s="23">
        <v>377</v>
      </c>
      <c r="AA37" s="23">
        <f t="shared" si="10"/>
        <v>13066.819999999998</v>
      </c>
      <c r="AB37" s="23"/>
      <c r="AC37" s="23">
        <f t="shared" si="11"/>
        <v>0</v>
      </c>
      <c r="AD37" s="23">
        <v>398</v>
      </c>
      <c r="AE37" s="23">
        <f t="shared" si="12"/>
        <v>13945.92</v>
      </c>
      <c r="AF37" s="26">
        <v>520</v>
      </c>
      <c r="AG37" s="26">
        <f t="shared" si="13"/>
        <v>17773.599999999999</v>
      </c>
      <c r="AH37" s="23">
        <v>424</v>
      </c>
      <c r="AI37" s="23">
        <f t="shared" si="14"/>
        <v>14119.199999999999</v>
      </c>
      <c r="AJ37" s="23">
        <v>400</v>
      </c>
      <c r="AK37" s="23">
        <f t="shared" si="15"/>
        <v>14380.000000000002</v>
      </c>
      <c r="AL37" s="26">
        <v>444</v>
      </c>
      <c r="AM37" s="26">
        <f t="shared" si="16"/>
        <v>16281.480000000001</v>
      </c>
      <c r="AN37" s="12">
        <f t="shared" si="17"/>
        <v>5418</v>
      </c>
      <c r="AO37" s="22">
        <f t="shared" si="18"/>
        <v>191313.48</v>
      </c>
    </row>
    <row r="38" spans="1:41" x14ac:dyDescent="0.5">
      <c r="A38" s="19">
        <v>34</v>
      </c>
      <c r="B38" s="20" t="s">
        <v>97</v>
      </c>
      <c r="C38" s="21" t="s">
        <v>62</v>
      </c>
      <c r="D38" s="16">
        <v>732</v>
      </c>
      <c r="E38" s="16">
        <v>1</v>
      </c>
      <c r="F38" s="22">
        <v>399</v>
      </c>
      <c r="G38" s="22">
        <f t="shared" si="0"/>
        <v>12416.880000000001</v>
      </c>
      <c r="H38" s="22">
        <v>457</v>
      </c>
      <c r="I38" s="23">
        <f t="shared" si="1"/>
        <v>14811.369999999999</v>
      </c>
      <c r="J38" s="22">
        <v>307</v>
      </c>
      <c r="K38" s="22">
        <f t="shared" si="2"/>
        <v>10134.07</v>
      </c>
      <c r="L38" s="22">
        <v>423</v>
      </c>
      <c r="M38" s="24">
        <f t="shared" si="3"/>
        <v>14855.759999999998</v>
      </c>
      <c r="N38" s="23">
        <v>350</v>
      </c>
      <c r="O38" s="23">
        <f t="shared" si="4"/>
        <v>13387.5</v>
      </c>
      <c r="P38" s="22">
        <v>391</v>
      </c>
      <c r="Q38" s="22">
        <f t="shared" si="5"/>
        <v>16422</v>
      </c>
      <c r="R38" s="25">
        <v>382</v>
      </c>
      <c r="S38" s="25">
        <f t="shared" si="6"/>
        <v>14783.400000000001</v>
      </c>
      <c r="T38" s="25">
        <v>296</v>
      </c>
      <c r="U38" s="25">
        <f t="shared" si="7"/>
        <v>9975.2000000000007</v>
      </c>
      <c r="V38" s="23">
        <v>397</v>
      </c>
      <c r="W38" s="23">
        <f t="shared" si="8"/>
        <v>13021.599999999999</v>
      </c>
      <c r="X38" s="23">
        <v>464</v>
      </c>
      <c r="Y38" s="23">
        <f t="shared" si="9"/>
        <v>16309.599999999999</v>
      </c>
      <c r="Z38" s="23">
        <v>303</v>
      </c>
      <c r="AA38" s="23">
        <f t="shared" si="10"/>
        <v>10501.98</v>
      </c>
      <c r="AB38" s="23"/>
      <c r="AC38" s="23">
        <f t="shared" si="11"/>
        <v>0</v>
      </c>
      <c r="AD38" s="23">
        <v>397</v>
      </c>
      <c r="AE38" s="23">
        <f t="shared" si="12"/>
        <v>13910.88</v>
      </c>
      <c r="AF38" s="26">
        <v>282</v>
      </c>
      <c r="AG38" s="26">
        <f t="shared" si="13"/>
        <v>9638.76</v>
      </c>
      <c r="AH38" s="23">
        <v>486</v>
      </c>
      <c r="AI38" s="23">
        <f t="shared" si="14"/>
        <v>16183.8</v>
      </c>
      <c r="AJ38" s="23">
        <v>487</v>
      </c>
      <c r="AK38" s="23">
        <f t="shared" si="15"/>
        <v>17507.650000000001</v>
      </c>
      <c r="AL38" s="26">
        <v>484</v>
      </c>
      <c r="AM38" s="26">
        <f t="shared" si="16"/>
        <v>17748.280000000002</v>
      </c>
      <c r="AN38" s="12">
        <f t="shared" si="17"/>
        <v>6305</v>
      </c>
      <c r="AO38" s="22">
        <f t="shared" si="18"/>
        <v>221608.73</v>
      </c>
    </row>
    <row r="39" spans="1:41" x14ac:dyDescent="0.5">
      <c r="A39" s="19">
        <v>35</v>
      </c>
      <c r="B39" s="20" t="s">
        <v>98</v>
      </c>
      <c r="C39" s="21" t="s">
        <v>99</v>
      </c>
      <c r="D39" s="16">
        <v>742</v>
      </c>
      <c r="E39" s="16">
        <v>1</v>
      </c>
      <c r="F39" s="22"/>
      <c r="G39" s="22">
        <f t="shared" si="0"/>
        <v>0</v>
      </c>
      <c r="H39" s="22"/>
      <c r="I39" s="23">
        <f t="shared" si="1"/>
        <v>0</v>
      </c>
      <c r="J39" s="22"/>
      <c r="K39" s="22">
        <f t="shared" si="2"/>
        <v>0</v>
      </c>
      <c r="L39" s="22"/>
      <c r="M39" s="24">
        <f t="shared" si="3"/>
        <v>0</v>
      </c>
      <c r="N39" s="23"/>
      <c r="O39" s="23">
        <f t="shared" si="4"/>
        <v>0</v>
      </c>
      <c r="P39" s="22"/>
      <c r="Q39" s="22">
        <f t="shared" si="5"/>
        <v>0</v>
      </c>
      <c r="R39" s="25"/>
      <c r="S39" s="25">
        <f t="shared" si="6"/>
        <v>0</v>
      </c>
      <c r="T39" s="25"/>
      <c r="U39" s="25">
        <f t="shared" si="7"/>
        <v>0</v>
      </c>
      <c r="V39" s="23"/>
      <c r="W39" s="23">
        <f t="shared" si="8"/>
        <v>0</v>
      </c>
      <c r="X39" s="23"/>
      <c r="Y39" s="23">
        <f t="shared" si="9"/>
        <v>0</v>
      </c>
      <c r="Z39" s="23"/>
      <c r="AA39" s="23">
        <f t="shared" si="10"/>
        <v>0</v>
      </c>
      <c r="AB39" s="23"/>
      <c r="AC39" s="23">
        <f t="shared" si="11"/>
        <v>0</v>
      </c>
      <c r="AD39" s="23"/>
      <c r="AE39" s="23">
        <f t="shared" si="12"/>
        <v>0</v>
      </c>
      <c r="AF39" s="26">
        <v>734</v>
      </c>
      <c r="AG39" s="26">
        <f t="shared" si="13"/>
        <v>25088.12</v>
      </c>
      <c r="AH39" s="23"/>
      <c r="AI39" s="23">
        <f t="shared" si="14"/>
        <v>0</v>
      </c>
      <c r="AJ39" s="23"/>
      <c r="AK39" s="23">
        <f t="shared" si="15"/>
        <v>0</v>
      </c>
      <c r="AL39" s="26"/>
      <c r="AM39" s="26">
        <f t="shared" si="16"/>
        <v>0</v>
      </c>
      <c r="AN39" s="12">
        <f t="shared" si="17"/>
        <v>734</v>
      </c>
      <c r="AO39" s="22">
        <f t="shared" si="18"/>
        <v>25088.12</v>
      </c>
    </row>
    <row r="40" spans="1:41" s="31" customFormat="1" x14ac:dyDescent="0.5">
      <c r="A40" s="19">
        <v>36</v>
      </c>
      <c r="B40" s="27" t="s">
        <v>100</v>
      </c>
      <c r="C40" s="28" t="s">
        <v>101</v>
      </c>
      <c r="D40" s="16">
        <v>775</v>
      </c>
      <c r="E40" s="16">
        <v>1</v>
      </c>
      <c r="F40" s="22">
        <v>551</v>
      </c>
      <c r="G40" s="22">
        <f t="shared" si="0"/>
        <v>17147.12</v>
      </c>
      <c r="H40" s="22">
        <v>459</v>
      </c>
      <c r="I40" s="23">
        <f t="shared" si="1"/>
        <v>14876.189999999999</v>
      </c>
      <c r="J40" s="22">
        <v>431</v>
      </c>
      <c r="K40" s="22">
        <f t="shared" si="2"/>
        <v>14227.31</v>
      </c>
      <c r="L40" s="22">
        <v>298</v>
      </c>
      <c r="M40" s="24">
        <f t="shared" si="3"/>
        <v>10465.759999999998</v>
      </c>
      <c r="N40" s="23">
        <v>398</v>
      </c>
      <c r="O40" s="23">
        <f t="shared" si="4"/>
        <v>15223.5</v>
      </c>
      <c r="P40" s="22">
        <v>578</v>
      </c>
      <c r="Q40" s="22">
        <f t="shared" si="5"/>
        <v>24276</v>
      </c>
      <c r="R40" s="25">
        <v>490</v>
      </c>
      <c r="S40" s="25">
        <f t="shared" si="6"/>
        <v>18963</v>
      </c>
      <c r="T40" s="25">
        <v>543</v>
      </c>
      <c r="U40" s="25">
        <f t="shared" si="7"/>
        <v>18299.100000000002</v>
      </c>
      <c r="V40" s="23">
        <v>510</v>
      </c>
      <c r="W40" s="23">
        <f t="shared" si="8"/>
        <v>16728</v>
      </c>
      <c r="X40" s="23">
        <v>685</v>
      </c>
      <c r="Y40" s="23">
        <f t="shared" si="9"/>
        <v>24077.75</v>
      </c>
      <c r="Z40" s="23">
        <v>504</v>
      </c>
      <c r="AA40" s="23">
        <f t="shared" si="10"/>
        <v>17468.64</v>
      </c>
      <c r="AB40" s="23">
        <v>448</v>
      </c>
      <c r="AC40" s="23">
        <f t="shared" si="11"/>
        <v>16150.399999999998</v>
      </c>
      <c r="AD40" s="23">
        <v>689</v>
      </c>
      <c r="AE40" s="23">
        <f t="shared" si="12"/>
        <v>24142.559999999998</v>
      </c>
      <c r="AF40" s="26"/>
      <c r="AG40" s="26">
        <f t="shared" si="13"/>
        <v>0</v>
      </c>
      <c r="AH40" s="23">
        <v>681</v>
      </c>
      <c r="AI40" s="23">
        <f t="shared" si="14"/>
        <v>22677.3</v>
      </c>
      <c r="AJ40" s="23">
        <v>668</v>
      </c>
      <c r="AK40" s="23">
        <f t="shared" si="15"/>
        <v>24014.600000000002</v>
      </c>
      <c r="AL40" s="23">
        <v>760</v>
      </c>
      <c r="AM40" s="26">
        <f t="shared" si="16"/>
        <v>27869.200000000001</v>
      </c>
      <c r="AN40" s="12">
        <f t="shared" si="17"/>
        <v>8693</v>
      </c>
      <c r="AO40" s="22">
        <f t="shared" si="18"/>
        <v>306606.43</v>
      </c>
    </row>
    <row r="41" spans="1:41" x14ac:dyDescent="0.5">
      <c r="A41" s="19">
        <v>37</v>
      </c>
      <c r="B41" s="20" t="s">
        <v>102</v>
      </c>
      <c r="C41" s="21" t="s">
        <v>103</v>
      </c>
      <c r="D41" s="16">
        <v>805</v>
      </c>
      <c r="E41" s="16">
        <v>1</v>
      </c>
      <c r="F41" s="22"/>
      <c r="G41" s="22">
        <f t="shared" si="0"/>
        <v>0</v>
      </c>
      <c r="H41" s="22"/>
      <c r="I41" s="23">
        <f t="shared" si="1"/>
        <v>0</v>
      </c>
      <c r="J41" s="22"/>
      <c r="K41" s="22">
        <f t="shared" si="2"/>
        <v>0</v>
      </c>
      <c r="L41" s="22"/>
      <c r="M41" s="24">
        <f t="shared" si="3"/>
        <v>0</v>
      </c>
      <c r="N41" s="23"/>
      <c r="O41" s="23">
        <f t="shared" si="4"/>
        <v>0</v>
      </c>
      <c r="P41" s="22">
        <v>429</v>
      </c>
      <c r="Q41" s="22">
        <f t="shared" si="5"/>
        <v>18018</v>
      </c>
      <c r="R41" s="25">
        <v>217</v>
      </c>
      <c r="S41" s="25">
        <f t="shared" si="6"/>
        <v>8397.9000000000015</v>
      </c>
      <c r="T41" s="25">
        <v>473</v>
      </c>
      <c r="U41" s="25">
        <f t="shared" si="7"/>
        <v>15940.100000000002</v>
      </c>
      <c r="V41" s="23">
        <v>283</v>
      </c>
      <c r="W41" s="23">
        <f t="shared" si="8"/>
        <v>9282.4</v>
      </c>
      <c r="X41" s="23">
        <v>950</v>
      </c>
      <c r="Y41" s="23">
        <f t="shared" si="9"/>
        <v>33392.5</v>
      </c>
      <c r="Z41" s="23">
        <v>857</v>
      </c>
      <c r="AA41" s="23">
        <f t="shared" si="10"/>
        <v>29703.619999999995</v>
      </c>
      <c r="AB41" s="23">
        <v>796</v>
      </c>
      <c r="AC41" s="23">
        <f t="shared" si="11"/>
        <v>28695.8</v>
      </c>
      <c r="AD41" s="23">
        <v>995</v>
      </c>
      <c r="AE41" s="23">
        <f t="shared" si="12"/>
        <v>34864.799999999996</v>
      </c>
      <c r="AF41" s="26">
        <v>1103</v>
      </c>
      <c r="AG41" s="26">
        <f t="shared" si="13"/>
        <v>37700.54</v>
      </c>
      <c r="AH41" s="23">
        <v>940</v>
      </c>
      <c r="AI41" s="23">
        <f t="shared" si="14"/>
        <v>31301.999999999996</v>
      </c>
      <c r="AJ41" s="23">
        <v>1327</v>
      </c>
      <c r="AK41" s="23">
        <f t="shared" si="15"/>
        <v>47705.65</v>
      </c>
      <c r="AL41" s="26">
        <v>1142</v>
      </c>
      <c r="AM41" s="26">
        <f t="shared" si="16"/>
        <v>41877.14</v>
      </c>
      <c r="AN41" s="12">
        <f t="shared" si="17"/>
        <v>9512</v>
      </c>
      <c r="AO41" s="22">
        <f t="shared" si="18"/>
        <v>336880.45</v>
      </c>
    </row>
    <row r="42" spans="1:41" x14ac:dyDescent="0.5">
      <c r="A42" s="19">
        <v>38</v>
      </c>
      <c r="B42" s="20" t="s">
        <v>104</v>
      </c>
      <c r="C42" s="21" t="s">
        <v>101</v>
      </c>
      <c r="D42" s="16">
        <v>822</v>
      </c>
      <c r="E42" s="16">
        <v>1</v>
      </c>
      <c r="F42" s="22">
        <v>1905</v>
      </c>
      <c r="G42" s="22">
        <f t="shared" si="0"/>
        <v>59283.6</v>
      </c>
      <c r="H42" s="22">
        <v>589</v>
      </c>
      <c r="I42" s="23">
        <f t="shared" si="1"/>
        <v>19089.489999999998</v>
      </c>
      <c r="J42" s="22">
        <v>274</v>
      </c>
      <c r="K42" s="22">
        <f t="shared" si="2"/>
        <v>9044.74</v>
      </c>
      <c r="L42" s="22">
        <v>407</v>
      </c>
      <c r="M42" s="24">
        <f t="shared" si="3"/>
        <v>14293.839999999998</v>
      </c>
      <c r="N42" s="23">
        <v>818</v>
      </c>
      <c r="O42" s="23">
        <f t="shared" si="4"/>
        <v>31288.5</v>
      </c>
      <c r="P42" s="22">
        <v>1531</v>
      </c>
      <c r="Q42" s="22">
        <f t="shared" si="5"/>
        <v>64302</v>
      </c>
      <c r="R42" s="25">
        <v>1076</v>
      </c>
      <c r="S42" s="25">
        <f t="shared" si="6"/>
        <v>41641.200000000004</v>
      </c>
      <c r="T42" s="25">
        <v>1238</v>
      </c>
      <c r="U42" s="25">
        <f t="shared" si="7"/>
        <v>41720.600000000006</v>
      </c>
      <c r="V42" s="23">
        <v>1825</v>
      </c>
      <c r="W42" s="23">
        <f t="shared" si="8"/>
        <v>59859.999999999993</v>
      </c>
      <c r="X42" s="23">
        <v>2186</v>
      </c>
      <c r="Y42" s="23">
        <f t="shared" si="9"/>
        <v>76837.899999999994</v>
      </c>
      <c r="Z42" s="23">
        <v>1298</v>
      </c>
      <c r="AA42" s="23">
        <f t="shared" si="10"/>
        <v>44988.679999999993</v>
      </c>
      <c r="AB42" s="23">
        <v>920</v>
      </c>
      <c r="AC42" s="23">
        <f t="shared" si="11"/>
        <v>33166</v>
      </c>
      <c r="AD42" s="23">
        <v>1932</v>
      </c>
      <c r="AE42" s="23">
        <f t="shared" si="12"/>
        <v>67697.279999999999</v>
      </c>
      <c r="AF42" s="26">
        <v>2185</v>
      </c>
      <c r="AG42" s="26">
        <f t="shared" si="13"/>
        <v>74683.3</v>
      </c>
      <c r="AH42" s="23">
        <v>2129</v>
      </c>
      <c r="AI42" s="23">
        <f t="shared" si="14"/>
        <v>70895.7</v>
      </c>
      <c r="AJ42" s="23">
        <v>2344</v>
      </c>
      <c r="AK42" s="23">
        <f t="shared" si="15"/>
        <v>84266.8</v>
      </c>
      <c r="AL42" s="26">
        <v>2258</v>
      </c>
      <c r="AM42" s="26">
        <f t="shared" si="16"/>
        <v>82800.86</v>
      </c>
      <c r="AN42" s="12">
        <f t="shared" si="17"/>
        <v>24915</v>
      </c>
      <c r="AO42" s="22">
        <f t="shared" si="18"/>
        <v>875860.49</v>
      </c>
    </row>
    <row r="43" spans="1:41" x14ac:dyDescent="0.5">
      <c r="A43" s="19">
        <v>39</v>
      </c>
      <c r="B43" s="20" t="s">
        <v>105</v>
      </c>
      <c r="C43" s="21" t="s">
        <v>75</v>
      </c>
      <c r="D43" s="16">
        <v>837</v>
      </c>
      <c r="E43" s="16">
        <v>1</v>
      </c>
      <c r="F43" s="22">
        <v>1090</v>
      </c>
      <c r="G43" s="22">
        <f t="shared" si="0"/>
        <v>33920.800000000003</v>
      </c>
      <c r="H43" s="22">
        <v>632</v>
      </c>
      <c r="I43" s="23">
        <f t="shared" si="1"/>
        <v>20483.12</v>
      </c>
      <c r="J43" s="22">
        <v>759</v>
      </c>
      <c r="K43" s="22">
        <f t="shared" si="2"/>
        <v>25054.59</v>
      </c>
      <c r="L43" s="22">
        <v>366</v>
      </c>
      <c r="M43" s="24">
        <f t="shared" si="3"/>
        <v>12853.919999999998</v>
      </c>
      <c r="N43" s="23">
        <v>857</v>
      </c>
      <c r="O43" s="23">
        <f t="shared" si="4"/>
        <v>32780.25</v>
      </c>
      <c r="P43" s="22">
        <v>854</v>
      </c>
      <c r="Q43" s="22">
        <f t="shared" si="5"/>
        <v>35868</v>
      </c>
      <c r="R43" s="25">
        <v>841</v>
      </c>
      <c r="S43" s="25">
        <f t="shared" si="6"/>
        <v>32546.7</v>
      </c>
      <c r="T43" s="25">
        <v>765</v>
      </c>
      <c r="U43" s="25">
        <f t="shared" si="7"/>
        <v>25780.500000000004</v>
      </c>
      <c r="V43" s="23">
        <v>994</v>
      </c>
      <c r="W43" s="23">
        <f t="shared" si="8"/>
        <v>32603.199999999997</v>
      </c>
      <c r="X43" s="23">
        <v>1234</v>
      </c>
      <c r="Y43" s="23">
        <f t="shared" si="9"/>
        <v>43375.1</v>
      </c>
      <c r="Z43" s="23">
        <v>1017</v>
      </c>
      <c r="AA43" s="23">
        <f t="shared" si="10"/>
        <v>35249.219999999994</v>
      </c>
      <c r="AB43" s="23">
        <v>915</v>
      </c>
      <c r="AC43" s="23">
        <f t="shared" si="11"/>
        <v>32985.75</v>
      </c>
      <c r="AD43" s="23">
        <v>1156</v>
      </c>
      <c r="AE43" s="23">
        <f t="shared" si="12"/>
        <v>40506.239999999998</v>
      </c>
      <c r="AF43" s="26">
        <v>1246</v>
      </c>
      <c r="AG43" s="26">
        <f t="shared" si="13"/>
        <v>42588.28</v>
      </c>
      <c r="AH43" s="23">
        <v>1145</v>
      </c>
      <c r="AI43" s="23">
        <f t="shared" si="14"/>
        <v>38128.5</v>
      </c>
      <c r="AJ43" s="23">
        <v>1240</v>
      </c>
      <c r="AK43" s="23">
        <f t="shared" si="15"/>
        <v>44578</v>
      </c>
      <c r="AL43" s="26">
        <v>1247</v>
      </c>
      <c r="AM43" s="26">
        <f t="shared" si="16"/>
        <v>45727.490000000005</v>
      </c>
      <c r="AN43" s="12">
        <f t="shared" si="17"/>
        <v>16358</v>
      </c>
      <c r="AO43" s="22">
        <f t="shared" si="18"/>
        <v>575029.65999999992</v>
      </c>
    </row>
    <row r="44" spans="1:41" s="31" customFormat="1" x14ac:dyDescent="0.5">
      <c r="A44" s="19">
        <v>40</v>
      </c>
      <c r="B44" s="27" t="s">
        <v>106</v>
      </c>
      <c r="C44" s="28" t="s">
        <v>107</v>
      </c>
      <c r="D44" s="16">
        <v>839</v>
      </c>
      <c r="E44" s="16">
        <v>1</v>
      </c>
      <c r="F44" s="22"/>
      <c r="G44" s="22">
        <f t="shared" si="0"/>
        <v>0</v>
      </c>
      <c r="H44" s="22"/>
      <c r="I44" s="23">
        <f t="shared" si="1"/>
        <v>0</v>
      </c>
      <c r="J44" s="22"/>
      <c r="K44" s="22">
        <f t="shared" si="2"/>
        <v>0</v>
      </c>
      <c r="L44" s="22"/>
      <c r="M44" s="24">
        <f t="shared" si="3"/>
        <v>0</v>
      </c>
      <c r="N44" s="23"/>
      <c r="O44" s="23">
        <f t="shared" si="4"/>
        <v>0</v>
      </c>
      <c r="P44" s="22"/>
      <c r="Q44" s="22">
        <f t="shared" si="5"/>
        <v>0</v>
      </c>
      <c r="R44" s="25"/>
      <c r="S44" s="25">
        <f t="shared" si="6"/>
        <v>0</v>
      </c>
      <c r="T44" s="25"/>
      <c r="U44" s="25">
        <f t="shared" si="7"/>
        <v>0</v>
      </c>
      <c r="V44" s="23"/>
      <c r="W44" s="23">
        <f t="shared" si="8"/>
        <v>0</v>
      </c>
      <c r="X44" s="23"/>
      <c r="Y44" s="23">
        <f t="shared" si="9"/>
        <v>0</v>
      </c>
      <c r="Z44" s="23"/>
      <c r="AA44" s="23">
        <f t="shared" si="10"/>
        <v>0</v>
      </c>
      <c r="AB44" s="23"/>
      <c r="AC44" s="23">
        <f t="shared" si="11"/>
        <v>0</v>
      </c>
      <c r="AD44" s="23"/>
      <c r="AE44" s="23">
        <f t="shared" si="12"/>
        <v>0</v>
      </c>
      <c r="AF44" s="26"/>
      <c r="AG44" s="26">
        <f t="shared" si="13"/>
        <v>0</v>
      </c>
      <c r="AH44" s="23"/>
      <c r="AI44" s="23">
        <f t="shared" si="14"/>
        <v>0</v>
      </c>
      <c r="AJ44" s="23"/>
      <c r="AK44" s="23">
        <f t="shared" si="15"/>
        <v>0</v>
      </c>
      <c r="AL44" s="23"/>
      <c r="AM44" s="26">
        <f t="shared" si="16"/>
        <v>0</v>
      </c>
      <c r="AN44" s="12">
        <f t="shared" si="17"/>
        <v>0</v>
      </c>
      <c r="AO44" s="22">
        <f t="shared" si="18"/>
        <v>0</v>
      </c>
    </row>
    <row r="45" spans="1:41" s="31" customFormat="1" x14ac:dyDescent="0.5">
      <c r="A45" s="19">
        <v>41</v>
      </c>
      <c r="B45" s="27" t="s">
        <v>108</v>
      </c>
      <c r="C45" s="28" t="s">
        <v>109</v>
      </c>
      <c r="D45" s="16">
        <v>844</v>
      </c>
      <c r="E45" s="16">
        <v>1</v>
      </c>
      <c r="F45" s="22"/>
      <c r="G45" s="22">
        <f t="shared" si="0"/>
        <v>0</v>
      </c>
      <c r="H45" s="22"/>
      <c r="I45" s="23">
        <f t="shared" si="1"/>
        <v>0</v>
      </c>
      <c r="J45" s="22"/>
      <c r="K45" s="22">
        <f t="shared" si="2"/>
        <v>0</v>
      </c>
      <c r="L45" s="22">
        <v>676</v>
      </c>
      <c r="M45" s="24">
        <f t="shared" si="3"/>
        <v>23741.119999999999</v>
      </c>
      <c r="N45" s="23">
        <v>424</v>
      </c>
      <c r="O45" s="23">
        <f t="shared" si="4"/>
        <v>16218</v>
      </c>
      <c r="P45" s="22">
        <v>1199</v>
      </c>
      <c r="Q45" s="22">
        <f t="shared" si="5"/>
        <v>50358</v>
      </c>
      <c r="R45" s="25">
        <v>595</v>
      </c>
      <c r="S45" s="25">
        <f t="shared" si="6"/>
        <v>23026.5</v>
      </c>
      <c r="T45" s="25">
        <v>696</v>
      </c>
      <c r="U45" s="25">
        <f t="shared" si="7"/>
        <v>23455.200000000001</v>
      </c>
      <c r="V45" s="23"/>
      <c r="W45" s="23">
        <f t="shared" si="8"/>
        <v>0</v>
      </c>
      <c r="X45" s="23">
        <v>911</v>
      </c>
      <c r="Y45" s="23">
        <f t="shared" si="9"/>
        <v>32021.649999999998</v>
      </c>
      <c r="Z45" s="23"/>
      <c r="AA45" s="23">
        <f t="shared" si="10"/>
        <v>0</v>
      </c>
      <c r="AB45" s="23"/>
      <c r="AC45" s="23">
        <f t="shared" si="11"/>
        <v>0</v>
      </c>
      <c r="AD45" s="23">
        <v>1168</v>
      </c>
      <c r="AE45" s="23">
        <f t="shared" si="12"/>
        <v>40926.720000000001</v>
      </c>
      <c r="AF45" s="26"/>
      <c r="AG45" s="26">
        <f t="shared" si="13"/>
        <v>0</v>
      </c>
      <c r="AH45" s="23">
        <v>917</v>
      </c>
      <c r="AI45" s="23">
        <f t="shared" si="14"/>
        <v>30536.1</v>
      </c>
      <c r="AJ45" s="23">
        <v>691</v>
      </c>
      <c r="AK45" s="23">
        <f t="shared" si="15"/>
        <v>24841.45</v>
      </c>
      <c r="AL45" s="23"/>
      <c r="AM45" s="26">
        <f t="shared" si="16"/>
        <v>0</v>
      </c>
      <c r="AN45" s="12">
        <f t="shared" si="17"/>
        <v>7277</v>
      </c>
      <c r="AO45" s="22">
        <f t="shared" si="18"/>
        <v>265124.74</v>
      </c>
    </row>
    <row r="46" spans="1:41" x14ac:dyDescent="0.5">
      <c r="A46" s="19">
        <v>42</v>
      </c>
      <c r="B46" s="20" t="s">
        <v>110</v>
      </c>
      <c r="C46" s="21" t="s">
        <v>111</v>
      </c>
      <c r="D46" s="16">
        <v>852</v>
      </c>
      <c r="E46" s="16">
        <v>1</v>
      </c>
      <c r="F46" s="22">
        <v>516</v>
      </c>
      <c r="G46" s="22">
        <f t="shared" si="0"/>
        <v>16057.92</v>
      </c>
      <c r="H46" s="22"/>
      <c r="I46" s="23">
        <f t="shared" si="1"/>
        <v>0</v>
      </c>
      <c r="J46" s="22">
        <v>366</v>
      </c>
      <c r="K46" s="22">
        <f t="shared" si="2"/>
        <v>12081.66</v>
      </c>
      <c r="L46" s="29">
        <v>523</v>
      </c>
      <c r="M46" s="24">
        <f t="shared" si="3"/>
        <v>18367.759999999998</v>
      </c>
      <c r="N46" s="30">
        <v>249</v>
      </c>
      <c r="O46" s="23">
        <f t="shared" si="4"/>
        <v>9524.25</v>
      </c>
      <c r="P46" s="22">
        <v>514</v>
      </c>
      <c r="Q46" s="22">
        <f t="shared" si="5"/>
        <v>21588</v>
      </c>
      <c r="R46" s="25">
        <v>660</v>
      </c>
      <c r="S46" s="25">
        <f t="shared" si="6"/>
        <v>25542.000000000004</v>
      </c>
      <c r="T46" s="25">
        <v>482</v>
      </c>
      <c r="U46" s="25">
        <f t="shared" si="7"/>
        <v>16243.400000000001</v>
      </c>
      <c r="V46" s="23">
        <v>521</v>
      </c>
      <c r="W46" s="23">
        <f t="shared" si="8"/>
        <v>17088.8</v>
      </c>
      <c r="X46" s="23">
        <v>769</v>
      </c>
      <c r="Y46" s="23">
        <f t="shared" si="9"/>
        <v>27030.35</v>
      </c>
      <c r="Z46" s="23">
        <v>569</v>
      </c>
      <c r="AA46" s="23">
        <f t="shared" si="10"/>
        <v>19721.539999999997</v>
      </c>
      <c r="AB46" s="23">
        <v>440</v>
      </c>
      <c r="AC46" s="23">
        <f t="shared" si="11"/>
        <v>15861.999999999998</v>
      </c>
      <c r="AD46" s="23">
        <v>752</v>
      </c>
      <c r="AE46" s="23">
        <f t="shared" si="12"/>
        <v>26350.079999999998</v>
      </c>
      <c r="AF46" s="26">
        <v>770</v>
      </c>
      <c r="AG46" s="26">
        <f t="shared" si="13"/>
        <v>26318.6</v>
      </c>
      <c r="AH46" s="23">
        <v>737</v>
      </c>
      <c r="AI46" s="23">
        <f t="shared" si="14"/>
        <v>24542.1</v>
      </c>
      <c r="AJ46" s="23">
        <v>1096</v>
      </c>
      <c r="AK46" s="23">
        <f t="shared" si="15"/>
        <v>39401.200000000004</v>
      </c>
      <c r="AL46" s="26">
        <v>1330</v>
      </c>
      <c r="AM46" s="26">
        <f t="shared" si="16"/>
        <v>48771.100000000006</v>
      </c>
      <c r="AN46" s="12">
        <f t="shared" si="17"/>
        <v>10294</v>
      </c>
      <c r="AO46" s="22">
        <f t="shared" si="18"/>
        <v>364490.76</v>
      </c>
    </row>
    <row r="47" spans="1:41" x14ac:dyDescent="0.5">
      <c r="A47" s="19">
        <v>43</v>
      </c>
      <c r="B47" s="20" t="s">
        <v>112</v>
      </c>
      <c r="C47" s="21" t="s">
        <v>113</v>
      </c>
      <c r="D47" s="16">
        <v>858</v>
      </c>
      <c r="E47" s="16">
        <v>1</v>
      </c>
      <c r="F47" s="22">
        <v>826</v>
      </c>
      <c r="G47" s="22">
        <f t="shared" si="0"/>
        <v>25705.120000000003</v>
      </c>
      <c r="H47" s="22">
        <v>555</v>
      </c>
      <c r="I47" s="23">
        <f t="shared" si="1"/>
        <v>17987.55</v>
      </c>
      <c r="J47" s="22">
        <v>291</v>
      </c>
      <c r="K47" s="22">
        <f t="shared" si="2"/>
        <v>9605.91</v>
      </c>
      <c r="L47" s="22">
        <v>285</v>
      </c>
      <c r="M47" s="24">
        <f t="shared" si="3"/>
        <v>10009.199999999999</v>
      </c>
      <c r="N47" s="23">
        <v>467</v>
      </c>
      <c r="O47" s="23">
        <f t="shared" si="4"/>
        <v>17862.75</v>
      </c>
      <c r="P47" s="22">
        <v>766</v>
      </c>
      <c r="Q47" s="22">
        <f t="shared" si="5"/>
        <v>32172</v>
      </c>
      <c r="R47" s="25">
        <v>777</v>
      </c>
      <c r="S47" s="25">
        <f t="shared" si="6"/>
        <v>30069.9</v>
      </c>
      <c r="T47" s="25">
        <v>845</v>
      </c>
      <c r="U47" s="25">
        <f t="shared" si="7"/>
        <v>28476.500000000004</v>
      </c>
      <c r="V47" s="23">
        <v>1096</v>
      </c>
      <c r="W47" s="23">
        <f t="shared" si="8"/>
        <v>35948.799999999996</v>
      </c>
      <c r="X47" s="23">
        <v>1321</v>
      </c>
      <c r="Y47" s="23">
        <f t="shared" si="9"/>
        <v>46433.15</v>
      </c>
      <c r="Z47" s="23">
        <v>921</v>
      </c>
      <c r="AA47" s="23">
        <f t="shared" si="10"/>
        <v>31921.859999999997</v>
      </c>
      <c r="AB47" s="23">
        <v>1041</v>
      </c>
      <c r="AC47" s="23">
        <f t="shared" si="11"/>
        <v>37528.049999999996</v>
      </c>
      <c r="AD47" s="23">
        <v>1046</v>
      </c>
      <c r="AE47" s="23">
        <f t="shared" si="12"/>
        <v>36651.839999999997</v>
      </c>
      <c r="AF47" s="26">
        <v>1215</v>
      </c>
      <c r="AG47" s="26">
        <f t="shared" si="13"/>
        <v>41528.699999999997</v>
      </c>
      <c r="AH47" s="23">
        <v>1094</v>
      </c>
      <c r="AI47" s="23">
        <f t="shared" si="14"/>
        <v>36430.199999999997</v>
      </c>
      <c r="AJ47" s="23">
        <v>1333</v>
      </c>
      <c r="AK47" s="23">
        <f t="shared" si="15"/>
        <v>47921.350000000006</v>
      </c>
      <c r="AL47" s="26">
        <v>1258</v>
      </c>
      <c r="AM47" s="26">
        <f t="shared" si="16"/>
        <v>46130.86</v>
      </c>
      <c r="AN47" s="12">
        <f t="shared" si="17"/>
        <v>15137</v>
      </c>
      <c r="AO47" s="22">
        <f t="shared" si="18"/>
        <v>532383.74</v>
      </c>
    </row>
    <row r="48" spans="1:41" s="31" customFormat="1" x14ac:dyDescent="0.5">
      <c r="A48" s="19">
        <v>44</v>
      </c>
      <c r="B48" s="27" t="s">
        <v>114</v>
      </c>
      <c r="C48" s="28" t="s">
        <v>75</v>
      </c>
      <c r="D48" s="16">
        <v>860</v>
      </c>
      <c r="E48" s="16">
        <v>1</v>
      </c>
      <c r="F48" s="22">
        <v>288</v>
      </c>
      <c r="G48" s="22">
        <f t="shared" si="0"/>
        <v>8962.56</v>
      </c>
      <c r="H48" s="22">
        <v>175</v>
      </c>
      <c r="I48" s="23">
        <f t="shared" si="1"/>
        <v>5671.7499999999991</v>
      </c>
      <c r="J48" s="22"/>
      <c r="K48" s="22">
        <f t="shared" si="2"/>
        <v>0</v>
      </c>
      <c r="L48" s="22"/>
      <c r="M48" s="24">
        <f t="shared" si="3"/>
        <v>0</v>
      </c>
      <c r="N48" s="23"/>
      <c r="O48" s="23">
        <f t="shared" si="4"/>
        <v>0</v>
      </c>
      <c r="P48" s="22">
        <v>156</v>
      </c>
      <c r="Q48" s="22">
        <f t="shared" si="5"/>
        <v>6552</v>
      </c>
      <c r="R48" s="25">
        <v>151</v>
      </c>
      <c r="S48" s="25">
        <f t="shared" si="6"/>
        <v>5843.7000000000007</v>
      </c>
      <c r="T48" s="25"/>
      <c r="U48" s="25">
        <f t="shared" si="7"/>
        <v>0</v>
      </c>
      <c r="V48" s="23"/>
      <c r="W48" s="23">
        <f t="shared" si="8"/>
        <v>0</v>
      </c>
      <c r="X48" s="23">
        <v>173</v>
      </c>
      <c r="Y48" s="23">
        <f t="shared" si="9"/>
        <v>6080.95</v>
      </c>
      <c r="Z48" s="23">
        <v>209</v>
      </c>
      <c r="AA48" s="23">
        <f t="shared" si="10"/>
        <v>7243.94</v>
      </c>
      <c r="AB48" s="23"/>
      <c r="AC48" s="23">
        <f t="shared" si="11"/>
        <v>0</v>
      </c>
      <c r="AD48" s="23"/>
      <c r="AE48" s="23">
        <f t="shared" si="12"/>
        <v>0</v>
      </c>
      <c r="AF48" s="26"/>
      <c r="AG48" s="26">
        <f t="shared" si="13"/>
        <v>0</v>
      </c>
      <c r="AH48" s="23"/>
      <c r="AI48" s="23">
        <f t="shared" si="14"/>
        <v>0</v>
      </c>
      <c r="AJ48" s="23"/>
      <c r="AK48" s="23">
        <f t="shared" si="15"/>
        <v>0</v>
      </c>
      <c r="AL48" s="23"/>
      <c r="AM48" s="26">
        <f t="shared" si="16"/>
        <v>0</v>
      </c>
      <c r="AN48" s="12">
        <f t="shared" si="17"/>
        <v>1152</v>
      </c>
      <c r="AO48" s="22">
        <f t="shared" si="18"/>
        <v>40354.9</v>
      </c>
    </row>
    <row r="49" spans="1:41" s="31" customFormat="1" x14ac:dyDescent="0.5">
      <c r="A49" s="19">
        <v>45</v>
      </c>
      <c r="B49" s="27" t="s">
        <v>115</v>
      </c>
      <c r="C49" s="28" t="s">
        <v>116</v>
      </c>
      <c r="D49" s="16">
        <v>887</v>
      </c>
      <c r="E49" s="16">
        <v>1</v>
      </c>
      <c r="F49" s="22"/>
      <c r="G49" s="22">
        <f t="shared" si="0"/>
        <v>0</v>
      </c>
      <c r="H49" s="22">
        <v>264</v>
      </c>
      <c r="I49" s="23">
        <f t="shared" si="1"/>
        <v>8556.24</v>
      </c>
      <c r="J49" s="22">
        <v>325</v>
      </c>
      <c r="K49" s="22">
        <f t="shared" si="2"/>
        <v>10728.25</v>
      </c>
      <c r="L49" s="22">
        <v>230</v>
      </c>
      <c r="M49" s="24">
        <f t="shared" si="3"/>
        <v>8077.5999999999995</v>
      </c>
      <c r="N49" s="23">
        <v>181</v>
      </c>
      <c r="O49" s="23">
        <f t="shared" si="4"/>
        <v>6923.25</v>
      </c>
      <c r="P49" s="22">
        <v>694</v>
      </c>
      <c r="Q49" s="22">
        <f t="shared" si="5"/>
        <v>29148</v>
      </c>
      <c r="R49" s="25">
        <v>791</v>
      </c>
      <c r="S49" s="25">
        <f t="shared" si="6"/>
        <v>30611.7</v>
      </c>
      <c r="T49" s="25">
        <v>994</v>
      </c>
      <c r="U49" s="25">
        <f t="shared" si="7"/>
        <v>33497.800000000003</v>
      </c>
      <c r="V49" s="23">
        <v>928</v>
      </c>
      <c r="W49" s="23">
        <f t="shared" si="8"/>
        <v>30438.399999999998</v>
      </c>
      <c r="X49" s="23">
        <v>901</v>
      </c>
      <c r="Y49" s="23">
        <f t="shared" si="9"/>
        <v>31670.149999999998</v>
      </c>
      <c r="Z49" s="23">
        <v>797</v>
      </c>
      <c r="AA49" s="23">
        <f t="shared" si="10"/>
        <v>27624.019999999997</v>
      </c>
      <c r="AB49" s="23">
        <v>710</v>
      </c>
      <c r="AC49" s="23">
        <f t="shared" si="11"/>
        <v>25595.499999999996</v>
      </c>
      <c r="AD49" s="23">
        <v>757</v>
      </c>
      <c r="AE49" s="23">
        <f t="shared" si="12"/>
        <v>26525.279999999999</v>
      </c>
      <c r="AF49" s="26">
        <v>806</v>
      </c>
      <c r="AG49" s="26">
        <f t="shared" si="13"/>
        <v>27549.079999999998</v>
      </c>
      <c r="AH49" s="23">
        <v>733</v>
      </c>
      <c r="AI49" s="23">
        <f t="shared" si="14"/>
        <v>24408.899999999998</v>
      </c>
      <c r="AJ49" s="23">
        <v>760</v>
      </c>
      <c r="AK49" s="23">
        <f t="shared" si="15"/>
        <v>27322.000000000004</v>
      </c>
      <c r="AL49" s="23">
        <v>830</v>
      </c>
      <c r="AM49" s="26">
        <f t="shared" si="16"/>
        <v>30436.100000000002</v>
      </c>
      <c r="AN49" s="12">
        <f t="shared" si="17"/>
        <v>10701</v>
      </c>
      <c r="AO49" s="22">
        <f t="shared" si="18"/>
        <v>379112.26999999996</v>
      </c>
    </row>
    <row r="50" spans="1:41" x14ac:dyDescent="0.5">
      <c r="A50" s="19">
        <v>46</v>
      </c>
      <c r="B50" s="20" t="s">
        <v>117</v>
      </c>
      <c r="C50" s="21" t="s">
        <v>75</v>
      </c>
      <c r="D50" s="16">
        <v>893</v>
      </c>
      <c r="E50" s="16">
        <v>1</v>
      </c>
      <c r="F50" s="22">
        <v>785</v>
      </c>
      <c r="G50" s="22">
        <f t="shared" si="0"/>
        <v>24429.200000000001</v>
      </c>
      <c r="H50" s="22">
        <v>562</v>
      </c>
      <c r="I50" s="23">
        <f t="shared" si="1"/>
        <v>18214.419999999998</v>
      </c>
      <c r="J50" s="22">
        <v>690</v>
      </c>
      <c r="K50" s="22">
        <f t="shared" si="2"/>
        <v>22776.899999999998</v>
      </c>
      <c r="L50" s="22">
        <v>528</v>
      </c>
      <c r="M50" s="24">
        <f t="shared" si="3"/>
        <v>18543.359999999997</v>
      </c>
      <c r="N50" s="23">
        <v>700</v>
      </c>
      <c r="O50" s="23">
        <f t="shared" si="4"/>
        <v>26775</v>
      </c>
      <c r="P50" s="22">
        <v>737</v>
      </c>
      <c r="Q50" s="22">
        <f t="shared" si="5"/>
        <v>30954</v>
      </c>
      <c r="R50" s="25">
        <v>716</v>
      </c>
      <c r="S50" s="25">
        <f t="shared" si="6"/>
        <v>27709.200000000001</v>
      </c>
      <c r="T50" s="25"/>
      <c r="U50" s="25">
        <f t="shared" si="7"/>
        <v>0</v>
      </c>
      <c r="V50" s="23"/>
      <c r="W50" s="23">
        <f t="shared" si="8"/>
        <v>0</v>
      </c>
      <c r="X50" s="23">
        <v>553</v>
      </c>
      <c r="Y50" s="23">
        <f t="shared" si="9"/>
        <v>19437.95</v>
      </c>
      <c r="Z50" s="23"/>
      <c r="AA50" s="23">
        <f t="shared" si="10"/>
        <v>0</v>
      </c>
      <c r="AB50" s="23"/>
      <c r="AC50" s="23">
        <f t="shared" si="11"/>
        <v>0</v>
      </c>
      <c r="AD50" s="23"/>
      <c r="AE50" s="23">
        <f t="shared" si="12"/>
        <v>0</v>
      </c>
      <c r="AF50" s="26">
        <v>857</v>
      </c>
      <c r="AG50" s="26">
        <f t="shared" si="13"/>
        <v>29292.26</v>
      </c>
      <c r="AH50" s="23">
        <v>735</v>
      </c>
      <c r="AI50" s="23">
        <f t="shared" si="14"/>
        <v>24475.499999999996</v>
      </c>
      <c r="AJ50" s="23">
        <v>888</v>
      </c>
      <c r="AK50" s="23">
        <f t="shared" si="15"/>
        <v>31923.600000000002</v>
      </c>
      <c r="AL50" s="26">
        <v>800</v>
      </c>
      <c r="AM50" s="26">
        <f t="shared" si="16"/>
        <v>29336</v>
      </c>
      <c r="AN50" s="12">
        <f t="shared" si="17"/>
        <v>8551</v>
      </c>
      <c r="AO50" s="22">
        <f t="shared" si="18"/>
        <v>303867.39</v>
      </c>
    </row>
    <row r="51" spans="1:41" s="31" customFormat="1" x14ac:dyDescent="0.5">
      <c r="A51" s="19">
        <v>47</v>
      </c>
      <c r="B51" s="27" t="s">
        <v>118</v>
      </c>
      <c r="C51" s="28" t="s">
        <v>62</v>
      </c>
      <c r="D51" s="16">
        <v>902</v>
      </c>
      <c r="E51" s="16">
        <v>1</v>
      </c>
      <c r="F51" s="22">
        <v>228</v>
      </c>
      <c r="G51" s="22">
        <f t="shared" si="0"/>
        <v>7095.3600000000006</v>
      </c>
      <c r="H51" s="22">
        <v>74</v>
      </c>
      <c r="I51" s="23">
        <f t="shared" si="1"/>
        <v>2398.3399999999997</v>
      </c>
      <c r="J51" s="22">
        <v>269</v>
      </c>
      <c r="K51" s="22">
        <f t="shared" si="2"/>
        <v>8879.6899999999987</v>
      </c>
      <c r="L51" s="22"/>
      <c r="M51" s="24">
        <f t="shared" si="3"/>
        <v>0</v>
      </c>
      <c r="N51" s="23">
        <v>230</v>
      </c>
      <c r="O51" s="23">
        <f t="shared" si="4"/>
        <v>8797.5</v>
      </c>
      <c r="P51" s="22">
        <v>346</v>
      </c>
      <c r="Q51" s="22">
        <f t="shared" si="5"/>
        <v>14532</v>
      </c>
      <c r="R51" s="25">
        <v>437</v>
      </c>
      <c r="S51" s="25">
        <f t="shared" si="6"/>
        <v>16911.900000000001</v>
      </c>
      <c r="T51" s="25">
        <v>148</v>
      </c>
      <c r="U51" s="25">
        <f t="shared" si="7"/>
        <v>4987.6000000000004</v>
      </c>
      <c r="V51" s="23">
        <v>441</v>
      </c>
      <c r="W51" s="23">
        <f t="shared" si="8"/>
        <v>14464.8</v>
      </c>
      <c r="X51" s="23">
        <v>396</v>
      </c>
      <c r="Y51" s="23">
        <f t="shared" si="9"/>
        <v>13919.4</v>
      </c>
      <c r="Z51" s="23">
        <v>172</v>
      </c>
      <c r="AA51" s="23">
        <f t="shared" si="10"/>
        <v>5961.5199999999995</v>
      </c>
      <c r="AB51" s="23">
        <v>140</v>
      </c>
      <c r="AC51" s="23">
        <f t="shared" si="11"/>
        <v>5047</v>
      </c>
      <c r="AD51" s="23">
        <v>495</v>
      </c>
      <c r="AE51" s="23">
        <f t="shared" si="12"/>
        <v>17344.8</v>
      </c>
      <c r="AF51" s="26">
        <v>458</v>
      </c>
      <c r="AG51" s="26">
        <f t="shared" si="13"/>
        <v>15654.44</v>
      </c>
      <c r="AH51" s="23">
        <v>474</v>
      </c>
      <c r="AI51" s="23">
        <f t="shared" si="14"/>
        <v>15784.199999999999</v>
      </c>
      <c r="AJ51" s="23">
        <v>610</v>
      </c>
      <c r="AK51" s="23">
        <f t="shared" si="15"/>
        <v>21929.5</v>
      </c>
      <c r="AL51" s="23">
        <v>438</v>
      </c>
      <c r="AM51" s="26">
        <f t="shared" si="16"/>
        <v>16061.460000000001</v>
      </c>
      <c r="AN51" s="12">
        <f t="shared" si="17"/>
        <v>5356</v>
      </c>
      <c r="AO51" s="22">
        <f t="shared" si="18"/>
        <v>189769.51</v>
      </c>
    </row>
    <row r="52" spans="1:41" x14ac:dyDescent="0.5">
      <c r="A52" s="19">
        <v>48</v>
      </c>
      <c r="B52" s="20" t="s">
        <v>119</v>
      </c>
      <c r="C52" s="21" t="s">
        <v>80</v>
      </c>
      <c r="D52" s="16">
        <v>911</v>
      </c>
      <c r="E52" s="16">
        <v>1</v>
      </c>
      <c r="F52" s="22">
        <v>651</v>
      </c>
      <c r="G52" s="22">
        <f t="shared" si="0"/>
        <v>20259.12</v>
      </c>
      <c r="H52" s="22">
        <v>579</v>
      </c>
      <c r="I52" s="23">
        <f t="shared" si="1"/>
        <v>18765.39</v>
      </c>
      <c r="J52" s="22"/>
      <c r="K52" s="22">
        <f t="shared" si="2"/>
        <v>0</v>
      </c>
      <c r="L52" s="29">
        <v>525</v>
      </c>
      <c r="M52" s="24">
        <f t="shared" si="3"/>
        <v>18438</v>
      </c>
      <c r="N52" s="30">
        <v>565</v>
      </c>
      <c r="O52" s="23">
        <f t="shared" si="4"/>
        <v>21611.25</v>
      </c>
      <c r="P52" s="22">
        <v>771</v>
      </c>
      <c r="Q52" s="22">
        <f t="shared" si="5"/>
        <v>32382</v>
      </c>
      <c r="R52" s="25">
        <v>650</v>
      </c>
      <c r="S52" s="25">
        <f t="shared" si="6"/>
        <v>25155.000000000004</v>
      </c>
      <c r="T52" s="25">
        <v>1057</v>
      </c>
      <c r="U52" s="25">
        <f t="shared" si="7"/>
        <v>35620.9</v>
      </c>
      <c r="V52" s="23">
        <v>780</v>
      </c>
      <c r="W52" s="23">
        <f t="shared" si="8"/>
        <v>25583.999999999996</v>
      </c>
      <c r="X52" s="23">
        <v>774</v>
      </c>
      <c r="Y52" s="23">
        <f t="shared" si="9"/>
        <v>27206.1</v>
      </c>
      <c r="Z52" s="23">
        <v>716</v>
      </c>
      <c r="AA52" s="23">
        <f t="shared" si="10"/>
        <v>24816.559999999998</v>
      </c>
      <c r="AB52" s="23">
        <v>724</v>
      </c>
      <c r="AC52" s="23">
        <f t="shared" si="11"/>
        <v>26100.199999999997</v>
      </c>
      <c r="AD52" s="23">
        <v>743</v>
      </c>
      <c r="AE52" s="23">
        <f t="shared" si="12"/>
        <v>26034.720000000001</v>
      </c>
      <c r="AF52" s="26">
        <v>1262</v>
      </c>
      <c r="AG52" s="26">
        <f t="shared" si="13"/>
        <v>43135.159999999996</v>
      </c>
      <c r="AH52" s="23">
        <v>758</v>
      </c>
      <c r="AI52" s="23">
        <f t="shared" si="14"/>
        <v>25241.399999999998</v>
      </c>
      <c r="AJ52" s="23">
        <v>949</v>
      </c>
      <c r="AK52" s="23">
        <f t="shared" si="15"/>
        <v>34116.550000000003</v>
      </c>
      <c r="AL52" s="26">
        <v>921</v>
      </c>
      <c r="AM52" s="26">
        <f t="shared" si="16"/>
        <v>33773.07</v>
      </c>
      <c r="AN52" s="12">
        <f t="shared" si="17"/>
        <v>12425</v>
      </c>
      <c r="AO52" s="22">
        <f t="shared" si="18"/>
        <v>438239.42</v>
      </c>
    </row>
    <row r="53" spans="1:41" x14ac:dyDescent="0.5">
      <c r="A53" s="19">
        <v>49</v>
      </c>
      <c r="B53" s="20" t="s">
        <v>120</v>
      </c>
      <c r="C53" s="21" t="s">
        <v>113</v>
      </c>
      <c r="D53" s="16">
        <v>925</v>
      </c>
      <c r="E53" s="16">
        <v>1</v>
      </c>
      <c r="F53" s="22">
        <v>596</v>
      </c>
      <c r="G53" s="22">
        <f t="shared" si="0"/>
        <v>18547.52</v>
      </c>
      <c r="H53" s="22"/>
      <c r="I53" s="23">
        <f t="shared" si="1"/>
        <v>0</v>
      </c>
      <c r="J53" s="22"/>
      <c r="K53" s="22">
        <f t="shared" si="2"/>
        <v>0</v>
      </c>
      <c r="L53" s="22"/>
      <c r="M53" s="24">
        <f t="shared" si="3"/>
        <v>0</v>
      </c>
      <c r="N53" s="23">
        <v>351</v>
      </c>
      <c r="O53" s="23">
        <f t="shared" si="4"/>
        <v>13425.75</v>
      </c>
      <c r="P53" s="22">
        <v>520</v>
      </c>
      <c r="Q53" s="22">
        <f t="shared" si="5"/>
        <v>21840</v>
      </c>
      <c r="R53" s="25">
        <v>537</v>
      </c>
      <c r="S53" s="25">
        <f t="shared" si="6"/>
        <v>20781.900000000001</v>
      </c>
      <c r="T53" s="25">
        <v>691</v>
      </c>
      <c r="U53" s="25">
        <f t="shared" si="7"/>
        <v>23286.7</v>
      </c>
      <c r="V53" s="23">
        <v>726</v>
      </c>
      <c r="W53" s="23">
        <f t="shared" si="8"/>
        <v>23812.799999999999</v>
      </c>
      <c r="X53" s="23">
        <v>716</v>
      </c>
      <c r="Y53" s="23">
        <f t="shared" si="9"/>
        <v>25167.399999999998</v>
      </c>
      <c r="Z53" s="23">
        <v>621</v>
      </c>
      <c r="AA53" s="23">
        <f t="shared" si="10"/>
        <v>21523.859999999997</v>
      </c>
      <c r="AB53" s="23">
        <v>647</v>
      </c>
      <c r="AC53" s="23">
        <f t="shared" si="11"/>
        <v>23324.35</v>
      </c>
      <c r="AD53" s="23">
        <v>732</v>
      </c>
      <c r="AE53" s="23">
        <f t="shared" si="12"/>
        <v>25649.279999999999</v>
      </c>
      <c r="AF53" s="26">
        <v>828</v>
      </c>
      <c r="AG53" s="26">
        <f t="shared" si="13"/>
        <v>28301.040000000001</v>
      </c>
      <c r="AH53" s="23">
        <v>665</v>
      </c>
      <c r="AI53" s="23">
        <f t="shared" si="14"/>
        <v>22144.499999999996</v>
      </c>
      <c r="AJ53" s="23">
        <v>794</v>
      </c>
      <c r="AK53" s="23">
        <f t="shared" si="15"/>
        <v>28544.300000000003</v>
      </c>
      <c r="AL53" s="26">
        <v>964</v>
      </c>
      <c r="AM53" s="26">
        <f t="shared" si="16"/>
        <v>35349.880000000005</v>
      </c>
      <c r="AN53" s="12">
        <f t="shared" si="17"/>
        <v>9388</v>
      </c>
      <c r="AO53" s="22">
        <f t="shared" si="18"/>
        <v>331699.27999999997</v>
      </c>
    </row>
    <row r="54" spans="1:41" x14ac:dyDescent="0.5">
      <c r="A54" s="19">
        <v>50</v>
      </c>
      <c r="B54" s="20" t="s">
        <v>121</v>
      </c>
      <c r="C54" s="21" t="s">
        <v>122</v>
      </c>
      <c r="D54" s="16">
        <v>929</v>
      </c>
      <c r="E54" s="16">
        <v>1</v>
      </c>
      <c r="F54" s="22">
        <v>472</v>
      </c>
      <c r="G54" s="22">
        <f t="shared" si="0"/>
        <v>14688.640000000001</v>
      </c>
      <c r="H54" s="22"/>
      <c r="I54" s="23">
        <f t="shared" si="1"/>
        <v>0</v>
      </c>
      <c r="J54" s="22">
        <v>180</v>
      </c>
      <c r="K54" s="22">
        <f t="shared" si="2"/>
        <v>5941.7999999999993</v>
      </c>
      <c r="L54" s="22">
        <v>303</v>
      </c>
      <c r="M54" s="24">
        <f t="shared" si="3"/>
        <v>10641.359999999999</v>
      </c>
      <c r="N54" s="23">
        <v>423</v>
      </c>
      <c r="O54" s="23">
        <f t="shared" si="4"/>
        <v>16179.75</v>
      </c>
      <c r="P54" s="22">
        <v>486</v>
      </c>
      <c r="Q54" s="22">
        <f t="shared" si="5"/>
        <v>20412</v>
      </c>
      <c r="R54" s="25">
        <v>497</v>
      </c>
      <c r="S54" s="25">
        <f t="shared" si="6"/>
        <v>19233.900000000001</v>
      </c>
      <c r="T54" s="25">
        <v>509</v>
      </c>
      <c r="U54" s="25">
        <f t="shared" si="7"/>
        <v>17153.300000000003</v>
      </c>
      <c r="V54" s="23">
        <v>489</v>
      </c>
      <c r="W54" s="23">
        <f t="shared" si="8"/>
        <v>16039.199999999999</v>
      </c>
      <c r="X54" s="23">
        <v>626</v>
      </c>
      <c r="Y54" s="23">
        <f t="shared" si="9"/>
        <v>22003.899999999998</v>
      </c>
      <c r="Z54" s="23">
        <v>489</v>
      </c>
      <c r="AA54" s="23">
        <f t="shared" si="10"/>
        <v>16948.739999999998</v>
      </c>
      <c r="AB54" s="23">
        <v>505</v>
      </c>
      <c r="AC54" s="23">
        <f t="shared" si="11"/>
        <v>18205.25</v>
      </c>
      <c r="AD54" s="23">
        <v>586</v>
      </c>
      <c r="AE54" s="23">
        <f t="shared" si="12"/>
        <v>20533.439999999999</v>
      </c>
      <c r="AF54" s="26">
        <v>695</v>
      </c>
      <c r="AG54" s="26">
        <f t="shared" si="13"/>
        <v>23755.1</v>
      </c>
      <c r="AH54" s="23">
        <v>569</v>
      </c>
      <c r="AI54" s="23">
        <f t="shared" si="14"/>
        <v>18947.699999999997</v>
      </c>
      <c r="AJ54" s="23">
        <v>613</v>
      </c>
      <c r="AK54" s="23">
        <f t="shared" si="15"/>
        <v>22037.350000000002</v>
      </c>
      <c r="AL54" s="26">
        <v>605</v>
      </c>
      <c r="AM54" s="26">
        <f t="shared" si="16"/>
        <v>22185.350000000002</v>
      </c>
      <c r="AN54" s="12">
        <f t="shared" si="17"/>
        <v>8047</v>
      </c>
      <c r="AO54" s="22">
        <f t="shared" si="18"/>
        <v>284906.77999999997</v>
      </c>
    </row>
    <row r="55" spans="1:41" x14ac:dyDescent="0.5">
      <c r="A55" s="19">
        <v>51</v>
      </c>
      <c r="B55" s="20" t="s">
        <v>123</v>
      </c>
      <c r="C55" s="21" t="s">
        <v>122</v>
      </c>
      <c r="D55" s="16">
        <v>937</v>
      </c>
      <c r="E55" s="16">
        <v>1</v>
      </c>
      <c r="F55" s="22">
        <v>415</v>
      </c>
      <c r="G55" s="22">
        <f t="shared" si="0"/>
        <v>12914.800000000001</v>
      </c>
      <c r="H55" s="22">
        <v>302</v>
      </c>
      <c r="I55" s="23">
        <f t="shared" si="1"/>
        <v>9787.82</v>
      </c>
      <c r="J55" s="22">
        <v>245</v>
      </c>
      <c r="K55" s="22">
        <f t="shared" si="2"/>
        <v>8087.45</v>
      </c>
      <c r="L55" s="22">
        <v>321</v>
      </c>
      <c r="M55" s="24">
        <f t="shared" si="3"/>
        <v>11273.519999999999</v>
      </c>
      <c r="N55" s="23">
        <v>217</v>
      </c>
      <c r="O55" s="23">
        <f t="shared" si="4"/>
        <v>8300.25</v>
      </c>
      <c r="P55" s="22">
        <v>378</v>
      </c>
      <c r="Q55" s="22">
        <f t="shared" si="5"/>
        <v>15876</v>
      </c>
      <c r="R55" s="25">
        <v>408</v>
      </c>
      <c r="S55" s="25">
        <f t="shared" si="6"/>
        <v>15789.6</v>
      </c>
      <c r="T55" s="25">
        <v>446</v>
      </c>
      <c r="U55" s="25">
        <f t="shared" si="7"/>
        <v>15030.2</v>
      </c>
      <c r="V55" s="23">
        <v>494</v>
      </c>
      <c r="W55" s="23">
        <f t="shared" si="8"/>
        <v>16203.199999999999</v>
      </c>
      <c r="X55" s="23">
        <v>518</v>
      </c>
      <c r="Y55" s="23">
        <f t="shared" si="9"/>
        <v>18207.7</v>
      </c>
      <c r="Z55" s="23">
        <v>524</v>
      </c>
      <c r="AA55" s="23">
        <f t="shared" si="10"/>
        <v>18161.839999999997</v>
      </c>
      <c r="AB55" s="23">
        <v>409</v>
      </c>
      <c r="AC55" s="23">
        <f t="shared" si="11"/>
        <v>14744.449999999999</v>
      </c>
      <c r="AD55" s="23">
        <v>491</v>
      </c>
      <c r="AE55" s="23">
        <f t="shared" si="12"/>
        <v>17204.64</v>
      </c>
      <c r="AF55" s="26">
        <v>568</v>
      </c>
      <c r="AG55" s="26">
        <f t="shared" si="13"/>
        <v>19414.240000000002</v>
      </c>
      <c r="AH55" s="23">
        <v>526</v>
      </c>
      <c r="AI55" s="23">
        <f t="shared" si="14"/>
        <v>17515.8</v>
      </c>
      <c r="AJ55" s="23">
        <v>533</v>
      </c>
      <c r="AK55" s="23">
        <f t="shared" si="15"/>
        <v>19161.350000000002</v>
      </c>
      <c r="AL55" s="26">
        <v>556</v>
      </c>
      <c r="AM55" s="26">
        <f t="shared" si="16"/>
        <v>20388.52</v>
      </c>
      <c r="AN55" s="12">
        <f t="shared" si="17"/>
        <v>7351</v>
      </c>
      <c r="AO55" s="22">
        <f t="shared" si="18"/>
        <v>258061.38</v>
      </c>
    </row>
    <row r="56" spans="1:41" s="31" customFormat="1" x14ac:dyDescent="0.5">
      <c r="A56" s="19">
        <v>52</v>
      </c>
      <c r="B56" s="27" t="s">
        <v>76</v>
      </c>
      <c r="C56" s="28" t="s">
        <v>122</v>
      </c>
      <c r="D56" s="16">
        <v>938</v>
      </c>
      <c r="E56" s="16">
        <v>1</v>
      </c>
      <c r="F56" s="22"/>
      <c r="G56" s="22">
        <f t="shared" si="0"/>
        <v>0</v>
      </c>
      <c r="H56" s="22"/>
      <c r="I56" s="23">
        <f t="shared" si="1"/>
        <v>0</v>
      </c>
      <c r="J56" s="22"/>
      <c r="K56" s="22">
        <f t="shared" si="2"/>
        <v>0</v>
      </c>
      <c r="L56" s="22"/>
      <c r="M56" s="24">
        <f t="shared" si="3"/>
        <v>0</v>
      </c>
      <c r="N56" s="23"/>
      <c r="O56" s="23">
        <f t="shared" si="4"/>
        <v>0</v>
      </c>
      <c r="P56" s="22"/>
      <c r="Q56" s="22">
        <f t="shared" si="5"/>
        <v>0</v>
      </c>
      <c r="R56" s="25"/>
      <c r="S56" s="25">
        <f t="shared" si="6"/>
        <v>0</v>
      </c>
      <c r="T56" s="25"/>
      <c r="U56" s="25">
        <f t="shared" si="7"/>
        <v>0</v>
      </c>
      <c r="V56" s="23"/>
      <c r="W56" s="23">
        <f t="shared" si="8"/>
        <v>0</v>
      </c>
      <c r="X56" s="23"/>
      <c r="Y56" s="23">
        <f t="shared" si="9"/>
        <v>0</v>
      </c>
      <c r="Z56" s="23"/>
      <c r="AA56" s="23">
        <f t="shared" si="10"/>
        <v>0</v>
      </c>
      <c r="AB56" s="23"/>
      <c r="AC56" s="23">
        <f t="shared" si="11"/>
        <v>0</v>
      </c>
      <c r="AD56" s="23"/>
      <c r="AE56" s="23">
        <f t="shared" si="12"/>
        <v>0</v>
      </c>
      <c r="AF56" s="26"/>
      <c r="AG56" s="26">
        <f t="shared" si="13"/>
        <v>0</v>
      </c>
      <c r="AH56" s="23"/>
      <c r="AI56" s="23">
        <f t="shared" si="14"/>
        <v>0</v>
      </c>
      <c r="AJ56" s="23"/>
      <c r="AK56" s="23">
        <f t="shared" si="15"/>
        <v>0</v>
      </c>
      <c r="AL56" s="23"/>
      <c r="AM56" s="26">
        <f t="shared" si="16"/>
        <v>0</v>
      </c>
      <c r="AN56" s="12">
        <f t="shared" si="17"/>
        <v>0</v>
      </c>
      <c r="AO56" s="22">
        <f t="shared" si="18"/>
        <v>0</v>
      </c>
    </row>
    <row r="57" spans="1:41" x14ac:dyDescent="0.5">
      <c r="A57" s="19">
        <v>53</v>
      </c>
      <c r="B57" s="20" t="s">
        <v>124</v>
      </c>
      <c r="C57" s="21" t="s">
        <v>125</v>
      </c>
      <c r="D57" s="16">
        <v>941</v>
      </c>
      <c r="E57" s="16">
        <v>1</v>
      </c>
      <c r="F57" s="22">
        <v>1142</v>
      </c>
      <c r="G57" s="22">
        <f t="shared" si="0"/>
        <v>35539.040000000001</v>
      </c>
      <c r="H57" s="22">
        <v>319</v>
      </c>
      <c r="I57" s="23">
        <f t="shared" si="1"/>
        <v>10338.789999999999</v>
      </c>
      <c r="J57" s="22">
        <v>263</v>
      </c>
      <c r="K57" s="22">
        <f t="shared" si="2"/>
        <v>8681.6299999999992</v>
      </c>
      <c r="L57" s="22">
        <v>263</v>
      </c>
      <c r="M57" s="24">
        <f t="shared" si="3"/>
        <v>9236.56</v>
      </c>
      <c r="N57" s="23">
        <v>175</v>
      </c>
      <c r="O57" s="23">
        <f t="shared" si="4"/>
        <v>6693.75</v>
      </c>
      <c r="P57" s="22">
        <v>732</v>
      </c>
      <c r="Q57" s="22">
        <f t="shared" si="5"/>
        <v>30744</v>
      </c>
      <c r="R57" s="25">
        <v>1064</v>
      </c>
      <c r="S57" s="25">
        <f t="shared" si="6"/>
        <v>41176.800000000003</v>
      </c>
      <c r="T57" s="25">
        <v>752</v>
      </c>
      <c r="U57" s="25">
        <f t="shared" si="7"/>
        <v>25342.400000000001</v>
      </c>
      <c r="V57" s="23">
        <v>883</v>
      </c>
      <c r="W57" s="23">
        <f t="shared" si="8"/>
        <v>28962.399999999998</v>
      </c>
      <c r="X57" s="23">
        <v>867</v>
      </c>
      <c r="Y57" s="23">
        <f t="shared" si="9"/>
        <v>30475.05</v>
      </c>
      <c r="Z57" s="23">
        <v>1011</v>
      </c>
      <c r="AA57" s="23">
        <f t="shared" si="10"/>
        <v>35041.259999999995</v>
      </c>
      <c r="AB57" s="23"/>
      <c r="AC57" s="23">
        <f t="shared" si="11"/>
        <v>0</v>
      </c>
      <c r="AD57" s="23">
        <v>1018</v>
      </c>
      <c r="AE57" s="23">
        <f t="shared" si="12"/>
        <v>35670.720000000001</v>
      </c>
      <c r="AF57" s="26">
        <v>1361</v>
      </c>
      <c r="AG57" s="26">
        <f t="shared" si="13"/>
        <v>46518.98</v>
      </c>
      <c r="AH57" s="23">
        <v>906</v>
      </c>
      <c r="AI57" s="23">
        <f t="shared" si="14"/>
        <v>30169.799999999996</v>
      </c>
      <c r="AJ57" s="23">
        <v>1178</v>
      </c>
      <c r="AK57" s="23">
        <f t="shared" si="15"/>
        <v>42349.100000000006</v>
      </c>
      <c r="AL57" s="26">
        <v>1373</v>
      </c>
      <c r="AM57" s="26">
        <f t="shared" si="16"/>
        <v>50347.91</v>
      </c>
      <c r="AN57" s="12">
        <f t="shared" si="17"/>
        <v>13307</v>
      </c>
      <c r="AO57" s="22">
        <f t="shared" si="18"/>
        <v>467288.19000000006</v>
      </c>
    </row>
    <row r="58" spans="1:41" x14ac:dyDescent="0.5">
      <c r="A58" s="19">
        <v>54</v>
      </c>
      <c r="B58" s="20" t="s">
        <v>126</v>
      </c>
      <c r="C58" s="21" t="s">
        <v>62</v>
      </c>
      <c r="D58" s="16">
        <v>950</v>
      </c>
      <c r="E58" s="16">
        <v>1</v>
      </c>
      <c r="F58" s="22">
        <v>300</v>
      </c>
      <c r="G58" s="22">
        <f t="shared" si="0"/>
        <v>9336</v>
      </c>
      <c r="H58" s="22"/>
      <c r="I58" s="23">
        <f t="shared" si="1"/>
        <v>0</v>
      </c>
      <c r="J58" s="22">
        <v>191</v>
      </c>
      <c r="K58" s="22">
        <f t="shared" si="2"/>
        <v>6304.91</v>
      </c>
      <c r="L58" s="22">
        <v>121</v>
      </c>
      <c r="M58" s="24">
        <f t="shared" si="3"/>
        <v>4249.5199999999995</v>
      </c>
      <c r="N58" s="23">
        <v>243</v>
      </c>
      <c r="O58" s="23">
        <f t="shared" si="4"/>
        <v>9294.75</v>
      </c>
      <c r="P58" s="22">
        <v>375</v>
      </c>
      <c r="Q58" s="22">
        <f t="shared" si="5"/>
        <v>15750</v>
      </c>
      <c r="R58" s="25">
        <v>243</v>
      </c>
      <c r="S58" s="25">
        <f t="shared" si="6"/>
        <v>9404.1</v>
      </c>
      <c r="T58" s="25">
        <v>259</v>
      </c>
      <c r="U58" s="25">
        <f t="shared" si="7"/>
        <v>8728.3000000000011</v>
      </c>
      <c r="V58" s="23">
        <v>248</v>
      </c>
      <c r="W58" s="23">
        <f t="shared" si="8"/>
        <v>8134.4</v>
      </c>
      <c r="X58" s="23">
        <v>363</v>
      </c>
      <c r="Y58" s="23">
        <f t="shared" si="9"/>
        <v>12759.449999999999</v>
      </c>
      <c r="Z58" s="23">
        <v>188</v>
      </c>
      <c r="AA58" s="23">
        <f t="shared" si="10"/>
        <v>6516.079999999999</v>
      </c>
      <c r="AB58" s="23"/>
      <c r="AC58" s="23">
        <f t="shared" si="11"/>
        <v>0</v>
      </c>
      <c r="AD58" s="23"/>
      <c r="AE58" s="23">
        <f t="shared" si="12"/>
        <v>0</v>
      </c>
      <c r="AF58" s="26"/>
      <c r="AG58" s="26">
        <f t="shared" si="13"/>
        <v>0</v>
      </c>
      <c r="AH58" s="23">
        <v>171</v>
      </c>
      <c r="AI58" s="23">
        <f t="shared" si="14"/>
        <v>5694.2999999999993</v>
      </c>
      <c r="AJ58" s="23">
        <v>242</v>
      </c>
      <c r="AK58" s="23">
        <f t="shared" si="15"/>
        <v>8699.9000000000015</v>
      </c>
      <c r="AL58" s="26">
        <v>994</v>
      </c>
      <c r="AM58" s="26">
        <f t="shared" si="16"/>
        <v>36449.980000000003</v>
      </c>
      <c r="AN58" s="12">
        <f t="shared" si="17"/>
        <v>3938</v>
      </c>
      <c r="AO58" s="22">
        <f t="shared" si="18"/>
        <v>141321.69</v>
      </c>
    </row>
    <row r="59" spans="1:41" x14ac:dyDescent="0.5">
      <c r="A59" s="19">
        <v>55</v>
      </c>
      <c r="B59" s="20" t="s">
        <v>127</v>
      </c>
      <c r="C59" s="21" t="s">
        <v>99</v>
      </c>
      <c r="D59" s="16">
        <v>952</v>
      </c>
      <c r="E59" s="16">
        <v>1</v>
      </c>
      <c r="F59" s="22">
        <v>1550</v>
      </c>
      <c r="G59" s="22">
        <f t="shared" si="0"/>
        <v>48236</v>
      </c>
      <c r="H59" s="22">
        <v>923</v>
      </c>
      <c r="I59" s="23">
        <f t="shared" si="1"/>
        <v>29914.429999999997</v>
      </c>
      <c r="J59" s="22">
        <v>197</v>
      </c>
      <c r="K59" s="22">
        <f t="shared" si="2"/>
        <v>6502.9699999999993</v>
      </c>
      <c r="L59" s="22">
        <v>631</v>
      </c>
      <c r="M59" s="24">
        <f t="shared" si="3"/>
        <v>22160.719999999998</v>
      </c>
      <c r="N59" s="23">
        <v>1377</v>
      </c>
      <c r="O59" s="23">
        <f t="shared" si="4"/>
        <v>52670.25</v>
      </c>
      <c r="P59" s="22">
        <v>1747</v>
      </c>
      <c r="Q59" s="22">
        <f t="shared" si="5"/>
        <v>73374</v>
      </c>
      <c r="R59" s="25">
        <v>1554</v>
      </c>
      <c r="S59" s="25">
        <f t="shared" si="6"/>
        <v>60139.8</v>
      </c>
      <c r="T59" s="25">
        <v>1686</v>
      </c>
      <c r="U59" s="25">
        <f t="shared" si="7"/>
        <v>56818.200000000004</v>
      </c>
      <c r="V59" s="23">
        <v>2401</v>
      </c>
      <c r="W59" s="23">
        <f t="shared" si="8"/>
        <v>78752.799999999988</v>
      </c>
      <c r="X59" s="23">
        <v>2534</v>
      </c>
      <c r="Y59" s="23">
        <f t="shared" si="9"/>
        <v>89070.099999999991</v>
      </c>
      <c r="Z59" s="23">
        <v>2150</v>
      </c>
      <c r="AA59" s="23">
        <f t="shared" si="10"/>
        <v>74518.999999999985</v>
      </c>
      <c r="AB59" s="23">
        <v>1506</v>
      </c>
      <c r="AC59" s="23">
        <f t="shared" si="11"/>
        <v>54291.299999999996</v>
      </c>
      <c r="AD59" s="23">
        <v>2557</v>
      </c>
      <c r="AE59" s="23">
        <f t="shared" si="12"/>
        <v>89597.28</v>
      </c>
      <c r="AF59" s="26">
        <v>2830</v>
      </c>
      <c r="AG59" s="26">
        <f t="shared" si="13"/>
        <v>96729.4</v>
      </c>
      <c r="AH59" s="23">
        <v>2473</v>
      </c>
      <c r="AI59" s="23">
        <f t="shared" si="14"/>
        <v>82350.899999999994</v>
      </c>
      <c r="AJ59" s="23">
        <v>2690</v>
      </c>
      <c r="AK59" s="23">
        <f t="shared" si="15"/>
        <v>96705.500000000015</v>
      </c>
      <c r="AL59" s="26">
        <v>2998</v>
      </c>
      <c r="AM59" s="26">
        <f t="shared" si="16"/>
        <v>109936.66</v>
      </c>
      <c r="AN59" s="12">
        <f t="shared" si="17"/>
        <v>31804</v>
      </c>
      <c r="AO59" s="22">
        <f t="shared" si="18"/>
        <v>1121769.31</v>
      </c>
    </row>
    <row r="60" spans="1:41" x14ac:dyDescent="0.5">
      <c r="A60" s="19">
        <v>56</v>
      </c>
      <c r="B60" s="20" t="s">
        <v>128</v>
      </c>
      <c r="C60" s="21" t="s">
        <v>47</v>
      </c>
      <c r="D60" s="16">
        <v>954</v>
      </c>
      <c r="E60" s="16">
        <v>1</v>
      </c>
      <c r="F60" s="22">
        <v>230</v>
      </c>
      <c r="G60" s="22">
        <f t="shared" si="0"/>
        <v>7157.6</v>
      </c>
      <c r="H60" s="22">
        <v>152</v>
      </c>
      <c r="I60" s="23">
        <f t="shared" si="1"/>
        <v>4926.32</v>
      </c>
      <c r="J60" s="22">
        <v>134</v>
      </c>
      <c r="K60" s="22">
        <f t="shared" si="2"/>
        <v>4423.34</v>
      </c>
      <c r="L60" s="22">
        <v>126</v>
      </c>
      <c r="M60" s="24">
        <f t="shared" si="3"/>
        <v>4425.12</v>
      </c>
      <c r="N60" s="23">
        <v>210</v>
      </c>
      <c r="O60" s="23">
        <f t="shared" si="4"/>
        <v>8032.5</v>
      </c>
      <c r="P60" s="22">
        <v>210</v>
      </c>
      <c r="Q60" s="22">
        <f t="shared" si="5"/>
        <v>8820</v>
      </c>
      <c r="R60" s="25">
        <v>165</v>
      </c>
      <c r="S60" s="25">
        <f t="shared" si="6"/>
        <v>6385.5000000000009</v>
      </c>
      <c r="T60" s="25">
        <v>308</v>
      </c>
      <c r="U60" s="25">
        <f t="shared" si="7"/>
        <v>10379.6</v>
      </c>
      <c r="V60" s="23">
        <v>248</v>
      </c>
      <c r="W60" s="23">
        <f t="shared" si="8"/>
        <v>8134.4</v>
      </c>
      <c r="X60" s="23">
        <v>275</v>
      </c>
      <c r="Y60" s="23">
        <f t="shared" si="9"/>
        <v>9666.25</v>
      </c>
      <c r="Z60" s="23"/>
      <c r="AA60" s="23">
        <f t="shared" si="10"/>
        <v>0</v>
      </c>
      <c r="AB60" s="23"/>
      <c r="AC60" s="23">
        <f t="shared" si="11"/>
        <v>0</v>
      </c>
      <c r="AD60" s="23">
        <v>306</v>
      </c>
      <c r="AE60" s="23">
        <f t="shared" si="12"/>
        <v>10722.24</v>
      </c>
      <c r="AF60" s="26">
        <v>379</v>
      </c>
      <c r="AG60" s="26">
        <f t="shared" si="13"/>
        <v>12954.22</v>
      </c>
      <c r="AH60" s="23">
        <v>262</v>
      </c>
      <c r="AI60" s="23">
        <f t="shared" si="14"/>
        <v>8724.5999999999985</v>
      </c>
      <c r="AJ60" s="23">
        <v>342</v>
      </c>
      <c r="AK60" s="23">
        <f t="shared" si="15"/>
        <v>12294.900000000001</v>
      </c>
      <c r="AL60" s="26">
        <v>314</v>
      </c>
      <c r="AM60" s="26">
        <f t="shared" si="16"/>
        <v>11514.380000000001</v>
      </c>
      <c r="AN60" s="12">
        <f t="shared" si="17"/>
        <v>3661</v>
      </c>
      <c r="AO60" s="22">
        <f t="shared" si="18"/>
        <v>128560.97</v>
      </c>
    </row>
    <row r="61" spans="1:41" x14ac:dyDescent="0.5">
      <c r="A61" s="19">
        <v>57</v>
      </c>
      <c r="B61" s="20" t="s">
        <v>129</v>
      </c>
      <c r="C61" s="21" t="s">
        <v>130</v>
      </c>
      <c r="D61" s="16">
        <v>956</v>
      </c>
      <c r="E61" s="16">
        <v>1</v>
      </c>
      <c r="F61" s="22">
        <v>414</v>
      </c>
      <c r="G61" s="22">
        <f t="shared" si="0"/>
        <v>12883.68</v>
      </c>
      <c r="H61" s="22">
        <v>107</v>
      </c>
      <c r="I61" s="23">
        <f t="shared" si="1"/>
        <v>3467.8699999999994</v>
      </c>
      <c r="J61" s="22">
        <v>373</v>
      </c>
      <c r="K61" s="22">
        <f t="shared" si="2"/>
        <v>12312.73</v>
      </c>
      <c r="L61" s="22">
        <v>316</v>
      </c>
      <c r="M61" s="24">
        <f t="shared" si="3"/>
        <v>11097.92</v>
      </c>
      <c r="N61" s="23">
        <v>581</v>
      </c>
      <c r="O61" s="23">
        <f t="shared" si="4"/>
        <v>22223.25</v>
      </c>
      <c r="P61" s="22">
        <v>791</v>
      </c>
      <c r="Q61" s="22">
        <f t="shared" si="5"/>
        <v>33222</v>
      </c>
      <c r="R61" s="25">
        <v>705</v>
      </c>
      <c r="S61" s="25">
        <f t="shared" si="6"/>
        <v>27283.500000000004</v>
      </c>
      <c r="T61" s="25">
        <v>798</v>
      </c>
      <c r="U61" s="25">
        <f t="shared" si="7"/>
        <v>26892.600000000002</v>
      </c>
      <c r="V61" s="23">
        <v>723</v>
      </c>
      <c r="W61" s="23">
        <f t="shared" si="8"/>
        <v>23714.399999999998</v>
      </c>
      <c r="X61" s="23">
        <v>843</v>
      </c>
      <c r="Y61" s="23">
        <f t="shared" si="9"/>
        <v>29631.449999999997</v>
      </c>
      <c r="Z61" s="23">
        <v>862</v>
      </c>
      <c r="AA61" s="23">
        <f t="shared" si="10"/>
        <v>29876.92</v>
      </c>
      <c r="AB61" s="23">
        <v>921</v>
      </c>
      <c r="AC61" s="23">
        <f t="shared" si="11"/>
        <v>33202.049999999996</v>
      </c>
      <c r="AD61" s="23">
        <v>922</v>
      </c>
      <c r="AE61" s="23">
        <f t="shared" si="12"/>
        <v>32306.880000000001</v>
      </c>
      <c r="AF61" s="26">
        <v>1231</v>
      </c>
      <c r="AG61" s="26">
        <f t="shared" si="13"/>
        <v>42075.58</v>
      </c>
      <c r="AH61" s="23">
        <v>1192</v>
      </c>
      <c r="AI61" s="23">
        <f t="shared" si="14"/>
        <v>39693.599999999999</v>
      </c>
      <c r="AJ61" s="23">
        <v>1351</v>
      </c>
      <c r="AK61" s="23">
        <f t="shared" si="15"/>
        <v>48568.450000000004</v>
      </c>
      <c r="AL61" s="26">
        <v>1420</v>
      </c>
      <c r="AM61" s="26">
        <f t="shared" si="16"/>
        <v>52071.4</v>
      </c>
      <c r="AN61" s="12">
        <f t="shared" si="17"/>
        <v>13550</v>
      </c>
      <c r="AO61" s="22">
        <f t="shared" si="18"/>
        <v>480524.27999999997</v>
      </c>
    </row>
    <row r="62" spans="1:41" x14ac:dyDescent="0.5">
      <c r="A62" s="19">
        <v>58</v>
      </c>
      <c r="B62" s="20" t="s">
        <v>131</v>
      </c>
      <c r="C62" s="21" t="s">
        <v>132</v>
      </c>
      <c r="D62" s="16">
        <v>961</v>
      </c>
      <c r="E62" s="16">
        <v>1</v>
      </c>
      <c r="F62" s="22"/>
      <c r="G62" s="22">
        <f t="shared" si="0"/>
        <v>0</v>
      </c>
      <c r="H62" s="22">
        <v>280</v>
      </c>
      <c r="I62" s="23">
        <f t="shared" si="1"/>
        <v>9074.7999999999993</v>
      </c>
      <c r="J62" s="22">
        <v>255</v>
      </c>
      <c r="K62" s="22">
        <f t="shared" si="2"/>
        <v>8417.5499999999993</v>
      </c>
      <c r="L62" s="22">
        <v>31</v>
      </c>
      <c r="M62" s="24">
        <f t="shared" si="3"/>
        <v>1088.72</v>
      </c>
      <c r="N62" s="23"/>
      <c r="O62" s="23">
        <f t="shared" si="4"/>
        <v>0</v>
      </c>
      <c r="P62" s="22"/>
      <c r="Q62" s="22">
        <f t="shared" si="5"/>
        <v>0</v>
      </c>
      <c r="R62" s="25"/>
      <c r="S62" s="25">
        <f t="shared" si="6"/>
        <v>0</v>
      </c>
      <c r="T62" s="25"/>
      <c r="U62" s="25">
        <f t="shared" si="7"/>
        <v>0</v>
      </c>
      <c r="V62" s="23"/>
      <c r="W62" s="23">
        <f t="shared" si="8"/>
        <v>0</v>
      </c>
      <c r="X62" s="23"/>
      <c r="Y62" s="23">
        <f t="shared" si="9"/>
        <v>0</v>
      </c>
      <c r="Z62" s="23">
        <v>326</v>
      </c>
      <c r="AA62" s="23">
        <f t="shared" si="10"/>
        <v>11299.159999999998</v>
      </c>
      <c r="AB62" s="23"/>
      <c r="AC62" s="23">
        <f t="shared" si="11"/>
        <v>0</v>
      </c>
      <c r="AD62" s="23">
        <v>368</v>
      </c>
      <c r="AE62" s="23">
        <f t="shared" si="12"/>
        <v>12894.72</v>
      </c>
      <c r="AF62" s="26"/>
      <c r="AG62" s="26">
        <f t="shared" si="13"/>
        <v>0</v>
      </c>
      <c r="AH62" s="23"/>
      <c r="AI62" s="23">
        <f t="shared" si="14"/>
        <v>0</v>
      </c>
      <c r="AJ62" s="23">
        <v>546</v>
      </c>
      <c r="AK62" s="23">
        <f t="shared" si="15"/>
        <v>19628.7</v>
      </c>
      <c r="AL62" s="26"/>
      <c r="AM62" s="26">
        <f t="shared" si="16"/>
        <v>0</v>
      </c>
      <c r="AN62" s="12">
        <f t="shared" si="17"/>
        <v>1806</v>
      </c>
      <c r="AO62" s="22">
        <f t="shared" si="18"/>
        <v>62403.649999999994</v>
      </c>
    </row>
    <row r="63" spans="1:41" x14ac:dyDescent="0.5">
      <c r="A63" s="19">
        <v>59</v>
      </c>
      <c r="B63" s="20" t="s">
        <v>133</v>
      </c>
      <c r="C63" s="21" t="s">
        <v>134</v>
      </c>
      <c r="D63" s="16">
        <v>967</v>
      </c>
      <c r="E63" s="16">
        <v>1</v>
      </c>
      <c r="F63" s="22">
        <v>519</v>
      </c>
      <c r="G63" s="22">
        <f t="shared" si="0"/>
        <v>16151.28</v>
      </c>
      <c r="H63" s="22"/>
      <c r="I63" s="23">
        <f t="shared" si="1"/>
        <v>0</v>
      </c>
      <c r="J63" s="22">
        <v>276</v>
      </c>
      <c r="K63" s="22">
        <f t="shared" si="2"/>
        <v>9110.76</v>
      </c>
      <c r="L63" s="22"/>
      <c r="M63" s="24">
        <f t="shared" si="3"/>
        <v>0</v>
      </c>
      <c r="N63" s="23"/>
      <c r="O63" s="23">
        <f t="shared" si="4"/>
        <v>0</v>
      </c>
      <c r="P63" s="22">
        <v>170</v>
      </c>
      <c r="Q63" s="22">
        <f t="shared" si="5"/>
        <v>7140</v>
      </c>
      <c r="R63" s="25">
        <v>607</v>
      </c>
      <c r="S63" s="25">
        <f t="shared" si="6"/>
        <v>23490.9</v>
      </c>
      <c r="T63" s="25">
        <v>589</v>
      </c>
      <c r="U63" s="25">
        <f t="shared" si="7"/>
        <v>19849.300000000003</v>
      </c>
      <c r="V63" s="23">
        <v>744</v>
      </c>
      <c r="W63" s="23">
        <f t="shared" si="8"/>
        <v>24403.199999999997</v>
      </c>
      <c r="X63" s="23">
        <v>589</v>
      </c>
      <c r="Y63" s="23">
        <f t="shared" si="9"/>
        <v>20703.349999999999</v>
      </c>
      <c r="Z63" s="23">
        <v>717</v>
      </c>
      <c r="AA63" s="23">
        <f t="shared" si="10"/>
        <v>24851.219999999998</v>
      </c>
      <c r="AB63" s="23">
        <v>489</v>
      </c>
      <c r="AC63" s="23">
        <f t="shared" si="11"/>
        <v>17628.449999999997</v>
      </c>
      <c r="AD63" s="23">
        <v>643</v>
      </c>
      <c r="AE63" s="23">
        <f t="shared" si="12"/>
        <v>22530.720000000001</v>
      </c>
      <c r="AF63" s="26">
        <v>931</v>
      </c>
      <c r="AG63" s="26">
        <f t="shared" si="13"/>
        <v>31821.579999999998</v>
      </c>
      <c r="AH63" s="23">
        <v>891</v>
      </c>
      <c r="AI63" s="23">
        <f t="shared" si="14"/>
        <v>29670.3</v>
      </c>
      <c r="AJ63" s="23">
        <v>837</v>
      </c>
      <c r="AK63" s="23">
        <f t="shared" si="15"/>
        <v>30090.15</v>
      </c>
      <c r="AL63" s="26">
        <v>998</v>
      </c>
      <c r="AM63" s="26">
        <f t="shared" si="16"/>
        <v>36596.660000000003</v>
      </c>
      <c r="AN63" s="12">
        <f t="shared" si="17"/>
        <v>9000</v>
      </c>
      <c r="AO63" s="22">
        <f t="shared" si="18"/>
        <v>314037.87</v>
      </c>
    </row>
    <row r="64" spans="1:41" x14ac:dyDescent="0.5">
      <c r="A64" s="19">
        <v>60</v>
      </c>
      <c r="B64" s="20" t="s">
        <v>135</v>
      </c>
      <c r="C64" s="21" t="s">
        <v>136</v>
      </c>
      <c r="D64" s="16">
        <v>970</v>
      </c>
      <c r="E64" s="16">
        <v>1</v>
      </c>
      <c r="F64" s="22">
        <v>677</v>
      </c>
      <c r="G64" s="22">
        <f t="shared" si="0"/>
        <v>21068.240000000002</v>
      </c>
      <c r="H64" s="22">
        <v>709</v>
      </c>
      <c r="I64" s="23">
        <f t="shared" si="1"/>
        <v>22978.69</v>
      </c>
      <c r="J64" s="22">
        <v>554</v>
      </c>
      <c r="K64" s="22">
        <f t="shared" si="2"/>
        <v>18287.539999999997</v>
      </c>
      <c r="L64" s="22">
        <v>330</v>
      </c>
      <c r="M64" s="24">
        <f t="shared" si="3"/>
        <v>11589.599999999999</v>
      </c>
      <c r="N64" s="23">
        <v>574</v>
      </c>
      <c r="O64" s="23">
        <f t="shared" si="4"/>
        <v>21955.5</v>
      </c>
      <c r="P64" s="22">
        <v>678</v>
      </c>
      <c r="Q64" s="22">
        <f t="shared" si="5"/>
        <v>28476</v>
      </c>
      <c r="R64" s="25">
        <v>624</v>
      </c>
      <c r="S64" s="25">
        <f t="shared" si="6"/>
        <v>24148.800000000003</v>
      </c>
      <c r="T64" s="25">
        <v>478</v>
      </c>
      <c r="U64" s="25">
        <f t="shared" si="7"/>
        <v>16108.600000000002</v>
      </c>
      <c r="V64" s="23">
        <v>568</v>
      </c>
      <c r="W64" s="23">
        <f t="shared" si="8"/>
        <v>18630.399999999998</v>
      </c>
      <c r="X64" s="23">
        <v>644</v>
      </c>
      <c r="Y64" s="23">
        <f t="shared" si="9"/>
        <v>22636.6</v>
      </c>
      <c r="Z64" s="23">
        <v>487</v>
      </c>
      <c r="AA64" s="23">
        <f t="shared" si="10"/>
        <v>16879.419999999998</v>
      </c>
      <c r="AB64" s="23"/>
      <c r="AC64" s="23">
        <f t="shared" si="11"/>
        <v>0</v>
      </c>
      <c r="AD64" s="23">
        <v>630</v>
      </c>
      <c r="AE64" s="23">
        <f t="shared" si="12"/>
        <v>22075.200000000001</v>
      </c>
      <c r="AF64" s="26">
        <v>613</v>
      </c>
      <c r="AG64" s="26">
        <f t="shared" si="13"/>
        <v>20952.34</v>
      </c>
      <c r="AH64" s="23">
        <v>641</v>
      </c>
      <c r="AI64" s="23">
        <f t="shared" si="14"/>
        <v>21345.3</v>
      </c>
      <c r="AJ64" s="23">
        <v>599</v>
      </c>
      <c r="AK64" s="23">
        <f t="shared" si="15"/>
        <v>21534.050000000003</v>
      </c>
      <c r="AL64" s="26">
        <v>958</v>
      </c>
      <c r="AM64" s="26">
        <f t="shared" si="16"/>
        <v>35129.86</v>
      </c>
      <c r="AN64" s="12">
        <f t="shared" si="17"/>
        <v>9764</v>
      </c>
      <c r="AO64" s="22">
        <f t="shared" si="18"/>
        <v>343796.14</v>
      </c>
    </row>
    <row r="65" spans="1:41" x14ac:dyDescent="0.5">
      <c r="A65" s="19">
        <v>61</v>
      </c>
      <c r="B65" s="20" t="s">
        <v>137</v>
      </c>
      <c r="C65" s="21" t="s">
        <v>47</v>
      </c>
      <c r="D65" s="16">
        <v>990</v>
      </c>
      <c r="E65" s="16">
        <v>1</v>
      </c>
      <c r="F65" s="22">
        <v>212</v>
      </c>
      <c r="G65" s="22">
        <f t="shared" si="0"/>
        <v>6597.4400000000005</v>
      </c>
      <c r="H65" s="22"/>
      <c r="I65" s="23">
        <f t="shared" si="1"/>
        <v>0</v>
      </c>
      <c r="J65" s="22">
        <v>131</v>
      </c>
      <c r="K65" s="22">
        <f t="shared" si="2"/>
        <v>4324.3099999999995</v>
      </c>
      <c r="L65" s="22">
        <v>151</v>
      </c>
      <c r="M65" s="24">
        <f t="shared" si="3"/>
        <v>5303.12</v>
      </c>
      <c r="N65" s="23"/>
      <c r="O65" s="23">
        <f t="shared" si="4"/>
        <v>0</v>
      </c>
      <c r="P65" s="22">
        <v>212</v>
      </c>
      <c r="Q65" s="22">
        <f t="shared" si="5"/>
        <v>8904</v>
      </c>
      <c r="R65" s="25">
        <v>229</v>
      </c>
      <c r="S65" s="25">
        <f t="shared" si="6"/>
        <v>8862.3000000000011</v>
      </c>
      <c r="T65" s="25">
        <v>197</v>
      </c>
      <c r="U65" s="25">
        <f t="shared" si="7"/>
        <v>6638.9000000000005</v>
      </c>
      <c r="V65" s="23">
        <v>194</v>
      </c>
      <c r="W65" s="23">
        <f t="shared" si="8"/>
        <v>6363.2</v>
      </c>
      <c r="X65" s="23">
        <v>198</v>
      </c>
      <c r="Y65" s="23">
        <f t="shared" si="9"/>
        <v>6959.7</v>
      </c>
      <c r="Z65" s="23">
        <v>139</v>
      </c>
      <c r="AA65" s="23">
        <f t="shared" si="10"/>
        <v>4817.74</v>
      </c>
      <c r="AB65" s="23"/>
      <c r="AC65" s="23">
        <f t="shared" si="11"/>
        <v>0</v>
      </c>
      <c r="AD65" s="23">
        <v>215</v>
      </c>
      <c r="AE65" s="23">
        <f t="shared" si="12"/>
        <v>7533.5999999999995</v>
      </c>
      <c r="AF65" s="26">
        <v>246</v>
      </c>
      <c r="AG65" s="26">
        <f t="shared" si="13"/>
        <v>8408.2800000000007</v>
      </c>
      <c r="AH65" s="23">
        <v>210</v>
      </c>
      <c r="AI65" s="23">
        <f t="shared" si="14"/>
        <v>6992.9999999999991</v>
      </c>
      <c r="AJ65" s="23">
        <v>237</v>
      </c>
      <c r="AK65" s="23">
        <f t="shared" si="15"/>
        <v>8520.1500000000015</v>
      </c>
      <c r="AL65" s="26">
        <v>274</v>
      </c>
      <c r="AM65" s="26">
        <f t="shared" si="16"/>
        <v>10047.58</v>
      </c>
      <c r="AN65" s="12">
        <f t="shared" si="17"/>
        <v>2845</v>
      </c>
      <c r="AO65" s="22">
        <f t="shared" si="18"/>
        <v>100273.31999999999</v>
      </c>
    </row>
    <row r="66" spans="1:41" x14ac:dyDescent="0.5">
      <c r="A66" s="19">
        <v>62</v>
      </c>
      <c r="B66" s="20" t="s">
        <v>138</v>
      </c>
      <c r="C66" s="21" t="s">
        <v>47</v>
      </c>
      <c r="D66" s="16">
        <v>1015</v>
      </c>
      <c r="E66" s="16">
        <v>1</v>
      </c>
      <c r="F66" s="22">
        <v>694</v>
      </c>
      <c r="G66" s="22">
        <f t="shared" si="0"/>
        <v>21597.280000000002</v>
      </c>
      <c r="H66" s="22">
        <v>410</v>
      </c>
      <c r="I66" s="23">
        <f t="shared" si="1"/>
        <v>13288.099999999999</v>
      </c>
      <c r="J66" s="22">
        <v>430</v>
      </c>
      <c r="K66" s="22">
        <f t="shared" si="2"/>
        <v>14194.3</v>
      </c>
      <c r="L66" s="22">
        <v>541</v>
      </c>
      <c r="M66" s="24">
        <f t="shared" si="3"/>
        <v>18999.919999999998</v>
      </c>
      <c r="N66" s="23">
        <v>528</v>
      </c>
      <c r="O66" s="23">
        <f t="shared" si="4"/>
        <v>20196</v>
      </c>
      <c r="P66" s="22">
        <v>644</v>
      </c>
      <c r="Q66" s="22">
        <f t="shared" si="5"/>
        <v>27048</v>
      </c>
      <c r="R66" s="25">
        <v>704</v>
      </c>
      <c r="S66" s="25">
        <f t="shared" si="6"/>
        <v>27244.800000000003</v>
      </c>
      <c r="T66" s="25">
        <v>732</v>
      </c>
      <c r="U66" s="25">
        <f t="shared" si="7"/>
        <v>24668.400000000001</v>
      </c>
      <c r="V66" s="23">
        <v>1024</v>
      </c>
      <c r="W66" s="23">
        <f t="shared" si="8"/>
        <v>33587.199999999997</v>
      </c>
      <c r="X66" s="23">
        <v>768</v>
      </c>
      <c r="Y66" s="23">
        <f t="shared" si="9"/>
        <v>26995.199999999997</v>
      </c>
      <c r="Z66" s="23">
        <v>658</v>
      </c>
      <c r="AA66" s="23">
        <f t="shared" si="10"/>
        <v>22806.28</v>
      </c>
      <c r="AB66" s="23">
        <v>386</v>
      </c>
      <c r="AC66" s="23">
        <f t="shared" si="11"/>
        <v>13915.3</v>
      </c>
      <c r="AD66" s="23">
        <v>698</v>
      </c>
      <c r="AE66" s="23">
        <f t="shared" si="12"/>
        <v>24457.919999999998</v>
      </c>
      <c r="AF66" s="26">
        <v>761</v>
      </c>
      <c r="AG66" s="26">
        <f t="shared" si="13"/>
        <v>26010.98</v>
      </c>
      <c r="AH66" s="23">
        <v>608</v>
      </c>
      <c r="AI66" s="23">
        <f t="shared" si="14"/>
        <v>20246.399999999998</v>
      </c>
      <c r="AJ66" s="23">
        <v>888</v>
      </c>
      <c r="AK66" s="23">
        <f t="shared" si="15"/>
        <v>31923.600000000002</v>
      </c>
      <c r="AL66" s="26">
        <v>944</v>
      </c>
      <c r="AM66" s="26">
        <f t="shared" si="16"/>
        <v>34616.480000000003</v>
      </c>
      <c r="AN66" s="12">
        <f t="shared" si="17"/>
        <v>11418</v>
      </c>
      <c r="AO66" s="22">
        <f t="shared" si="18"/>
        <v>401796.16</v>
      </c>
    </row>
    <row r="67" spans="1:41" x14ac:dyDescent="0.5">
      <c r="A67" s="19">
        <v>63</v>
      </c>
      <c r="B67" s="20" t="s">
        <v>139</v>
      </c>
      <c r="C67" s="21" t="s">
        <v>140</v>
      </c>
      <c r="D67" s="16">
        <v>1030</v>
      </c>
      <c r="E67" s="16">
        <v>1</v>
      </c>
      <c r="F67" s="22"/>
      <c r="G67" s="22">
        <f t="shared" si="0"/>
        <v>0</v>
      </c>
      <c r="H67" s="22"/>
      <c r="I67" s="23">
        <f t="shared" si="1"/>
        <v>0</v>
      </c>
      <c r="J67" s="22"/>
      <c r="K67" s="22">
        <f t="shared" si="2"/>
        <v>0</v>
      </c>
      <c r="L67" s="22"/>
      <c r="M67" s="24">
        <f t="shared" si="3"/>
        <v>0</v>
      </c>
      <c r="N67" s="23">
        <v>164</v>
      </c>
      <c r="O67" s="23">
        <f t="shared" si="4"/>
        <v>6273</v>
      </c>
      <c r="P67" s="22">
        <v>154</v>
      </c>
      <c r="Q67" s="22">
        <f t="shared" si="5"/>
        <v>6468</v>
      </c>
      <c r="R67" s="25">
        <v>219</v>
      </c>
      <c r="S67" s="25">
        <f t="shared" si="6"/>
        <v>8475.3000000000011</v>
      </c>
      <c r="T67" s="25">
        <v>160</v>
      </c>
      <c r="U67" s="25">
        <f t="shared" si="7"/>
        <v>5392</v>
      </c>
      <c r="V67" s="23"/>
      <c r="W67" s="23">
        <f t="shared" si="8"/>
        <v>0</v>
      </c>
      <c r="X67" s="23"/>
      <c r="Y67" s="23">
        <f t="shared" si="9"/>
        <v>0</v>
      </c>
      <c r="Z67" s="23"/>
      <c r="AA67" s="23">
        <f t="shared" si="10"/>
        <v>0</v>
      </c>
      <c r="AB67" s="23"/>
      <c r="AC67" s="23">
        <f t="shared" si="11"/>
        <v>0</v>
      </c>
      <c r="AD67" s="23"/>
      <c r="AE67" s="23">
        <f t="shared" si="12"/>
        <v>0</v>
      </c>
      <c r="AF67" s="26"/>
      <c r="AG67" s="26">
        <f t="shared" si="13"/>
        <v>0</v>
      </c>
      <c r="AH67" s="23"/>
      <c r="AI67" s="23">
        <f t="shared" si="14"/>
        <v>0</v>
      </c>
      <c r="AJ67" s="23"/>
      <c r="AK67" s="23">
        <f t="shared" si="15"/>
        <v>0</v>
      </c>
      <c r="AL67" s="26"/>
      <c r="AM67" s="26">
        <f t="shared" si="16"/>
        <v>0</v>
      </c>
      <c r="AN67" s="12">
        <f t="shared" si="17"/>
        <v>697</v>
      </c>
      <c r="AO67" s="22">
        <f t="shared" si="18"/>
        <v>26608.300000000003</v>
      </c>
    </row>
    <row r="68" spans="1:41" x14ac:dyDescent="0.5">
      <c r="A68" s="19">
        <v>64</v>
      </c>
      <c r="B68" s="20" t="s">
        <v>141</v>
      </c>
      <c r="C68" s="21" t="s">
        <v>142</v>
      </c>
      <c r="D68" s="16">
        <v>1051</v>
      </c>
      <c r="E68" s="16">
        <v>1</v>
      </c>
      <c r="F68" s="22"/>
      <c r="G68" s="22">
        <f t="shared" si="0"/>
        <v>0</v>
      </c>
      <c r="H68" s="22"/>
      <c r="I68" s="23">
        <f t="shared" si="1"/>
        <v>0</v>
      </c>
      <c r="J68" s="22"/>
      <c r="K68" s="22">
        <f t="shared" si="2"/>
        <v>0</v>
      </c>
      <c r="L68" s="22"/>
      <c r="M68" s="24">
        <f t="shared" si="3"/>
        <v>0</v>
      </c>
      <c r="N68" s="23"/>
      <c r="O68" s="23">
        <f t="shared" si="4"/>
        <v>0</v>
      </c>
      <c r="P68" s="22"/>
      <c r="Q68" s="22">
        <f t="shared" si="5"/>
        <v>0</v>
      </c>
      <c r="R68" s="25"/>
      <c r="S68" s="25">
        <f t="shared" si="6"/>
        <v>0</v>
      </c>
      <c r="T68" s="25"/>
      <c r="U68" s="25">
        <f t="shared" si="7"/>
        <v>0</v>
      </c>
      <c r="V68" s="23"/>
      <c r="W68" s="23">
        <f t="shared" si="8"/>
        <v>0</v>
      </c>
      <c r="X68" s="23"/>
      <c r="Y68" s="23">
        <f t="shared" si="9"/>
        <v>0</v>
      </c>
      <c r="Z68" s="23"/>
      <c r="AA68" s="23">
        <f t="shared" si="10"/>
        <v>0</v>
      </c>
      <c r="AB68" s="23"/>
      <c r="AC68" s="23">
        <f t="shared" si="11"/>
        <v>0</v>
      </c>
      <c r="AD68" s="23"/>
      <c r="AE68" s="23">
        <f t="shared" si="12"/>
        <v>0</v>
      </c>
      <c r="AF68" s="26"/>
      <c r="AG68" s="26">
        <f t="shared" si="13"/>
        <v>0</v>
      </c>
      <c r="AH68" s="23"/>
      <c r="AI68" s="23">
        <f t="shared" si="14"/>
        <v>0</v>
      </c>
      <c r="AJ68" s="23"/>
      <c r="AK68" s="23">
        <f t="shared" si="15"/>
        <v>0</v>
      </c>
      <c r="AL68" s="26"/>
      <c r="AM68" s="26">
        <f t="shared" si="16"/>
        <v>0</v>
      </c>
      <c r="AN68" s="12">
        <f t="shared" si="17"/>
        <v>0</v>
      </c>
      <c r="AO68" s="22">
        <f t="shared" si="18"/>
        <v>0</v>
      </c>
    </row>
    <row r="69" spans="1:41" x14ac:dyDescent="0.5">
      <c r="A69" s="19">
        <v>65</v>
      </c>
      <c r="B69" s="20" t="s">
        <v>143</v>
      </c>
      <c r="C69" s="21" t="s">
        <v>144</v>
      </c>
      <c r="D69" s="16">
        <v>1052</v>
      </c>
      <c r="E69" s="16">
        <v>1</v>
      </c>
      <c r="F69" s="22">
        <v>2965</v>
      </c>
      <c r="G69" s="22">
        <f t="shared" si="0"/>
        <v>92270.8</v>
      </c>
      <c r="H69" s="22">
        <v>2185</v>
      </c>
      <c r="I69" s="23">
        <f t="shared" si="1"/>
        <v>70815.849999999991</v>
      </c>
      <c r="J69" s="22">
        <v>1820</v>
      </c>
      <c r="K69" s="22">
        <f t="shared" si="2"/>
        <v>60078.2</v>
      </c>
      <c r="L69" s="22">
        <v>1915</v>
      </c>
      <c r="M69" s="24">
        <f t="shared" si="3"/>
        <v>67254.799999999988</v>
      </c>
      <c r="N69" s="23">
        <v>2125</v>
      </c>
      <c r="O69" s="23">
        <f t="shared" si="4"/>
        <v>81281.25</v>
      </c>
      <c r="P69" s="22">
        <v>3404</v>
      </c>
      <c r="Q69" s="22">
        <f t="shared" si="5"/>
        <v>142968</v>
      </c>
      <c r="R69" s="25">
        <v>3500</v>
      </c>
      <c r="S69" s="25">
        <f t="shared" si="6"/>
        <v>135450</v>
      </c>
      <c r="T69" s="25">
        <v>3670</v>
      </c>
      <c r="U69" s="25">
        <f t="shared" si="7"/>
        <v>123679.00000000001</v>
      </c>
      <c r="V69" s="23">
        <v>4094</v>
      </c>
      <c r="W69" s="23">
        <f t="shared" si="8"/>
        <v>134283.19999999998</v>
      </c>
      <c r="X69" s="23">
        <v>4496</v>
      </c>
      <c r="Y69" s="23">
        <f t="shared" si="9"/>
        <v>158034.4</v>
      </c>
      <c r="Z69" s="23">
        <v>3117</v>
      </c>
      <c r="AA69" s="23">
        <f t="shared" si="10"/>
        <v>108035.21999999999</v>
      </c>
      <c r="AB69" s="23">
        <v>2376</v>
      </c>
      <c r="AC69" s="23">
        <f t="shared" si="11"/>
        <v>85654.799999999988</v>
      </c>
      <c r="AD69" s="23">
        <v>4273</v>
      </c>
      <c r="AE69" s="23">
        <f t="shared" si="12"/>
        <v>149725.91999999998</v>
      </c>
      <c r="AF69" s="26">
        <v>3896</v>
      </c>
      <c r="AG69" s="26">
        <f t="shared" si="13"/>
        <v>133165.28</v>
      </c>
      <c r="AH69" s="23">
        <v>3586</v>
      </c>
      <c r="AI69" s="23">
        <f t="shared" si="14"/>
        <v>119413.79999999999</v>
      </c>
      <c r="AJ69" s="23">
        <v>3827</v>
      </c>
      <c r="AK69" s="23">
        <f t="shared" si="15"/>
        <v>137580.65000000002</v>
      </c>
      <c r="AL69" s="26">
        <v>3302</v>
      </c>
      <c r="AM69" s="26">
        <f t="shared" si="16"/>
        <v>121084.34000000001</v>
      </c>
      <c r="AN69" s="12">
        <f t="shared" si="17"/>
        <v>54551</v>
      </c>
      <c r="AO69" s="22">
        <f t="shared" si="18"/>
        <v>1920775.51</v>
      </c>
    </row>
    <row r="70" spans="1:41" x14ac:dyDescent="0.5">
      <c r="A70" s="19">
        <v>66</v>
      </c>
      <c r="B70" s="20" t="s">
        <v>145</v>
      </c>
      <c r="C70" s="21" t="s">
        <v>146</v>
      </c>
      <c r="D70" s="16">
        <v>1062</v>
      </c>
      <c r="E70" s="16">
        <v>1</v>
      </c>
      <c r="F70" s="22"/>
      <c r="G70" s="22">
        <f t="shared" ref="G70:G133" si="19">F70*31.12</f>
        <v>0</v>
      </c>
      <c r="H70" s="22"/>
      <c r="I70" s="23">
        <f t="shared" ref="I70:I133" si="20">H70*32.41</f>
        <v>0</v>
      </c>
      <c r="J70" s="22"/>
      <c r="K70" s="22">
        <f t="shared" ref="K70:K133" si="21">J70*33.01</f>
        <v>0</v>
      </c>
      <c r="L70" s="22"/>
      <c r="M70" s="24">
        <f t="shared" ref="M70:M133" si="22">L70*35.12</f>
        <v>0</v>
      </c>
      <c r="N70" s="23">
        <v>234</v>
      </c>
      <c r="O70" s="23">
        <f t="shared" ref="O70:O133" si="23">N70*38.25</f>
        <v>8950.5</v>
      </c>
      <c r="P70" s="22">
        <v>235</v>
      </c>
      <c r="Q70" s="22">
        <f t="shared" ref="Q70:Q133" si="24">P70*42</f>
        <v>9870</v>
      </c>
      <c r="R70" s="25">
        <v>152</v>
      </c>
      <c r="S70" s="25">
        <f t="shared" ref="S70:S133" si="25">R70*38.7</f>
        <v>5882.4000000000005</v>
      </c>
      <c r="T70" s="25">
        <v>200</v>
      </c>
      <c r="U70" s="25">
        <f t="shared" ref="U70:U133" si="26">T70*33.7</f>
        <v>6740.0000000000009</v>
      </c>
      <c r="V70" s="23">
        <v>171</v>
      </c>
      <c r="W70" s="23">
        <f t="shared" ref="W70:W133" si="27">V70*32.8</f>
        <v>5608.7999999999993</v>
      </c>
      <c r="X70" s="23">
        <v>208</v>
      </c>
      <c r="Y70" s="23">
        <f t="shared" ref="Y70:Y133" si="28">X70*35.15</f>
        <v>7311.2</v>
      </c>
      <c r="Z70" s="23">
        <v>163</v>
      </c>
      <c r="AA70" s="23">
        <f t="shared" ref="AA70:AA133" si="29">Z70*34.66</f>
        <v>5649.579999999999</v>
      </c>
      <c r="AB70" s="23">
        <v>188</v>
      </c>
      <c r="AC70" s="23">
        <f t="shared" ref="AC70:AC133" si="30">AB70*36.05</f>
        <v>6777.4</v>
      </c>
      <c r="AD70" s="23">
        <v>230</v>
      </c>
      <c r="AE70" s="23">
        <f t="shared" ref="AE70:AE133" si="31">AD70*35.04</f>
        <v>8059.2</v>
      </c>
      <c r="AF70" s="26">
        <v>296</v>
      </c>
      <c r="AG70" s="26">
        <f t="shared" ref="AG70:AG133" si="32">AF70*34.18</f>
        <v>10117.280000000001</v>
      </c>
      <c r="AH70" s="23">
        <v>217</v>
      </c>
      <c r="AI70" s="23">
        <f t="shared" ref="AI70:AI133" si="33">AH70*33.3</f>
        <v>7226.0999999999995</v>
      </c>
      <c r="AJ70" s="23">
        <v>245</v>
      </c>
      <c r="AK70" s="23">
        <f t="shared" ref="AK70:AK133" si="34">AJ70*35.95</f>
        <v>8807.75</v>
      </c>
      <c r="AL70" s="26"/>
      <c r="AM70" s="26">
        <f t="shared" ref="AM70:AM133" si="35">AL70*36.67</f>
        <v>0</v>
      </c>
      <c r="AN70" s="12">
        <f t="shared" ref="AN70:AN133" si="36">F70+H70+J70+L70+N70+P70+R70+T70+V70+X70+Z70+AB70+AD70+AF70+AH70+AJ70+AL70</f>
        <v>2539</v>
      </c>
      <c r="AO70" s="22">
        <f t="shared" ref="AO70:AO133" si="37">G70+I70+K70+M70+O70+Q70+S70+U70+W70+Y70+AA70+AC70+AE70+AG70+AI70+AK70+AM70</f>
        <v>91000.21</v>
      </c>
    </row>
    <row r="71" spans="1:41" x14ac:dyDescent="0.5">
      <c r="A71" s="19">
        <v>67</v>
      </c>
      <c r="B71" s="20" t="s">
        <v>147</v>
      </c>
      <c r="C71" s="21" t="s">
        <v>55</v>
      </c>
      <c r="D71" s="16">
        <v>1084</v>
      </c>
      <c r="E71" s="16">
        <v>1</v>
      </c>
      <c r="F71" s="22">
        <v>554</v>
      </c>
      <c r="G71" s="22">
        <f t="shared" si="19"/>
        <v>17240.48</v>
      </c>
      <c r="H71" s="22">
        <v>275</v>
      </c>
      <c r="I71" s="23">
        <f t="shared" si="20"/>
        <v>8912.7499999999982</v>
      </c>
      <c r="J71" s="22">
        <v>402</v>
      </c>
      <c r="K71" s="22">
        <f t="shared" si="21"/>
        <v>13270.019999999999</v>
      </c>
      <c r="L71" s="22">
        <v>321</v>
      </c>
      <c r="M71" s="24">
        <f t="shared" si="22"/>
        <v>11273.519999999999</v>
      </c>
      <c r="N71" s="23">
        <v>435</v>
      </c>
      <c r="O71" s="23">
        <f t="shared" si="23"/>
        <v>16638.75</v>
      </c>
      <c r="P71" s="22"/>
      <c r="Q71" s="22">
        <f t="shared" si="24"/>
        <v>0</v>
      </c>
      <c r="R71" s="25">
        <v>439</v>
      </c>
      <c r="S71" s="25">
        <f t="shared" si="25"/>
        <v>16989.300000000003</v>
      </c>
      <c r="T71" s="25"/>
      <c r="U71" s="25">
        <f t="shared" si="26"/>
        <v>0</v>
      </c>
      <c r="V71" s="23">
        <v>978</v>
      </c>
      <c r="W71" s="23">
        <f t="shared" si="27"/>
        <v>32078.399999999998</v>
      </c>
      <c r="X71" s="23">
        <v>767</v>
      </c>
      <c r="Y71" s="23">
        <f t="shared" si="28"/>
        <v>26960.05</v>
      </c>
      <c r="Z71" s="23">
        <v>639</v>
      </c>
      <c r="AA71" s="23">
        <f t="shared" si="29"/>
        <v>22147.739999999998</v>
      </c>
      <c r="AB71" s="23">
        <v>622</v>
      </c>
      <c r="AC71" s="23">
        <f t="shared" si="30"/>
        <v>22423.1</v>
      </c>
      <c r="AD71" s="23">
        <v>714</v>
      </c>
      <c r="AE71" s="23">
        <f t="shared" si="31"/>
        <v>25018.559999999998</v>
      </c>
      <c r="AF71" s="26">
        <v>595</v>
      </c>
      <c r="AG71" s="26">
        <f t="shared" si="32"/>
        <v>20337.099999999999</v>
      </c>
      <c r="AH71" s="23">
        <v>623</v>
      </c>
      <c r="AI71" s="23">
        <f t="shared" si="33"/>
        <v>20745.899999999998</v>
      </c>
      <c r="AJ71" s="23">
        <v>686</v>
      </c>
      <c r="AK71" s="23">
        <f t="shared" si="34"/>
        <v>24661.7</v>
      </c>
      <c r="AL71" s="26">
        <v>683</v>
      </c>
      <c r="AM71" s="26">
        <f t="shared" si="35"/>
        <v>25045.61</v>
      </c>
      <c r="AN71" s="12">
        <f t="shared" si="36"/>
        <v>8733</v>
      </c>
      <c r="AO71" s="22">
        <f t="shared" si="37"/>
        <v>303742.98</v>
      </c>
    </row>
    <row r="72" spans="1:41" x14ac:dyDescent="0.5">
      <c r="A72" s="19">
        <v>68</v>
      </c>
      <c r="B72" s="20" t="s">
        <v>148</v>
      </c>
      <c r="C72" s="21" t="s">
        <v>47</v>
      </c>
      <c r="D72" s="16">
        <v>1085</v>
      </c>
      <c r="E72" s="16">
        <v>1</v>
      </c>
      <c r="F72" s="22">
        <v>288</v>
      </c>
      <c r="G72" s="22">
        <f t="shared" si="19"/>
        <v>8962.56</v>
      </c>
      <c r="H72" s="22">
        <v>198</v>
      </c>
      <c r="I72" s="23">
        <f t="shared" si="20"/>
        <v>6417.1799999999994</v>
      </c>
      <c r="J72" s="22">
        <v>48</v>
      </c>
      <c r="K72" s="22">
        <f t="shared" si="21"/>
        <v>1584.48</v>
      </c>
      <c r="L72" s="22">
        <v>198</v>
      </c>
      <c r="M72" s="24">
        <f t="shared" si="22"/>
        <v>6953.7599999999993</v>
      </c>
      <c r="N72" s="23">
        <v>191</v>
      </c>
      <c r="O72" s="23">
        <f t="shared" si="23"/>
        <v>7305.75</v>
      </c>
      <c r="P72" s="22">
        <v>224</v>
      </c>
      <c r="Q72" s="22">
        <f t="shared" si="24"/>
        <v>9408</v>
      </c>
      <c r="R72" s="25">
        <v>325</v>
      </c>
      <c r="S72" s="25">
        <f t="shared" si="25"/>
        <v>12577.500000000002</v>
      </c>
      <c r="T72" s="25">
        <v>325</v>
      </c>
      <c r="U72" s="25">
        <f t="shared" si="26"/>
        <v>10952.500000000002</v>
      </c>
      <c r="V72" s="23">
        <v>478</v>
      </c>
      <c r="W72" s="23">
        <f t="shared" si="27"/>
        <v>15678.399999999998</v>
      </c>
      <c r="X72" s="23">
        <v>422</v>
      </c>
      <c r="Y72" s="23">
        <f t="shared" si="28"/>
        <v>14833.3</v>
      </c>
      <c r="Z72" s="23">
        <v>372</v>
      </c>
      <c r="AA72" s="23">
        <f t="shared" si="29"/>
        <v>12893.519999999999</v>
      </c>
      <c r="AB72" s="23">
        <v>318</v>
      </c>
      <c r="AC72" s="23">
        <f t="shared" si="30"/>
        <v>11463.9</v>
      </c>
      <c r="AD72" s="23">
        <v>457</v>
      </c>
      <c r="AE72" s="23">
        <f t="shared" si="31"/>
        <v>16013.279999999999</v>
      </c>
      <c r="AF72" s="26">
        <v>403</v>
      </c>
      <c r="AG72" s="26">
        <f t="shared" si="32"/>
        <v>13774.539999999999</v>
      </c>
      <c r="AH72" s="23">
        <v>413</v>
      </c>
      <c r="AI72" s="23">
        <f t="shared" si="33"/>
        <v>13752.9</v>
      </c>
      <c r="AJ72" s="23">
        <v>529</v>
      </c>
      <c r="AK72" s="23">
        <f t="shared" si="34"/>
        <v>19017.550000000003</v>
      </c>
      <c r="AL72" s="26">
        <v>589</v>
      </c>
      <c r="AM72" s="26">
        <f t="shared" si="35"/>
        <v>21598.63</v>
      </c>
      <c r="AN72" s="12">
        <f t="shared" si="36"/>
        <v>5778</v>
      </c>
      <c r="AO72" s="22">
        <f t="shared" si="37"/>
        <v>203187.75</v>
      </c>
    </row>
    <row r="73" spans="1:41" x14ac:dyDescent="0.5">
      <c r="A73" s="19">
        <v>69</v>
      </c>
      <c r="B73" s="20" t="s">
        <v>149</v>
      </c>
      <c r="C73" s="21" t="s">
        <v>66</v>
      </c>
      <c r="D73" s="16">
        <v>1087</v>
      </c>
      <c r="E73" s="16">
        <v>1</v>
      </c>
      <c r="F73" s="22"/>
      <c r="G73" s="22">
        <f t="shared" si="19"/>
        <v>0</v>
      </c>
      <c r="H73" s="22"/>
      <c r="I73" s="23">
        <f t="shared" si="20"/>
        <v>0</v>
      </c>
      <c r="J73" s="22"/>
      <c r="K73" s="22">
        <f t="shared" si="21"/>
        <v>0</v>
      </c>
      <c r="L73" s="22"/>
      <c r="M73" s="24">
        <f t="shared" si="22"/>
        <v>0</v>
      </c>
      <c r="N73" s="23"/>
      <c r="O73" s="23">
        <f t="shared" si="23"/>
        <v>0</v>
      </c>
      <c r="P73" s="22"/>
      <c r="Q73" s="22">
        <f t="shared" si="24"/>
        <v>0</v>
      </c>
      <c r="R73" s="25"/>
      <c r="S73" s="25">
        <f t="shared" si="25"/>
        <v>0</v>
      </c>
      <c r="T73" s="25"/>
      <c r="U73" s="25">
        <f t="shared" si="26"/>
        <v>0</v>
      </c>
      <c r="V73" s="23"/>
      <c r="W73" s="23">
        <f t="shared" si="27"/>
        <v>0</v>
      </c>
      <c r="X73" s="23"/>
      <c r="Y73" s="23">
        <f t="shared" si="28"/>
        <v>0</v>
      </c>
      <c r="Z73" s="23"/>
      <c r="AA73" s="23">
        <f t="shared" si="29"/>
        <v>0</v>
      </c>
      <c r="AB73" s="23"/>
      <c r="AC73" s="23">
        <f t="shared" si="30"/>
        <v>0</v>
      </c>
      <c r="AD73" s="23"/>
      <c r="AE73" s="23">
        <f t="shared" si="31"/>
        <v>0</v>
      </c>
      <c r="AF73" s="26"/>
      <c r="AG73" s="26">
        <f t="shared" si="32"/>
        <v>0</v>
      </c>
      <c r="AH73" s="23"/>
      <c r="AI73" s="23">
        <f t="shared" si="33"/>
        <v>0</v>
      </c>
      <c r="AJ73" s="23"/>
      <c r="AK73" s="23">
        <f t="shared" si="34"/>
        <v>0</v>
      </c>
      <c r="AL73" s="26"/>
      <c r="AM73" s="26">
        <f t="shared" si="35"/>
        <v>0</v>
      </c>
      <c r="AN73" s="12">
        <f t="shared" si="36"/>
        <v>0</v>
      </c>
      <c r="AO73" s="22">
        <f t="shared" si="37"/>
        <v>0</v>
      </c>
    </row>
    <row r="74" spans="1:41" x14ac:dyDescent="0.5">
      <c r="A74" s="19">
        <v>70</v>
      </c>
      <c r="B74" s="20" t="s">
        <v>150</v>
      </c>
      <c r="C74" s="21" t="s">
        <v>151</v>
      </c>
      <c r="D74" s="16">
        <v>1094</v>
      </c>
      <c r="E74" s="16">
        <v>1</v>
      </c>
      <c r="F74" s="22"/>
      <c r="G74" s="22">
        <f t="shared" si="19"/>
        <v>0</v>
      </c>
      <c r="H74" s="22">
        <v>175</v>
      </c>
      <c r="I74" s="23">
        <f t="shared" si="20"/>
        <v>5671.7499999999991</v>
      </c>
      <c r="J74" s="22"/>
      <c r="K74" s="22">
        <f t="shared" si="21"/>
        <v>0</v>
      </c>
      <c r="L74" s="22">
        <v>315</v>
      </c>
      <c r="M74" s="24">
        <f t="shared" si="22"/>
        <v>11062.8</v>
      </c>
      <c r="N74" s="23">
        <v>254</v>
      </c>
      <c r="O74" s="23">
        <f t="shared" si="23"/>
        <v>9715.5</v>
      </c>
      <c r="P74" s="22">
        <v>266</v>
      </c>
      <c r="Q74" s="22">
        <f t="shared" si="24"/>
        <v>11172</v>
      </c>
      <c r="R74" s="25">
        <v>308</v>
      </c>
      <c r="S74" s="25">
        <f t="shared" si="25"/>
        <v>11919.6</v>
      </c>
      <c r="T74" s="25">
        <v>389</v>
      </c>
      <c r="U74" s="25">
        <f t="shared" si="26"/>
        <v>13109.300000000001</v>
      </c>
      <c r="V74" s="23">
        <v>494</v>
      </c>
      <c r="W74" s="23">
        <f t="shared" si="27"/>
        <v>16203.199999999999</v>
      </c>
      <c r="X74" s="23">
        <v>435</v>
      </c>
      <c r="Y74" s="23">
        <f t="shared" si="28"/>
        <v>15290.25</v>
      </c>
      <c r="Z74" s="23">
        <v>340</v>
      </c>
      <c r="AA74" s="23">
        <f t="shared" si="29"/>
        <v>11784.4</v>
      </c>
      <c r="AB74" s="23">
        <v>407</v>
      </c>
      <c r="AC74" s="23">
        <f t="shared" si="30"/>
        <v>14672.349999999999</v>
      </c>
      <c r="AD74" s="23">
        <v>397</v>
      </c>
      <c r="AE74" s="23">
        <f t="shared" si="31"/>
        <v>13910.88</v>
      </c>
      <c r="AF74" s="26">
        <v>436</v>
      </c>
      <c r="AG74" s="26">
        <f t="shared" si="32"/>
        <v>14902.48</v>
      </c>
      <c r="AH74" s="23">
        <v>389</v>
      </c>
      <c r="AI74" s="23">
        <f t="shared" si="33"/>
        <v>12953.699999999999</v>
      </c>
      <c r="AJ74" s="23">
        <v>382</v>
      </c>
      <c r="AK74" s="23">
        <f t="shared" si="34"/>
        <v>13732.900000000001</v>
      </c>
      <c r="AL74" s="26">
        <v>336</v>
      </c>
      <c r="AM74" s="26">
        <f t="shared" si="35"/>
        <v>12321.12</v>
      </c>
      <c r="AN74" s="12">
        <f t="shared" si="36"/>
        <v>5323</v>
      </c>
      <c r="AO74" s="22">
        <f t="shared" si="37"/>
        <v>188422.23</v>
      </c>
    </row>
    <row r="75" spans="1:41" s="31" customFormat="1" x14ac:dyDescent="0.5">
      <c r="A75" s="19">
        <v>71</v>
      </c>
      <c r="B75" s="20" t="s">
        <v>152</v>
      </c>
      <c r="C75" s="21" t="s">
        <v>153</v>
      </c>
      <c r="D75" s="16">
        <v>22</v>
      </c>
      <c r="E75" s="16">
        <v>2</v>
      </c>
      <c r="F75" s="22">
        <v>1020</v>
      </c>
      <c r="G75" s="22">
        <f t="shared" si="19"/>
        <v>31742.400000000001</v>
      </c>
      <c r="H75" s="22">
        <v>600</v>
      </c>
      <c r="I75" s="23">
        <f t="shared" si="20"/>
        <v>19445.999999999996</v>
      </c>
      <c r="J75" s="22">
        <v>394</v>
      </c>
      <c r="K75" s="22">
        <f t="shared" si="21"/>
        <v>13005.939999999999</v>
      </c>
      <c r="L75" s="22">
        <v>672</v>
      </c>
      <c r="M75" s="24">
        <f t="shared" si="22"/>
        <v>23600.639999999999</v>
      </c>
      <c r="N75" s="23">
        <v>269</v>
      </c>
      <c r="O75" s="23">
        <f t="shared" si="23"/>
        <v>10289.25</v>
      </c>
      <c r="P75" s="22">
        <v>563</v>
      </c>
      <c r="Q75" s="22">
        <f t="shared" si="24"/>
        <v>23646</v>
      </c>
      <c r="R75" s="25">
        <v>415</v>
      </c>
      <c r="S75" s="25">
        <f t="shared" si="25"/>
        <v>16060.500000000002</v>
      </c>
      <c r="T75" s="25">
        <v>636</v>
      </c>
      <c r="U75" s="25">
        <f t="shared" si="26"/>
        <v>21433.200000000001</v>
      </c>
      <c r="V75" s="23"/>
      <c r="W75" s="23">
        <f t="shared" si="27"/>
        <v>0</v>
      </c>
      <c r="X75" s="23">
        <v>400</v>
      </c>
      <c r="Y75" s="23">
        <f t="shared" si="28"/>
        <v>14060</v>
      </c>
      <c r="Z75" s="23">
        <v>440</v>
      </c>
      <c r="AA75" s="23">
        <f t="shared" si="29"/>
        <v>15250.399999999998</v>
      </c>
      <c r="AB75" s="23"/>
      <c r="AC75" s="23">
        <f t="shared" si="30"/>
        <v>0</v>
      </c>
      <c r="AD75" s="23">
        <v>766</v>
      </c>
      <c r="AE75" s="23">
        <f t="shared" si="31"/>
        <v>26840.639999999999</v>
      </c>
      <c r="AF75" s="26">
        <v>802</v>
      </c>
      <c r="AG75" s="26">
        <f t="shared" si="32"/>
        <v>27412.36</v>
      </c>
      <c r="AH75" s="23">
        <v>502</v>
      </c>
      <c r="AI75" s="23">
        <f t="shared" si="33"/>
        <v>16716.599999999999</v>
      </c>
      <c r="AJ75" s="23">
        <v>624</v>
      </c>
      <c r="AK75" s="23">
        <f t="shared" si="34"/>
        <v>22432.800000000003</v>
      </c>
      <c r="AL75" s="26">
        <v>353</v>
      </c>
      <c r="AM75" s="26">
        <f t="shared" si="35"/>
        <v>12944.51</v>
      </c>
      <c r="AN75" s="12">
        <f t="shared" si="36"/>
        <v>8456</v>
      </c>
      <c r="AO75" s="22">
        <f t="shared" si="37"/>
        <v>294881.24000000005</v>
      </c>
    </row>
    <row r="76" spans="1:41" s="31" customFormat="1" x14ac:dyDescent="0.5">
      <c r="A76" s="19">
        <v>72</v>
      </c>
      <c r="B76" s="27" t="s">
        <v>154</v>
      </c>
      <c r="C76" s="28" t="s">
        <v>155</v>
      </c>
      <c r="D76" s="16">
        <v>88</v>
      </c>
      <c r="E76" s="16">
        <v>2</v>
      </c>
      <c r="F76" s="22"/>
      <c r="G76" s="22">
        <f t="shared" si="19"/>
        <v>0</v>
      </c>
      <c r="H76" s="22"/>
      <c r="I76" s="23">
        <f t="shared" si="20"/>
        <v>0</v>
      </c>
      <c r="J76" s="22"/>
      <c r="K76" s="22">
        <f t="shared" si="21"/>
        <v>0</v>
      </c>
      <c r="L76" s="22"/>
      <c r="M76" s="24">
        <f t="shared" si="22"/>
        <v>0</v>
      </c>
      <c r="N76" s="23"/>
      <c r="O76" s="23">
        <f t="shared" si="23"/>
        <v>0</v>
      </c>
      <c r="P76" s="22">
        <v>129</v>
      </c>
      <c r="Q76" s="22">
        <f t="shared" si="24"/>
        <v>5418</v>
      </c>
      <c r="R76" s="25">
        <v>91</v>
      </c>
      <c r="S76" s="25">
        <f t="shared" si="25"/>
        <v>3521.7000000000003</v>
      </c>
      <c r="T76" s="25">
        <v>93</v>
      </c>
      <c r="U76" s="25">
        <f t="shared" si="26"/>
        <v>3134.1000000000004</v>
      </c>
      <c r="V76" s="23"/>
      <c r="W76" s="23">
        <f t="shared" si="27"/>
        <v>0</v>
      </c>
      <c r="X76" s="23">
        <v>140</v>
      </c>
      <c r="Y76" s="23">
        <f t="shared" si="28"/>
        <v>4921</v>
      </c>
      <c r="Z76" s="23"/>
      <c r="AA76" s="23">
        <f t="shared" si="29"/>
        <v>0</v>
      </c>
      <c r="AB76" s="23">
        <v>169</v>
      </c>
      <c r="AC76" s="23">
        <f t="shared" si="30"/>
        <v>6092.45</v>
      </c>
      <c r="AD76" s="23">
        <v>104</v>
      </c>
      <c r="AE76" s="23">
        <f t="shared" si="31"/>
        <v>3644.16</v>
      </c>
      <c r="AF76" s="26"/>
      <c r="AG76" s="26">
        <f t="shared" si="32"/>
        <v>0</v>
      </c>
      <c r="AH76" s="23">
        <v>180</v>
      </c>
      <c r="AI76" s="23">
        <f t="shared" si="33"/>
        <v>5993.9999999999991</v>
      </c>
      <c r="AJ76" s="23"/>
      <c r="AK76" s="23">
        <f t="shared" si="34"/>
        <v>0</v>
      </c>
      <c r="AL76" s="23">
        <v>165</v>
      </c>
      <c r="AM76" s="26">
        <f t="shared" si="35"/>
        <v>6050.55</v>
      </c>
      <c r="AN76" s="12">
        <f t="shared" si="36"/>
        <v>1071</v>
      </c>
      <c r="AO76" s="22">
        <f t="shared" si="37"/>
        <v>38775.960000000006</v>
      </c>
    </row>
    <row r="77" spans="1:41" s="31" customFormat="1" x14ac:dyDescent="0.5">
      <c r="A77" s="19">
        <v>73</v>
      </c>
      <c r="B77" s="27" t="s">
        <v>156</v>
      </c>
      <c r="C77" s="28" t="s">
        <v>157</v>
      </c>
      <c r="D77" s="16">
        <v>541</v>
      </c>
      <c r="E77" s="16">
        <v>2</v>
      </c>
      <c r="F77" s="22">
        <v>358</v>
      </c>
      <c r="G77" s="22">
        <f t="shared" si="19"/>
        <v>11140.960000000001</v>
      </c>
      <c r="H77" s="22">
        <v>257</v>
      </c>
      <c r="I77" s="23">
        <f t="shared" si="20"/>
        <v>8329.369999999999</v>
      </c>
      <c r="J77" s="22">
        <v>150</v>
      </c>
      <c r="K77" s="22">
        <f t="shared" si="21"/>
        <v>4951.5</v>
      </c>
      <c r="L77" s="22">
        <v>285</v>
      </c>
      <c r="M77" s="24">
        <f t="shared" si="22"/>
        <v>10009.199999999999</v>
      </c>
      <c r="N77" s="23">
        <v>248</v>
      </c>
      <c r="O77" s="23">
        <f t="shared" si="23"/>
        <v>9486</v>
      </c>
      <c r="P77" s="22">
        <v>459</v>
      </c>
      <c r="Q77" s="22">
        <f t="shared" si="24"/>
        <v>19278</v>
      </c>
      <c r="R77" s="25">
        <v>408</v>
      </c>
      <c r="S77" s="25">
        <f t="shared" si="25"/>
        <v>15789.6</v>
      </c>
      <c r="T77" s="25">
        <v>439</v>
      </c>
      <c r="U77" s="25">
        <f t="shared" si="26"/>
        <v>14794.300000000001</v>
      </c>
      <c r="V77" s="23">
        <v>461</v>
      </c>
      <c r="W77" s="23">
        <f t="shared" si="27"/>
        <v>15120.8</v>
      </c>
      <c r="X77" s="23">
        <v>405</v>
      </c>
      <c r="Y77" s="23">
        <f t="shared" si="28"/>
        <v>14235.75</v>
      </c>
      <c r="Z77" s="23">
        <v>372</v>
      </c>
      <c r="AA77" s="23">
        <f t="shared" si="29"/>
        <v>12893.519999999999</v>
      </c>
      <c r="AB77" s="23">
        <v>448</v>
      </c>
      <c r="AC77" s="23">
        <f t="shared" si="30"/>
        <v>16150.399999999998</v>
      </c>
      <c r="AD77" s="23">
        <v>432</v>
      </c>
      <c r="AE77" s="23">
        <f t="shared" si="31"/>
        <v>15137.279999999999</v>
      </c>
      <c r="AF77" s="26">
        <v>473</v>
      </c>
      <c r="AG77" s="26">
        <f t="shared" si="32"/>
        <v>16167.14</v>
      </c>
      <c r="AH77" s="23">
        <v>380</v>
      </c>
      <c r="AI77" s="23">
        <f t="shared" si="33"/>
        <v>12653.999999999998</v>
      </c>
      <c r="AJ77" s="23">
        <v>350</v>
      </c>
      <c r="AK77" s="23">
        <f t="shared" si="34"/>
        <v>12582.500000000002</v>
      </c>
      <c r="AL77" s="23">
        <v>477</v>
      </c>
      <c r="AM77" s="26">
        <f t="shared" si="35"/>
        <v>17491.59</v>
      </c>
      <c r="AN77" s="12">
        <f t="shared" si="36"/>
        <v>6402</v>
      </c>
      <c r="AO77" s="22">
        <f t="shared" si="37"/>
        <v>226211.91</v>
      </c>
    </row>
    <row r="78" spans="1:41" s="31" customFormat="1" x14ac:dyDescent="0.5">
      <c r="A78" s="19">
        <v>74</v>
      </c>
      <c r="B78" s="27" t="s">
        <v>158</v>
      </c>
      <c r="C78" s="28" t="s">
        <v>159</v>
      </c>
      <c r="D78" s="16">
        <v>543</v>
      </c>
      <c r="E78" s="16">
        <v>2</v>
      </c>
      <c r="F78" s="22">
        <v>341</v>
      </c>
      <c r="G78" s="22">
        <f t="shared" si="19"/>
        <v>10611.92</v>
      </c>
      <c r="H78" s="22"/>
      <c r="I78" s="23">
        <f t="shared" si="20"/>
        <v>0</v>
      </c>
      <c r="J78" s="22"/>
      <c r="K78" s="22">
        <f t="shared" si="21"/>
        <v>0</v>
      </c>
      <c r="L78" s="22"/>
      <c r="M78" s="24">
        <f t="shared" si="22"/>
        <v>0</v>
      </c>
      <c r="N78" s="23"/>
      <c r="O78" s="23">
        <f t="shared" si="23"/>
        <v>0</v>
      </c>
      <c r="P78" s="22">
        <v>109</v>
      </c>
      <c r="Q78" s="22">
        <f t="shared" si="24"/>
        <v>4578</v>
      </c>
      <c r="R78" s="25"/>
      <c r="S78" s="25">
        <f t="shared" si="25"/>
        <v>0</v>
      </c>
      <c r="T78" s="25">
        <v>340</v>
      </c>
      <c r="U78" s="25">
        <f t="shared" si="26"/>
        <v>11458.000000000002</v>
      </c>
      <c r="V78" s="23">
        <v>695</v>
      </c>
      <c r="W78" s="23">
        <f t="shared" si="27"/>
        <v>22795.999999999996</v>
      </c>
      <c r="X78" s="23">
        <v>843</v>
      </c>
      <c r="Y78" s="23">
        <f t="shared" si="28"/>
        <v>29631.449999999997</v>
      </c>
      <c r="Z78" s="23">
        <v>663</v>
      </c>
      <c r="AA78" s="23">
        <f t="shared" si="29"/>
        <v>22979.579999999998</v>
      </c>
      <c r="AB78" s="23">
        <v>284</v>
      </c>
      <c r="AC78" s="23">
        <f t="shared" si="30"/>
        <v>10238.199999999999</v>
      </c>
      <c r="AD78" s="23">
        <v>934</v>
      </c>
      <c r="AE78" s="23">
        <f t="shared" si="31"/>
        <v>32727.360000000001</v>
      </c>
      <c r="AF78" s="26">
        <v>1269</v>
      </c>
      <c r="AG78" s="26">
        <f t="shared" si="32"/>
        <v>43374.42</v>
      </c>
      <c r="AH78" s="23">
        <v>1152</v>
      </c>
      <c r="AI78" s="23">
        <f t="shared" si="33"/>
        <v>38361.599999999999</v>
      </c>
      <c r="AJ78" s="23">
        <v>1089</v>
      </c>
      <c r="AK78" s="23">
        <f t="shared" si="34"/>
        <v>39149.550000000003</v>
      </c>
      <c r="AL78" s="23">
        <v>856</v>
      </c>
      <c r="AM78" s="26">
        <f t="shared" si="35"/>
        <v>31389.52</v>
      </c>
      <c r="AN78" s="12">
        <f t="shared" si="36"/>
        <v>8575</v>
      </c>
      <c r="AO78" s="22">
        <f t="shared" si="37"/>
        <v>297295.60000000003</v>
      </c>
    </row>
    <row r="79" spans="1:41" s="31" customFormat="1" x14ac:dyDescent="0.5">
      <c r="A79" s="19">
        <v>75</v>
      </c>
      <c r="B79" s="27" t="s">
        <v>160</v>
      </c>
      <c r="C79" s="28" t="s">
        <v>161</v>
      </c>
      <c r="D79" s="16">
        <v>617</v>
      </c>
      <c r="E79" s="16">
        <v>2</v>
      </c>
      <c r="F79" s="22"/>
      <c r="G79" s="22">
        <f t="shared" si="19"/>
        <v>0</v>
      </c>
      <c r="H79" s="22"/>
      <c r="I79" s="23">
        <f t="shared" si="20"/>
        <v>0</v>
      </c>
      <c r="J79" s="22"/>
      <c r="K79" s="22">
        <f t="shared" si="21"/>
        <v>0</v>
      </c>
      <c r="L79" s="22"/>
      <c r="M79" s="24">
        <f t="shared" si="22"/>
        <v>0</v>
      </c>
      <c r="N79" s="23">
        <v>273</v>
      </c>
      <c r="O79" s="23">
        <f t="shared" si="23"/>
        <v>10442.25</v>
      </c>
      <c r="P79" s="22">
        <v>304</v>
      </c>
      <c r="Q79" s="22">
        <f t="shared" si="24"/>
        <v>12768</v>
      </c>
      <c r="R79" s="25">
        <v>316</v>
      </c>
      <c r="S79" s="25">
        <f t="shared" si="25"/>
        <v>12229.2</v>
      </c>
      <c r="T79" s="25">
        <v>241</v>
      </c>
      <c r="U79" s="25">
        <f t="shared" si="26"/>
        <v>8121.7000000000007</v>
      </c>
      <c r="V79" s="23">
        <v>316</v>
      </c>
      <c r="W79" s="23">
        <f t="shared" si="27"/>
        <v>10364.799999999999</v>
      </c>
      <c r="X79" s="23"/>
      <c r="Y79" s="23">
        <f t="shared" si="28"/>
        <v>0</v>
      </c>
      <c r="Z79" s="23"/>
      <c r="AA79" s="23">
        <f t="shared" si="29"/>
        <v>0</v>
      </c>
      <c r="AB79" s="23"/>
      <c r="AC79" s="23">
        <f t="shared" si="30"/>
        <v>0</v>
      </c>
      <c r="AD79" s="23"/>
      <c r="AE79" s="23">
        <f t="shared" si="31"/>
        <v>0</v>
      </c>
      <c r="AF79" s="26"/>
      <c r="AG79" s="26">
        <f t="shared" si="32"/>
        <v>0</v>
      </c>
      <c r="AH79" s="23"/>
      <c r="AI79" s="23">
        <f t="shared" si="33"/>
        <v>0</v>
      </c>
      <c r="AJ79" s="23">
        <v>326</v>
      </c>
      <c r="AK79" s="23">
        <f t="shared" si="34"/>
        <v>11719.7</v>
      </c>
      <c r="AL79" s="23"/>
      <c r="AM79" s="26">
        <f t="shared" si="35"/>
        <v>0</v>
      </c>
      <c r="AN79" s="12">
        <f t="shared" si="36"/>
        <v>1776</v>
      </c>
      <c r="AO79" s="22">
        <f t="shared" si="37"/>
        <v>65645.649999999994</v>
      </c>
    </row>
    <row r="80" spans="1:41" s="31" customFormat="1" x14ac:dyDescent="0.5">
      <c r="A80" s="19">
        <v>76</v>
      </c>
      <c r="B80" s="27" t="s">
        <v>162</v>
      </c>
      <c r="C80" s="28" t="s">
        <v>163</v>
      </c>
      <c r="D80" s="16">
        <v>628</v>
      </c>
      <c r="E80" s="16">
        <v>2</v>
      </c>
      <c r="F80" s="22"/>
      <c r="G80" s="22">
        <f t="shared" si="19"/>
        <v>0</v>
      </c>
      <c r="H80" s="22"/>
      <c r="I80" s="23">
        <f t="shared" si="20"/>
        <v>0</v>
      </c>
      <c r="J80" s="22"/>
      <c r="K80" s="22">
        <f t="shared" si="21"/>
        <v>0</v>
      </c>
      <c r="L80" s="22"/>
      <c r="M80" s="24">
        <f t="shared" si="22"/>
        <v>0</v>
      </c>
      <c r="N80" s="23"/>
      <c r="O80" s="23">
        <f t="shared" si="23"/>
        <v>0</v>
      </c>
      <c r="P80" s="22"/>
      <c r="Q80" s="22">
        <f t="shared" si="24"/>
        <v>0</v>
      </c>
      <c r="R80" s="25"/>
      <c r="S80" s="25">
        <f t="shared" si="25"/>
        <v>0</v>
      </c>
      <c r="T80" s="25"/>
      <c r="U80" s="25">
        <f t="shared" si="26"/>
        <v>0</v>
      </c>
      <c r="V80" s="23"/>
      <c r="W80" s="23">
        <f t="shared" si="27"/>
        <v>0</v>
      </c>
      <c r="X80" s="23"/>
      <c r="Y80" s="23">
        <f t="shared" si="28"/>
        <v>0</v>
      </c>
      <c r="Z80" s="23"/>
      <c r="AA80" s="23">
        <f t="shared" si="29"/>
        <v>0</v>
      </c>
      <c r="AB80" s="23"/>
      <c r="AC80" s="23">
        <f t="shared" si="30"/>
        <v>0</v>
      </c>
      <c r="AD80" s="23"/>
      <c r="AE80" s="23">
        <f t="shared" si="31"/>
        <v>0</v>
      </c>
      <c r="AF80" s="26"/>
      <c r="AG80" s="26">
        <f t="shared" si="32"/>
        <v>0</v>
      </c>
      <c r="AH80" s="23"/>
      <c r="AI80" s="23">
        <f t="shared" si="33"/>
        <v>0</v>
      </c>
      <c r="AJ80" s="23"/>
      <c r="AK80" s="23">
        <f t="shared" si="34"/>
        <v>0</v>
      </c>
      <c r="AL80" s="23"/>
      <c r="AM80" s="26">
        <f t="shared" si="35"/>
        <v>0</v>
      </c>
      <c r="AN80" s="12">
        <f t="shared" si="36"/>
        <v>0</v>
      </c>
      <c r="AO80" s="22">
        <f t="shared" si="37"/>
        <v>0</v>
      </c>
    </row>
    <row r="81" spans="1:41" s="31" customFormat="1" x14ac:dyDescent="0.5">
      <c r="A81" s="19">
        <v>77</v>
      </c>
      <c r="B81" s="27" t="s">
        <v>87</v>
      </c>
      <c r="C81" s="28" t="s">
        <v>164</v>
      </c>
      <c r="D81" s="16">
        <v>630</v>
      </c>
      <c r="E81" s="16">
        <v>2</v>
      </c>
      <c r="F81" s="22"/>
      <c r="G81" s="22">
        <f t="shared" si="19"/>
        <v>0</v>
      </c>
      <c r="H81" s="22"/>
      <c r="I81" s="23">
        <f t="shared" si="20"/>
        <v>0</v>
      </c>
      <c r="J81" s="22"/>
      <c r="K81" s="22">
        <f t="shared" si="21"/>
        <v>0</v>
      </c>
      <c r="L81" s="22"/>
      <c r="M81" s="24">
        <f t="shared" si="22"/>
        <v>0</v>
      </c>
      <c r="N81" s="23"/>
      <c r="O81" s="23">
        <f t="shared" si="23"/>
        <v>0</v>
      </c>
      <c r="P81" s="22"/>
      <c r="Q81" s="22">
        <f t="shared" si="24"/>
        <v>0</v>
      </c>
      <c r="R81" s="25"/>
      <c r="S81" s="25">
        <f t="shared" si="25"/>
        <v>0</v>
      </c>
      <c r="T81" s="25"/>
      <c r="U81" s="25">
        <f t="shared" si="26"/>
        <v>0</v>
      </c>
      <c r="V81" s="23"/>
      <c r="W81" s="23">
        <f t="shared" si="27"/>
        <v>0</v>
      </c>
      <c r="X81" s="23"/>
      <c r="Y81" s="23">
        <f t="shared" si="28"/>
        <v>0</v>
      </c>
      <c r="Z81" s="23"/>
      <c r="AA81" s="23">
        <f t="shared" si="29"/>
        <v>0</v>
      </c>
      <c r="AB81" s="23"/>
      <c r="AC81" s="23">
        <f t="shared" si="30"/>
        <v>0</v>
      </c>
      <c r="AD81" s="23"/>
      <c r="AE81" s="23">
        <f t="shared" si="31"/>
        <v>0</v>
      </c>
      <c r="AF81" s="26"/>
      <c r="AG81" s="26">
        <f t="shared" si="32"/>
        <v>0</v>
      </c>
      <c r="AH81" s="23"/>
      <c r="AI81" s="23">
        <f t="shared" si="33"/>
        <v>0</v>
      </c>
      <c r="AJ81" s="23"/>
      <c r="AK81" s="23">
        <f t="shared" si="34"/>
        <v>0</v>
      </c>
      <c r="AL81" s="23"/>
      <c r="AM81" s="26">
        <f t="shared" si="35"/>
        <v>0</v>
      </c>
      <c r="AN81" s="12">
        <f t="shared" si="36"/>
        <v>0</v>
      </c>
      <c r="AO81" s="22">
        <f t="shared" si="37"/>
        <v>0</v>
      </c>
    </row>
    <row r="82" spans="1:41" s="31" customFormat="1" x14ac:dyDescent="0.5">
      <c r="A82" s="19">
        <v>78</v>
      </c>
      <c r="B82" s="27" t="s">
        <v>165</v>
      </c>
      <c r="C82" s="28" t="s">
        <v>157</v>
      </c>
      <c r="D82" s="16">
        <v>686</v>
      </c>
      <c r="E82" s="16">
        <v>2</v>
      </c>
      <c r="F82" s="22"/>
      <c r="G82" s="22">
        <f t="shared" si="19"/>
        <v>0</v>
      </c>
      <c r="H82" s="22"/>
      <c r="I82" s="23">
        <f t="shared" si="20"/>
        <v>0</v>
      </c>
      <c r="J82" s="22"/>
      <c r="K82" s="22">
        <f t="shared" si="21"/>
        <v>0</v>
      </c>
      <c r="L82" s="22"/>
      <c r="M82" s="24">
        <f t="shared" si="22"/>
        <v>0</v>
      </c>
      <c r="N82" s="23"/>
      <c r="O82" s="23">
        <f t="shared" si="23"/>
        <v>0</v>
      </c>
      <c r="P82" s="22"/>
      <c r="Q82" s="22">
        <f t="shared" si="24"/>
        <v>0</v>
      </c>
      <c r="R82" s="25"/>
      <c r="S82" s="25">
        <f t="shared" si="25"/>
        <v>0</v>
      </c>
      <c r="T82" s="25"/>
      <c r="U82" s="25">
        <f t="shared" si="26"/>
        <v>0</v>
      </c>
      <c r="V82" s="23"/>
      <c r="W82" s="23">
        <f t="shared" si="27"/>
        <v>0</v>
      </c>
      <c r="X82" s="23"/>
      <c r="Y82" s="23">
        <f t="shared" si="28"/>
        <v>0</v>
      </c>
      <c r="Z82" s="23"/>
      <c r="AA82" s="23">
        <f t="shared" si="29"/>
        <v>0</v>
      </c>
      <c r="AB82" s="23"/>
      <c r="AC82" s="23">
        <f t="shared" si="30"/>
        <v>0</v>
      </c>
      <c r="AD82" s="23"/>
      <c r="AE82" s="23">
        <f t="shared" si="31"/>
        <v>0</v>
      </c>
      <c r="AF82" s="26"/>
      <c r="AG82" s="26">
        <f t="shared" si="32"/>
        <v>0</v>
      </c>
      <c r="AH82" s="23"/>
      <c r="AI82" s="23">
        <f t="shared" si="33"/>
        <v>0</v>
      </c>
      <c r="AJ82" s="23"/>
      <c r="AK82" s="23">
        <f t="shared" si="34"/>
        <v>0</v>
      </c>
      <c r="AL82" s="23"/>
      <c r="AM82" s="26">
        <f t="shared" si="35"/>
        <v>0</v>
      </c>
      <c r="AN82" s="12">
        <f t="shared" si="36"/>
        <v>0</v>
      </c>
      <c r="AO82" s="22">
        <f t="shared" si="37"/>
        <v>0</v>
      </c>
    </row>
    <row r="83" spans="1:41" s="31" customFormat="1" x14ac:dyDescent="0.5">
      <c r="A83" s="19">
        <v>79</v>
      </c>
      <c r="B83" s="27" t="s">
        <v>166</v>
      </c>
      <c r="C83" s="28" t="s">
        <v>167</v>
      </c>
      <c r="D83" s="16">
        <v>758</v>
      </c>
      <c r="E83" s="16">
        <v>2</v>
      </c>
      <c r="F83" s="22">
        <v>286</v>
      </c>
      <c r="G83" s="22">
        <f t="shared" si="19"/>
        <v>8900.32</v>
      </c>
      <c r="H83" s="22">
        <v>186</v>
      </c>
      <c r="I83" s="23">
        <f t="shared" si="20"/>
        <v>6028.2599999999993</v>
      </c>
      <c r="J83" s="22">
        <v>167</v>
      </c>
      <c r="K83" s="22">
        <f t="shared" si="21"/>
        <v>5512.67</v>
      </c>
      <c r="L83" s="22"/>
      <c r="M83" s="24">
        <f t="shared" si="22"/>
        <v>0</v>
      </c>
      <c r="N83" s="23">
        <v>313</v>
      </c>
      <c r="O83" s="23">
        <f t="shared" si="23"/>
        <v>11972.25</v>
      </c>
      <c r="P83" s="22">
        <v>294</v>
      </c>
      <c r="Q83" s="22">
        <f t="shared" si="24"/>
        <v>12348</v>
      </c>
      <c r="R83" s="25">
        <v>221</v>
      </c>
      <c r="S83" s="25">
        <f t="shared" si="25"/>
        <v>8552.7000000000007</v>
      </c>
      <c r="T83" s="25">
        <v>395</v>
      </c>
      <c r="U83" s="25">
        <f t="shared" si="26"/>
        <v>13311.500000000002</v>
      </c>
      <c r="V83" s="23">
        <v>221</v>
      </c>
      <c r="W83" s="23">
        <f t="shared" si="27"/>
        <v>7248.7999999999993</v>
      </c>
      <c r="X83" s="23">
        <v>438</v>
      </c>
      <c r="Y83" s="23">
        <f t="shared" si="28"/>
        <v>15395.699999999999</v>
      </c>
      <c r="Z83" s="23">
        <v>323</v>
      </c>
      <c r="AA83" s="23">
        <f t="shared" si="29"/>
        <v>11195.179999999998</v>
      </c>
      <c r="AB83" s="23">
        <v>316</v>
      </c>
      <c r="AC83" s="23">
        <f t="shared" si="30"/>
        <v>11391.8</v>
      </c>
      <c r="AD83" s="23">
        <v>361</v>
      </c>
      <c r="AE83" s="23">
        <f t="shared" si="31"/>
        <v>12649.44</v>
      </c>
      <c r="AF83" s="26">
        <v>327</v>
      </c>
      <c r="AG83" s="26">
        <f t="shared" si="32"/>
        <v>11176.86</v>
      </c>
      <c r="AH83" s="23">
        <v>333</v>
      </c>
      <c r="AI83" s="23">
        <f t="shared" si="33"/>
        <v>11088.9</v>
      </c>
      <c r="AJ83" s="23">
        <v>311</v>
      </c>
      <c r="AK83" s="23">
        <f t="shared" si="34"/>
        <v>11180.45</v>
      </c>
      <c r="AL83" s="23">
        <v>334</v>
      </c>
      <c r="AM83" s="26">
        <f t="shared" si="35"/>
        <v>12247.78</v>
      </c>
      <c r="AN83" s="12">
        <f t="shared" si="36"/>
        <v>4826</v>
      </c>
      <c r="AO83" s="22">
        <f t="shared" si="37"/>
        <v>170200.61</v>
      </c>
    </row>
    <row r="84" spans="1:41" s="31" customFormat="1" x14ac:dyDescent="0.5">
      <c r="A84" s="19">
        <v>80</v>
      </c>
      <c r="B84" s="27" t="s">
        <v>168</v>
      </c>
      <c r="C84" s="28" t="s">
        <v>169</v>
      </c>
      <c r="D84" s="16">
        <v>778</v>
      </c>
      <c r="E84" s="16">
        <v>2</v>
      </c>
      <c r="F84" s="22">
        <v>264</v>
      </c>
      <c r="G84" s="22">
        <f t="shared" si="19"/>
        <v>8215.68</v>
      </c>
      <c r="H84" s="22">
        <v>201</v>
      </c>
      <c r="I84" s="23">
        <f t="shared" si="20"/>
        <v>6514.4099999999989</v>
      </c>
      <c r="J84" s="22">
        <v>166</v>
      </c>
      <c r="K84" s="22">
        <f t="shared" si="21"/>
        <v>5479.66</v>
      </c>
      <c r="L84" s="22"/>
      <c r="M84" s="24">
        <f t="shared" si="22"/>
        <v>0</v>
      </c>
      <c r="N84" s="23"/>
      <c r="O84" s="23">
        <f t="shared" si="23"/>
        <v>0</v>
      </c>
      <c r="P84" s="22">
        <v>344</v>
      </c>
      <c r="Q84" s="22">
        <f t="shared" si="24"/>
        <v>14448</v>
      </c>
      <c r="R84" s="25">
        <v>212</v>
      </c>
      <c r="S84" s="25">
        <f t="shared" si="25"/>
        <v>8204.4000000000015</v>
      </c>
      <c r="T84" s="25">
        <v>258</v>
      </c>
      <c r="U84" s="25">
        <f t="shared" si="26"/>
        <v>8694.6</v>
      </c>
      <c r="V84" s="23">
        <v>197</v>
      </c>
      <c r="W84" s="23">
        <f t="shared" si="27"/>
        <v>6461.5999999999995</v>
      </c>
      <c r="X84" s="23"/>
      <c r="Y84" s="23">
        <f t="shared" si="28"/>
        <v>0</v>
      </c>
      <c r="Z84" s="23">
        <v>270</v>
      </c>
      <c r="AA84" s="23">
        <f t="shared" si="29"/>
        <v>9358.1999999999989</v>
      </c>
      <c r="AB84" s="23"/>
      <c r="AC84" s="23">
        <f t="shared" si="30"/>
        <v>0</v>
      </c>
      <c r="AD84" s="23">
        <v>355</v>
      </c>
      <c r="AE84" s="23">
        <f t="shared" si="31"/>
        <v>12439.199999999999</v>
      </c>
      <c r="AF84" s="26">
        <v>373</v>
      </c>
      <c r="AG84" s="26">
        <f t="shared" si="32"/>
        <v>12749.14</v>
      </c>
      <c r="AH84" s="23">
        <v>301</v>
      </c>
      <c r="AI84" s="23">
        <f t="shared" si="33"/>
        <v>10023.299999999999</v>
      </c>
      <c r="AJ84" s="23">
        <v>315</v>
      </c>
      <c r="AK84" s="23">
        <f t="shared" si="34"/>
        <v>11324.25</v>
      </c>
      <c r="AL84" s="23"/>
      <c r="AM84" s="26">
        <f t="shared" si="35"/>
        <v>0</v>
      </c>
      <c r="AN84" s="12">
        <f t="shared" si="36"/>
        <v>3256</v>
      </c>
      <c r="AO84" s="22">
        <f t="shared" si="37"/>
        <v>113912.44</v>
      </c>
    </row>
    <row r="85" spans="1:41" x14ac:dyDescent="0.5">
      <c r="A85" s="19">
        <v>81</v>
      </c>
      <c r="B85" s="27" t="s">
        <v>170</v>
      </c>
      <c r="C85" s="28" t="s">
        <v>171</v>
      </c>
      <c r="D85" s="16">
        <v>840</v>
      </c>
      <c r="E85" s="16">
        <v>2</v>
      </c>
      <c r="F85" s="22">
        <v>852</v>
      </c>
      <c r="G85" s="22">
        <f t="shared" si="19"/>
        <v>26514.240000000002</v>
      </c>
      <c r="H85" s="22"/>
      <c r="I85" s="23">
        <f t="shared" si="20"/>
        <v>0</v>
      </c>
      <c r="J85" s="22"/>
      <c r="K85" s="22">
        <f t="shared" si="21"/>
        <v>0</v>
      </c>
      <c r="L85" s="22"/>
      <c r="M85" s="24">
        <f t="shared" si="22"/>
        <v>0</v>
      </c>
      <c r="N85" s="23">
        <v>355</v>
      </c>
      <c r="O85" s="23">
        <f t="shared" si="23"/>
        <v>13578.75</v>
      </c>
      <c r="P85" s="22">
        <v>512</v>
      </c>
      <c r="Q85" s="22">
        <f t="shared" si="24"/>
        <v>21504</v>
      </c>
      <c r="R85" s="25">
        <v>892</v>
      </c>
      <c r="S85" s="25">
        <f t="shared" si="25"/>
        <v>34520.400000000001</v>
      </c>
      <c r="T85" s="25">
        <v>1141</v>
      </c>
      <c r="U85" s="25">
        <f t="shared" si="26"/>
        <v>38451.700000000004</v>
      </c>
      <c r="V85" s="23">
        <v>1239</v>
      </c>
      <c r="W85" s="23">
        <f t="shared" si="27"/>
        <v>40639.199999999997</v>
      </c>
      <c r="X85" s="23">
        <v>1149</v>
      </c>
      <c r="Y85" s="23">
        <f t="shared" si="28"/>
        <v>40387.35</v>
      </c>
      <c r="Z85" s="23">
        <v>1199</v>
      </c>
      <c r="AA85" s="23">
        <f t="shared" si="29"/>
        <v>41557.339999999997</v>
      </c>
      <c r="AB85" s="23">
        <v>843</v>
      </c>
      <c r="AC85" s="23">
        <f t="shared" si="30"/>
        <v>30390.149999999998</v>
      </c>
      <c r="AD85" s="23">
        <v>1077</v>
      </c>
      <c r="AE85" s="23">
        <f t="shared" si="31"/>
        <v>37738.080000000002</v>
      </c>
      <c r="AF85" s="26">
        <v>1387</v>
      </c>
      <c r="AG85" s="26">
        <f t="shared" si="32"/>
        <v>47407.659999999996</v>
      </c>
      <c r="AH85" s="23">
        <v>1141</v>
      </c>
      <c r="AI85" s="23">
        <f t="shared" si="33"/>
        <v>37995.299999999996</v>
      </c>
      <c r="AJ85" s="23">
        <v>1382</v>
      </c>
      <c r="AK85" s="23">
        <f t="shared" si="34"/>
        <v>49682.9</v>
      </c>
      <c r="AL85" s="23">
        <v>1157</v>
      </c>
      <c r="AM85" s="26">
        <f t="shared" si="35"/>
        <v>42427.19</v>
      </c>
      <c r="AN85" s="12">
        <f t="shared" si="36"/>
        <v>14326</v>
      </c>
      <c r="AO85" s="22">
        <f t="shared" si="37"/>
        <v>502794.26000000007</v>
      </c>
    </row>
    <row r="86" spans="1:41" x14ac:dyDescent="0.5">
      <c r="A86" s="19">
        <v>82</v>
      </c>
      <c r="B86" s="20" t="s">
        <v>172</v>
      </c>
      <c r="C86" s="21" t="s">
        <v>173</v>
      </c>
      <c r="D86" s="16">
        <v>853</v>
      </c>
      <c r="E86" s="16">
        <v>2</v>
      </c>
      <c r="F86" s="22">
        <v>102</v>
      </c>
      <c r="G86" s="22">
        <f t="shared" si="19"/>
        <v>3174.2400000000002</v>
      </c>
      <c r="H86" s="22">
        <v>92</v>
      </c>
      <c r="I86" s="23">
        <f t="shared" si="20"/>
        <v>2981.72</v>
      </c>
      <c r="J86" s="22">
        <v>70</v>
      </c>
      <c r="K86" s="22">
        <f t="shared" si="21"/>
        <v>2310.6999999999998</v>
      </c>
      <c r="L86" s="22"/>
      <c r="M86" s="24">
        <f t="shared" si="22"/>
        <v>0</v>
      </c>
      <c r="N86" s="23">
        <v>161</v>
      </c>
      <c r="O86" s="23">
        <f t="shared" si="23"/>
        <v>6158.25</v>
      </c>
      <c r="P86" s="22">
        <v>82</v>
      </c>
      <c r="Q86" s="22">
        <f t="shared" si="24"/>
        <v>3444</v>
      </c>
      <c r="R86" s="25"/>
      <c r="S86" s="25">
        <f t="shared" si="25"/>
        <v>0</v>
      </c>
      <c r="T86" s="25">
        <v>191</v>
      </c>
      <c r="U86" s="25">
        <f t="shared" si="26"/>
        <v>6436.7000000000007</v>
      </c>
      <c r="V86" s="23">
        <v>108</v>
      </c>
      <c r="W86" s="23">
        <f t="shared" si="27"/>
        <v>3542.3999999999996</v>
      </c>
      <c r="X86" s="23">
        <v>109</v>
      </c>
      <c r="Y86" s="23">
        <f t="shared" si="28"/>
        <v>3831.35</v>
      </c>
      <c r="Z86" s="23">
        <v>118</v>
      </c>
      <c r="AA86" s="23">
        <f t="shared" si="29"/>
        <v>4089.8799999999997</v>
      </c>
      <c r="AB86" s="23"/>
      <c r="AC86" s="23">
        <f t="shared" si="30"/>
        <v>0</v>
      </c>
      <c r="AD86" s="23">
        <v>142</v>
      </c>
      <c r="AE86" s="23">
        <f t="shared" si="31"/>
        <v>4975.68</v>
      </c>
      <c r="AF86" s="26">
        <v>108</v>
      </c>
      <c r="AG86" s="26">
        <f t="shared" si="32"/>
        <v>3691.44</v>
      </c>
      <c r="AH86" s="23">
        <v>1001</v>
      </c>
      <c r="AI86" s="23">
        <f t="shared" si="33"/>
        <v>33333.299999999996</v>
      </c>
      <c r="AJ86" s="23">
        <v>917</v>
      </c>
      <c r="AK86" s="23">
        <f t="shared" si="34"/>
        <v>32966.15</v>
      </c>
      <c r="AL86" s="26">
        <v>142</v>
      </c>
      <c r="AM86" s="26">
        <f t="shared" si="35"/>
        <v>5207.1400000000003</v>
      </c>
      <c r="AN86" s="12">
        <f t="shared" si="36"/>
        <v>3343</v>
      </c>
      <c r="AO86" s="22">
        <f t="shared" si="37"/>
        <v>116142.95</v>
      </c>
    </row>
    <row r="87" spans="1:41" s="31" customFormat="1" x14ac:dyDescent="0.5">
      <c r="A87" s="19">
        <v>83</v>
      </c>
      <c r="B87" s="20" t="s">
        <v>174</v>
      </c>
      <c r="C87" s="21" t="s">
        <v>175</v>
      </c>
      <c r="D87" s="16">
        <v>879</v>
      </c>
      <c r="E87" s="16">
        <v>2</v>
      </c>
      <c r="F87" s="22"/>
      <c r="G87" s="22">
        <f t="shared" si="19"/>
        <v>0</v>
      </c>
      <c r="H87" s="22"/>
      <c r="I87" s="23">
        <f t="shared" si="20"/>
        <v>0</v>
      </c>
      <c r="J87" s="22"/>
      <c r="K87" s="22">
        <f t="shared" si="21"/>
        <v>0</v>
      </c>
      <c r="L87" s="22"/>
      <c r="M87" s="24">
        <f t="shared" si="22"/>
        <v>0</v>
      </c>
      <c r="N87" s="23"/>
      <c r="O87" s="23">
        <f t="shared" si="23"/>
        <v>0</v>
      </c>
      <c r="P87" s="22"/>
      <c r="Q87" s="22">
        <f t="shared" si="24"/>
        <v>0</v>
      </c>
      <c r="R87" s="25"/>
      <c r="S87" s="25">
        <f t="shared" si="25"/>
        <v>0</v>
      </c>
      <c r="T87" s="25"/>
      <c r="U87" s="25">
        <f t="shared" si="26"/>
        <v>0</v>
      </c>
      <c r="V87" s="23"/>
      <c r="W87" s="23">
        <f t="shared" si="27"/>
        <v>0</v>
      </c>
      <c r="X87" s="23"/>
      <c r="Y87" s="23">
        <f t="shared" si="28"/>
        <v>0</v>
      </c>
      <c r="Z87" s="23"/>
      <c r="AA87" s="23">
        <f t="shared" si="29"/>
        <v>0</v>
      </c>
      <c r="AB87" s="23"/>
      <c r="AC87" s="23">
        <f t="shared" si="30"/>
        <v>0</v>
      </c>
      <c r="AD87" s="23"/>
      <c r="AE87" s="23">
        <f t="shared" si="31"/>
        <v>0</v>
      </c>
      <c r="AF87" s="26"/>
      <c r="AG87" s="26">
        <f t="shared" si="32"/>
        <v>0</v>
      </c>
      <c r="AH87" s="23"/>
      <c r="AI87" s="23">
        <f t="shared" si="33"/>
        <v>0</v>
      </c>
      <c r="AJ87" s="23"/>
      <c r="AK87" s="23">
        <f t="shared" si="34"/>
        <v>0</v>
      </c>
      <c r="AL87" s="26"/>
      <c r="AM87" s="26">
        <f t="shared" si="35"/>
        <v>0</v>
      </c>
      <c r="AN87" s="12">
        <f t="shared" si="36"/>
        <v>0</v>
      </c>
      <c r="AO87" s="22">
        <f t="shared" si="37"/>
        <v>0</v>
      </c>
    </row>
    <row r="88" spans="1:41" s="31" customFormat="1" x14ac:dyDescent="0.5">
      <c r="A88" s="19">
        <v>84</v>
      </c>
      <c r="B88" s="27" t="s">
        <v>176</v>
      </c>
      <c r="C88" s="28" t="s">
        <v>177</v>
      </c>
      <c r="D88" s="16">
        <v>888</v>
      </c>
      <c r="E88" s="16">
        <v>2</v>
      </c>
      <c r="F88" s="22">
        <v>444</v>
      </c>
      <c r="G88" s="22">
        <f t="shared" si="19"/>
        <v>13817.28</v>
      </c>
      <c r="H88" s="22"/>
      <c r="I88" s="23">
        <f t="shared" si="20"/>
        <v>0</v>
      </c>
      <c r="J88" s="22"/>
      <c r="K88" s="22">
        <f t="shared" si="21"/>
        <v>0</v>
      </c>
      <c r="L88" s="22"/>
      <c r="M88" s="24">
        <f t="shared" si="22"/>
        <v>0</v>
      </c>
      <c r="N88" s="23"/>
      <c r="O88" s="23">
        <f t="shared" si="23"/>
        <v>0</v>
      </c>
      <c r="P88" s="22"/>
      <c r="Q88" s="22">
        <f t="shared" si="24"/>
        <v>0</v>
      </c>
      <c r="R88" s="25"/>
      <c r="S88" s="25">
        <f t="shared" si="25"/>
        <v>0</v>
      </c>
      <c r="T88" s="25">
        <v>299</v>
      </c>
      <c r="U88" s="25">
        <f t="shared" si="26"/>
        <v>10076.300000000001</v>
      </c>
      <c r="V88" s="23">
        <v>291</v>
      </c>
      <c r="W88" s="23">
        <f t="shared" si="27"/>
        <v>9544.7999999999993</v>
      </c>
      <c r="X88" s="23"/>
      <c r="Y88" s="23">
        <f t="shared" si="28"/>
        <v>0</v>
      </c>
      <c r="Z88" s="23">
        <v>275</v>
      </c>
      <c r="AA88" s="23">
        <f t="shared" si="29"/>
        <v>9531.4999999999982</v>
      </c>
      <c r="AB88" s="23">
        <v>186</v>
      </c>
      <c r="AC88" s="23">
        <f t="shared" si="30"/>
        <v>6705.2999999999993</v>
      </c>
      <c r="AD88" s="23">
        <v>415</v>
      </c>
      <c r="AE88" s="23">
        <f t="shared" si="31"/>
        <v>14541.6</v>
      </c>
      <c r="AF88" s="26">
        <v>748</v>
      </c>
      <c r="AG88" s="26">
        <f t="shared" si="32"/>
        <v>25566.639999999999</v>
      </c>
      <c r="AH88" s="23">
        <v>653</v>
      </c>
      <c r="AI88" s="23">
        <f t="shared" si="33"/>
        <v>21744.899999999998</v>
      </c>
      <c r="AJ88" s="23">
        <v>785</v>
      </c>
      <c r="AK88" s="23">
        <f t="shared" si="34"/>
        <v>28220.750000000004</v>
      </c>
      <c r="AL88" s="23">
        <v>643</v>
      </c>
      <c r="AM88" s="26">
        <f t="shared" si="35"/>
        <v>23578.81</v>
      </c>
      <c r="AN88" s="12">
        <f t="shared" si="36"/>
        <v>4739</v>
      </c>
      <c r="AO88" s="22">
        <f t="shared" si="37"/>
        <v>163327.88</v>
      </c>
    </row>
    <row r="89" spans="1:41" s="31" customFormat="1" x14ac:dyDescent="0.5">
      <c r="A89" s="19">
        <v>85</v>
      </c>
      <c r="B89" s="27" t="s">
        <v>178</v>
      </c>
      <c r="C89" s="28" t="s">
        <v>179</v>
      </c>
      <c r="D89" s="16">
        <v>894</v>
      </c>
      <c r="E89" s="16">
        <v>2</v>
      </c>
      <c r="F89" s="22"/>
      <c r="G89" s="22">
        <f t="shared" si="19"/>
        <v>0</v>
      </c>
      <c r="H89" s="22"/>
      <c r="I89" s="23">
        <f t="shared" si="20"/>
        <v>0</v>
      </c>
      <c r="J89" s="22"/>
      <c r="K89" s="22">
        <f t="shared" si="21"/>
        <v>0</v>
      </c>
      <c r="L89" s="22"/>
      <c r="M89" s="24">
        <f t="shared" si="22"/>
        <v>0</v>
      </c>
      <c r="N89" s="23"/>
      <c r="O89" s="23">
        <f t="shared" si="23"/>
        <v>0</v>
      </c>
      <c r="P89" s="22">
        <v>419</v>
      </c>
      <c r="Q89" s="22">
        <f t="shared" si="24"/>
        <v>17598</v>
      </c>
      <c r="R89" s="25"/>
      <c r="S89" s="25">
        <f t="shared" si="25"/>
        <v>0</v>
      </c>
      <c r="T89" s="25"/>
      <c r="U89" s="25">
        <f t="shared" si="26"/>
        <v>0</v>
      </c>
      <c r="V89" s="23"/>
      <c r="W89" s="23">
        <f t="shared" si="27"/>
        <v>0</v>
      </c>
      <c r="X89" s="23"/>
      <c r="Y89" s="23">
        <f t="shared" si="28"/>
        <v>0</v>
      </c>
      <c r="Z89" s="23"/>
      <c r="AA89" s="23">
        <f t="shared" si="29"/>
        <v>0</v>
      </c>
      <c r="AB89" s="23"/>
      <c r="AC89" s="23">
        <f t="shared" si="30"/>
        <v>0</v>
      </c>
      <c r="AD89" s="23"/>
      <c r="AE89" s="23">
        <f t="shared" si="31"/>
        <v>0</v>
      </c>
      <c r="AF89" s="26"/>
      <c r="AG89" s="26">
        <f t="shared" si="32"/>
        <v>0</v>
      </c>
      <c r="AH89" s="23"/>
      <c r="AI89" s="23">
        <f t="shared" si="33"/>
        <v>0</v>
      </c>
      <c r="AJ89" s="23"/>
      <c r="AK89" s="23">
        <f t="shared" si="34"/>
        <v>0</v>
      </c>
      <c r="AL89" s="23"/>
      <c r="AM89" s="26">
        <f t="shared" si="35"/>
        <v>0</v>
      </c>
      <c r="AN89" s="12">
        <f t="shared" si="36"/>
        <v>419</v>
      </c>
      <c r="AO89" s="22">
        <f t="shared" si="37"/>
        <v>17598</v>
      </c>
    </row>
    <row r="90" spans="1:41" x14ac:dyDescent="0.5">
      <c r="A90" s="19">
        <v>86</v>
      </c>
      <c r="B90" s="27" t="s">
        <v>180</v>
      </c>
      <c r="C90" s="28" t="s">
        <v>181</v>
      </c>
      <c r="D90" s="16">
        <v>896</v>
      </c>
      <c r="E90" s="16">
        <v>2</v>
      </c>
      <c r="F90" s="22"/>
      <c r="G90" s="22">
        <f t="shared" si="19"/>
        <v>0</v>
      </c>
      <c r="H90" s="22"/>
      <c r="I90" s="23">
        <f t="shared" si="20"/>
        <v>0</v>
      </c>
      <c r="J90" s="22"/>
      <c r="K90" s="22">
        <f t="shared" si="21"/>
        <v>0</v>
      </c>
      <c r="L90" s="22"/>
      <c r="M90" s="24">
        <f t="shared" si="22"/>
        <v>0</v>
      </c>
      <c r="N90" s="23"/>
      <c r="O90" s="23">
        <f t="shared" si="23"/>
        <v>0</v>
      </c>
      <c r="P90" s="22"/>
      <c r="Q90" s="22">
        <f t="shared" si="24"/>
        <v>0</v>
      </c>
      <c r="R90" s="25"/>
      <c r="S90" s="25">
        <f t="shared" si="25"/>
        <v>0</v>
      </c>
      <c r="T90" s="25"/>
      <c r="U90" s="25">
        <f t="shared" si="26"/>
        <v>0</v>
      </c>
      <c r="V90" s="23"/>
      <c r="W90" s="23">
        <f t="shared" si="27"/>
        <v>0</v>
      </c>
      <c r="X90" s="23"/>
      <c r="Y90" s="23">
        <f t="shared" si="28"/>
        <v>0</v>
      </c>
      <c r="Z90" s="23"/>
      <c r="AA90" s="23">
        <f t="shared" si="29"/>
        <v>0</v>
      </c>
      <c r="AB90" s="23"/>
      <c r="AC90" s="23">
        <f t="shared" si="30"/>
        <v>0</v>
      </c>
      <c r="AD90" s="23"/>
      <c r="AE90" s="23">
        <f t="shared" si="31"/>
        <v>0</v>
      </c>
      <c r="AF90" s="26"/>
      <c r="AG90" s="26">
        <f t="shared" si="32"/>
        <v>0</v>
      </c>
      <c r="AH90" s="23"/>
      <c r="AI90" s="23">
        <f t="shared" si="33"/>
        <v>0</v>
      </c>
      <c r="AJ90" s="23"/>
      <c r="AK90" s="23">
        <f t="shared" si="34"/>
        <v>0</v>
      </c>
      <c r="AL90" s="23"/>
      <c r="AM90" s="26">
        <f t="shared" si="35"/>
        <v>0</v>
      </c>
      <c r="AN90" s="12">
        <f t="shared" si="36"/>
        <v>0</v>
      </c>
      <c r="AO90" s="22">
        <f t="shared" si="37"/>
        <v>0</v>
      </c>
    </row>
    <row r="91" spans="1:41" x14ac:dyDescent="0.5">
      <c r="A91" s="19">
        <v>87</v>
      </c>
      <c r="B91" s="27" t="s">
        <v>182</v>
      </c>
      <c r="C91" s="28" t="s">
        <v>183</v>
      </c>
      <c r="D91" s="16">
        <v>1031</v>
      </c>
      <c r="E91" s="16">
        <v>2</v>
      </c>
      <c r="F91" s="22">
        <v>2266</v>
      </c>
      <c r="G91" s="22">
        <f t="shared" si="19"/>
        <v>70517.919999999998</v>
      </c>
      <c r="H91" s="22">
        <v>1241</v>
      </c>
      <c r="I91" s="23">
        <f t="shared" si="20"/>
        <v>40220.81</v>
      </c>
      <c r="J91" s="22"/>
      <c r="K91" s="22">
        <f t="shared" si="21"/>
        <v>0</v>
      </c>
      <c r="L91" s="22"/>
      <c r="M91" s="24">
        <f t="shared" si="22"/>
        <v>0</v>
      </c>
      <c r="N91" s="23">
        <v>922</v>
      </c>
      <c r="O91" s="23">
        <f t="shared" si="23"/>
        <v>35266.5</v>
      </c>
      <c r="P91" s="22">
        <v>2427</v>
      </c>
      <c r="Q91" s="22">
        <f t="shared" si="24"/>
        <v>101934</v>
      </c>
      <c r="R91" s="25">
        <v>1944</v>
      </c>
      <c r="S91" s="25">
        <f t="shared" si="25"/>
        <v>75232.800000000003</v>
      </c>
      <c r="T91" s="25">
        <v>2056</v>
      </c>
      <c r="U91" s="25">
        <f t="shared" si="26"/>
        <v>69287.200000000012</v>
      </c>
      <c r="V91" s="23">
        <v>1977</v>
      </c>
      <c r="W91" s="23">
        <f t="shared" si="27"/>
        <v>64845.599999999991</v>
      </c>
      <c r="X91" s="23">
        <v>1863</v>
      </c>
      <c r="Y91" s="23">
        <f t="shared" si="28"/>
        <v>65484.45</v>
      </c>
      <c r="Z91" s="23">
        <v>2459</v>
      </c>
      <c r="AA91" s="23">
        <f t="shared" si="29"/>
        <v>85228.939999999988</v>
      </c>
      <c r="AB91" s="23">
        <v>1424</v>
      </c>
      <c r="AC91" s="23">
        <f t="shared" si="30"/>
        <v>51335.199999999997</v>
      </c>
      <c r="AD91" s="23">
        <v>2494</v>
      </c>
      <c r="AE91" s="23">
        <f t="shared" si="31"/>
        <v>87389.759999999995</v>
      </c>
      <c r="AF91" s="26">
        <v>2687</v>
      </c>
      <c r="AG91" s="26">
        <f t="shared" si="32"/>
        <v>91841.66</v>
      </c>
      <c r="AH91" s="23">
        <v>2262</v>
      </c>
      <c r="AI91" s="23">
        <f t="shared" si="33"/>
        <v>75324.599999999991</v>
      </c>
      <c r="AJ91" s="23">
        <v>2859</v>
      </c>
      <c r="AK91" s="23">
        <f t="shared" si="34"/>
        <v>102781.05</v>
      </c>
      <c r="AL91" s="23">
        <v>2684</v>
      </c>
      <c r="AM91" s="26">
        <f t="shared" si="35"/>
        <v>98422.28</v>
      </c>
      <c r="AN91" s="12">
        <f t="shared" si="36"/>
        <v>31565</v>
      </c>
      <c r="AO91" s="22">
        <f t="shared" si="37"/>
        <v>1115112.77</v>
      </c>
    </row>
    <row r="92" spans="1:41" x14ac:dyDescent="0.5">
      <c r="A92" s="19">
        <v>88</v>
      </c>
      <c r="B92" s="27" t="s">
        <v>184</v>
      </c>
      <c r="C92" s="28" t="s">
        <v>185</v>
      </c>
      <c r="D92" s="16">
        <v>1036</v>
      </c>
      <c r="E92" s="16">
        <v>2</v>
      </c>
      <c r="F92" s="22">
        <v>132</v>
      </c>
      <c r="G92" s="22">
        <f t="shared" si="19"/>
        <v>4107.84</v>
      </c>
      <c r="H92" s="22"/>
      <c r="I92" s="23">
        <f t="shared" si="20"/>
        <v>0</v>
      </c>
      <c r="J92" s="22"/>
      <c r="K92" s="22">
        <f t="shared" si="21"/>
        <v>0</v>
      </c>
      <c r="L92" s="22"/>
      <c r="M92" s="24">
        <f t="shared" si="22"/>
        <v>0</v>
      </c>
      <c r="N92" s="23"/>
      <c r="O92" s="23">
        <f t="shared" si="23"/>
        <v>0</v>
      </c>
      <c r="P92" s="22">
        <v>80</v>
      </c>
      <c r="Q92" s="22">
        <f t="shared" si="24"/>
        <v>3360</v>
      </c>
      <c r="R92" s="25"/>
      <c r="S92" s="25">
        <f t="shared" si="25"/>
        <v>0</v>
      </c>
      <c r="T92" s="25"/>
      <c r="U92" s="25">
        <f t="shared" si="26"/>
        <v>0</v>
      </c>
      <c r="V92" s="23"/>
      <c r="W92" s="23">
        <f t="shared" si="27"/>
        <v>0</v>
      </c>
      <c r="X92" s="23"/>
      <c r="Y92" s="23">
        <f t="shared" si="28"/>
        <v>0</v>
      </c>
      <c r="Z92" s="23"/>
      <c r="AA92" s="23">
        <f t="shared" si="29"/>
        <v>0</v>
      </c>
      <c r="AB92" s="23"/>
      <c r="AC92" s="23">
        <f t="shared" si="30"/>
        <v>0</v>
      </c>
      <c r="AD92" s="23">
        <v>309</v>
      </c>
      <c r="AE92" s="23">
        <f t="shared" si="31"/>
        <v>10827.36</v>
      </c>
      <c r="AF92" s="26"/>
      <c r="AG92" s="26">
        <f t="shared" si="32"/>
        <v>0</v>
      </c>
      <c r="AH92" s="23"/>
      <c r="AI92" s="23">
        <f t="shared" si="33"/>
        <v>0</v>
      </c>
      <c r="AJ92" s="23"/>
      <c r="AK92" s="23">
        <f t="shared" si="34"/>
        <v>0</v>
      </c>
      <c r="AL92" s="23"/>
      <c r="AM92" s="26">
        <f t="shared" si="35"/>
        <v>0</v>
      </c>
      <c r="AN92" s="12">
        <f t="shared" si="36"/>
        <v>521</v>
      </c>
      <c r="AO92" s="22">
        <f t="shared" si="37"/>
        <v>18295.2</v>
      </c>
    </row>
    <row r="93" spans="1:41" x14ac:dyDescent="0.5">
      <c r="A93" s="19">
        <v>89</v>
      </c>
      <c r="B93" s="27" t="s">
        <v>186</v>
      </c>
      <c r="C93" s="28" t="s">
        <v>187</v>
      </c>
      <c r="D93" s="16">
        <v>1046</v>
      </c>
      <c r="E93" s="16">
        <v>2</v>
      </c>
      <c r="F93" s="22">
        <v>466</v>
      </c>
      <c r="G93" s="22">
        <f t="shared" si="19"/>
        <v>14501.92</v>
      </c>
      <c r="H93" s="22">
        <v>419</v>
      </c>
      <c r="I93" s="23">
        <f t="shared" si="20"/>
        <v>13579.789999999999</v>
      </c>
      <c r="J93" s="22">
        <v>266</v>
      </c>
      <c r="K93" s="22">
        <f t="shared" si="21"/>
        <v>8780.66</v>
      </c>
      <c r="L93" s="22">
        <v>443</v>
      </c>
      <c r="M93" s="24">
        <f t="shared" si="22"/>
        <v>15558.159999999998</v>
      </c>
      <c r="N93" s="23"/>
      <c r="O93" s="23">
        <f t="shared" si="23"/>
        <v>0</v>
      </c>
      <c r="P93" s="22"/>
      <c r="Q93" s="22">
        <f t="shared" si="24"/>
        <v>0</v>
      </c>
      <c r="R93" s="25"/>
      <c r="S93" s="25">
        <f t="shared" si="25"/>
        <v>0</v>
      </c>
      <c r="T93" s="25"/>
      <c r="U93" s="25">
        <f t="shared" si="26"/>
        <v>0</v>
      </c>
      <c r="V93" s="23">
        <v>554</v>
      </c>
      <c r="W93" s="23">
        <f t="shared" si="27"/>
        <v>18171.199999999997</v>
      </c>
      <c r="X93" s="23">
        <v>626</v>
      </c>
      <c r="Y93" s="23">
        <f t="shared" si="28"/>
        <v>22003.899999999998</v>
      </c>
      <c r="Z93" s="23">
        <v>658</v>
      </c>
      <c r="AA93" s="23">
        <f t="shared" si="29"/>
        <v>22806.28</v>
      </c>
      <c r="AB93" s="23"/>
      <c r="AC93" s="23">
        <f t="shared" si="30"/>
        <v>0</v>
      </c>
      <c r="AD93" s="23">
        <v>1090</v>
      </c>
      <c r="AE93" s="23">
        <f t="shared" si="31"/>
        <v>38193.599999999999</v>
      </c>
      <c r="AF93" s="26">
        <v>898</v>
      </c>
      <c r="AG93" s="26">
        <f t="shared" si="32"/>
        <v>30693.64</v>
      </c>
      <c r="AH93" s="23">
        <v>583</v>
      </c>
      <c r="AI93" s="23">
        <f t="shared" si="33"/>
        <v>19413.899999999998</v>
      </c>
      <c r="AJ93" s="23">
        <v>861</v>
      </c>
      <c r="AK93" s="23">
        <f t="shared" si="34"/>
        <v>30952.95</v>
      </c>
      <c r="AL93" s="23">
        <v>824</v>
      </c>
      <c r="AM93" s="26">
        <f t="shared" si="35"/>
        <v>30216.080000000002</v>
      </c>
      <c r="AN93" s="12">
        <f t="shared" si="36"/>
        <v>7688</v>
      </c>
      <c r="AO93" s="22">
        <f t="shared" si="37"/>
        <v>264872.07999999996</v>
      </c>
    </row>
    <row r="94" spans="1:41" x14ac:dyDescent="0.5">
      <c r="A94" s="19">
        <v>90</v>
      </c>
      <c r="B94" s="27" t="s">
        <v>188</v>
      </c>
      <c r="C94" s="28" t="s">
        <v>189</v>
      </c>
      <c r="D94" s="16">
        <v>1072</v>
      </c>
      <c r="E94" s="16">
        <v>2</v>
      </c>
      <c r="F94" s="22"/>
      <c r="G94" s="22">
        <f t="shared" si="19"/>
        <v>0</v>
      </c>
      <c r="H94" s="22"/>
      <c r="I94" s="23">
        <f t="shared" si="20"/>
        <v>0</v>
      </c>
      <c r="J94" s="22"/>
      <c r="K94" s="22">
        <f t="shared" si="21"/>
        <v>0</v>
      </c>
      <c r="L94" s="22"/>
      <c r="M94" s="24">
        <f t="shared" si="22"/>
        <v>0</v>
      </c>
      <c r="N94" s="23">
        <v>503</v>
      </c>
      <c r="O94" s="23">
        <f t="shared" si="23"/>
        <v>19239.75</v>
      </c>
      <c r="P94" s="22">
        <v>471</v>
      </c>
      <c r="Q94" s="22">
        <f t="shared" si="24"/>
        <v>19782</v>
      </c>
      <c r="R94" s="25">
        <v>325</v>
      </c>
      <c r="S94" s="25">
        <f t="shared" si="25"/>
        <v>12577.500000000002</v>
      </c>
      <c r="T94" s="25">
        <v>276</v>
      </c>
      <c r="U94" s="25">
        <f t="shared" si="26"/>
        <v>9301.2000000000007</v>
      </c>
      <c r="V94" s="23">
        <v>357</v>
      </c>
      <c r="W94" s="23">
        <f t="shared" si="27"/>
        <v>11709.599999999999</v>
      </c>
      <c r="X94" s="23">
        <v>522</v>
      </c>
      <c r="Y94" s="23">
        <f t="shared" si="28"/>
        <v>18348.3</v>
      </c>
      <c r="Z94" s="23">
        <v>434</v>
      </c>
      <c r="AA94" s="23">
        <f t="shared" si="29"/>
        <v>15042.439999999999</v>
      </c>
      <c r="AB94" s="23">
        <v>385</v>
      </c>
      <c r="AC94" s="23">
        <f t="shared" si="30"/>
        <v>13879.249999999998</v>
      </c>
      <c r="AD94" s="23">
        <v>382</v>
      </c>
      <c r="AE94" s="23">
        <f t="shared" si="31"/>
        <v>13385.279999999999</v>
      </c>
      <c r="AF94" s="26">
        <v>472</v>
      </c>
      <c r="AG94" s="26">
        <f t="shared" si="32"/>
        <v>16132.96</v>
      </c>
      <c r="AH94" s="23">
        <v>449</v>
      </c>
      <c r="AI94" s="23">
        <f t="shared" si="33"/>
        <v>14951.699999999999</v>
      </c>
      <c r="AJ94" s="23">
        <v>513</v>
      </c>
      <c r="AK94" s="23">
        <f t="shared" si="34"/>
        <v>18442.350000000002</v>
      </c>
      <c r="AL94" s="23">
        <v>456</v>
      </c>
      <c r="AM94" s="26">
        <f t="shared" si="35"/>
        <v>16721.52</v>
      </c>
      <c r="AN94" s="12">
        <f t="shared" si="36"/>
        <v>5545</v>
      </c>
      <c r="AO94" s="22">
        <f t="shared" si="37"/>
        <v>199513.85</v>
      </c>
    </row>
    <row r="95" spans="1:41" x14ac:dyDescent="0.5">
      <c r="A95" s="19">
        <v>91</v>
      </c>
      <c r="B95" s="20" t="s">
        <v>190</v>
      </c>
      <c r="C95" s="21" t="s">
        <v>191</v>
      </c>
      <c r="D95" s="16">
        <v>1096</v>
      </c>
      <c r="E95" s="16">
        <v>2</v>
      </c>
      <c r="F95" s="22">
        <v>421</v>
      </c>
      <c r="G95" s="22">
        <f t="shared" si="19"/>
        <v>13101.52</v>
      </c>
      <c r="H95" s="22">
        <v>218</v>
      </c>
      <c r="I95" s="23">
        <f t="shared" si="20"/>
        <v>7065.3799999999992</v>
      </c>
      <c r="J95" s="22"/>
      <c r="K95" s="22">
        <f t="shared" si="21"/>
        <v>0</v>
      </c>
      <c r="L95" s="22"/>
      <c r="M95" s="24">
        <f t="shared" si="22"/>
        <v>0</v>
      </c>
      <c r="N95" s="23"/>
      <c r="O95" s="23">
        <f t="shared" si="23"/>
        <v>0</v>
      </c>
      <c r="P95" s="22">
        <v>365</v>
      </c>
      <c r="Q95" s="22">
        <f t="shared" si="24"/>
        <v>15330</v>
      </c>
      <c r="R95" s="25">
        <v>629</v>
      </c>
      <c r="S95" s="25">
        <f t="shared" si="25"/>
        <v>24342.300000000003</v>
      </c>
      <c r="T95" s="25">
        <v>505</v>
      </c>
      <c r="U95" s="25">
        <f t="shared" si="26"/>
        <v>17018.5</v>
      </c>
      <c r="V95" s="23">
        <v>352</v>
      </c>
      <c r="W95" s="23">
        <f t="shared" si="27"/>
        <v>11545.599999999999</v>
      </c>
      <c r="X95" s="23">
        <v>472</v>
      </c>
      <c r="Y95" s="23">
        <f t="shared" si="28"/>
        <v>16590.8</v>
      </c>
      <c r="Z95" s="23">
        <v>615</v>
      </c>
      <c r="AA95" s="23">
        <f t="shared" si="29"/>
        <v>21315.899999999998</v>
      </c>
      <c r="AB95" s="23">
        <v>360</v>
      </c>
      <c r="AC95" s="23">
        <f t="shared" si="30"/>
        <v>12977.999999999998</v>
      </c>
      <c r="AD95" s="23">
        <v>521</v>
      </c>
      <c r="AE95" s="23">
        <f t="shared" si="31"/>
        <v>18255.84</v>
      </c>
      <c r="AF95" s="26">
        <v>448</v>
      </c>
      <c r="AG95" s="26">
        <f t="shared" si="32"/>
        <v>15312.64</v>
      </c>
      <c r="AH95" s="23">
        <v>633</v>
      </c>
      <c r="AI95" s="23">
        <f t="shared" si="33"/>
        <v>21078.899999999998</v>
      </c>
      <c r="AJ95" s="23">
        <v>614</v>
      </c>
      <c r="AK95" s="23">
        <f t="shared" si="34"/>
        <v>22073.300000000003</v>
      </c>
      <c r="AL95" s="26">
        <v>662</v>
      </c>
      <c r="AM95" s="26">
        <f t="shared" si="35"/>
        <v>24275.54</v>
      </c>
      <c r="AN95" s="12">
        <f t="shared" si="36"/>
        <v>6815</v>
      </c>
      <c r="AO95" s="22">
        <f t="shared" si="37"/>
        <v>240284.22</v>
      </c>
    </row>
    <row r="96" spans="1:41" x14ac:dyDescent="0.5">
      <c r="A96" s="19">
        <v>92</v>
      </c>
      <c r="B96" s="20" t="s">
        <v>192</v>
      </c>
      <c r="C96" s="21" t="s">
        <v>193</v>
      </c>
      <c r="D96" s="16">
        <v>1110</v>
      </c>
      <c r="E96" s="16">
        <v>2</v>
      </c>
      <c r="F96" s="22"/>
      <c r="G96" s="22">
        <f t="shared" si="19"/>
        <v>0</v>
      </c>
      <c r="H96" s="22"/>
      <c r="I96" s="23">
        <f t="shared" si="20"/>
        <v>0</v>
      </c>
      <c r="J96" s="22"/>
      <c r="K96" s="22">
        <f t="shared" si="21"/>
        <v>0</v>
      </c>
      <c r="L96" s="22"/>
      <c r="M96" s="24">
        <f t="shared" si="22"/>
        <v>0</v>
      </c>
      <c r="N96" s="23"/>
      <c r="O96" s="23">
        <f t="shared" si="23"/>
        <v>0</v>
      </c>
      <c r="P96" s="22"/>
      <c r="Q96" s="22">
        <f t="shared" si="24"/>
        <v>0</v>
      </c>
      <c r="R96" s="25"/>
      <c r="S96" s="25">
        <f t="shared" si="25"/>
        <v>0</v>
      </c>
      <c r="T96" s="25">
        <v>498</v>
      </c>
      <c r="U96" s="25">
        <f t="shared" si="26"/>
        <v>16782.600000000002</v>
      </c>
      <c r="V96" s="23">
        <v>297</v>
      </c>
      <c r="W96" s="23">
        <f t="shared" si="27"/>
        <v>9741.5999999999985</v>
      </c>
      <c r="X96" s="23">
        <v>489</v>
      </c>
      <c r="Y96" s="23">
        <f t="shared" si="28"/>
        <v>17188.349999999999</v>
      </c>
      <c r="Z96" s="23">
        <v>469</v>
      </c>
      <c r="AA96" s="23">
        <f t="shared" si="29"/>
        <v>16255.539999999999</v>
      </c>
      <c r="AB96" s="23">
        <v>447</v>
      </c>
      <c r="AC96" s="23">
        <f t="shared" si="30"/>
        <v>16114.349999999999</v>
      </c>
      <c r="AD96" s="23">
        <v>370</v>
      </c>
      <c r="AE96" s="23">
        <f t="shared" si="31"/>
        <v>12964.8</v>
      </c>
      <c r="AF96" s="26">
        <v>461</v>
      </c>
      <c r="AG96" s="26">
        <f t="shared" si="32"/>
        <v>15756.98</v>
      </c>
      <c r="AH96" s="23">
        <v>360</v>
      </c>
      <c r="AI96" s="23">
        <f t="shared" si="33"/>
        <v>11987.999999999998</v>
      </c>
      <c r="AJ96" s="23">
        <v>425</v>
      </c>
      <c r="AK96" s="23">
        <f t="shared" si="34"/>
        <v>15278.750000000002</v>
      </c>
      <c r="AL96" s="26">
        <v>380</v>
      </c>
      <c r="AM96" s="26">
        <f t="shared" si="35"/>
        <v>13934.6</v>
      </c>
      <c r="AN96" s="12">
        <f t="shared" si="36"/>
        <v>4196</v>
      </c>
      <c r="AO96" s="22">
        <f t="shared" si="37"/>
        <v>146005.57</v>
      </c>
    </row>
    <row r="97" spans="1:41" s="31" customFormat="1" x14ac:dyDescent="0.5">
      <c r="A97" s="19">
        <v>93</v>
      </c>
      <c r="B97" s="20" t="s">
        <v>194</v>
      </c>
      <c r="C97" s="21" t="s">
        <v>195</v>
      </c>
      <c r="D97" s="16">
        <v>35</v>
      </c>
      <c r="E97" s="16">
        <v>3</v>
      </c>
      <c r="F97" s="22">
        <v>676</v>
      </c>
      <c r="G97" s="22">
        <f t="shared" si="19"/>
        <v>21037.119999999999</v>
      </c>
      <c r="H97" s="22">
        <v>456</v>
      </c>
      <c r="I97" s="23">
        <f t="shared" si="20"/>
        <v>14778.96</v>
      </c>
      <c r="J97" s="22">
        <v>560</v>
      </c>
      <c r="K97" s="22">
        <f t="shared" si="21"/>
        <v>18485.599999999999</v>
      </c>
      <c r="L97" s="22">
        <v>278</v>
      </c>
      <c r="M97" s="24">
        <f t="shared" si="22"/>
        <v>9763.3599999999988</v>
      </c>
      <c r="N97" s="23">
        <v>322</v>
      </c>
      <c r="O97" s="23">
        <f t="shared" si="23"/>
        <v>12316.5</v>
      </c>
      <c r="P97" s="22">
        <v>608</v>
      </c>
      <c r="Q97" s="22">
        <f t="shared" si="24"/>
        <v>25536</v>
      </c>
      <c r="R97" s="25">
        <v>449</v>
      </c>
      <c r="S97" s="25">
        <f t="shared" si="25"/>
        <v>17376.300000000003</v>
      </c>
      <c r="T97" s="25">
        <v>1135</v>
      </c>
      <c r="U97" s="25">
        <f t="shared" si="26"/>
        <v>38249.5</v>
      </c>
      <c r="V97" s="23">
        <v>461</v>
      </c>
      <c r="W97" s="23">
        <f t="shared" si="27"/>
        <v>15120.8</v>
      </c>
      <c r="X97" s="23">
        <v>522</v>
      </c>
      <c r="Y97" s="23">
        <f t="shared" si="28"/>
        <v>18348.3</v>
      </c>
      <c r="Z97" s="23">
        <v>552</v>
      </c>
      <c r="AA97" s="23">
        <f t="shared" si="29"/>
        <v>19132.32</v>
      </c>
      <c r="AB97" s="23">
        <v>458</v>
      </c>
      <c r="AC97" s="23">
        <f t="shared" si="30"/>
        <v>16510.899999999998</v>
      </c>
      <c r="AD97" s="23"/>
      <c r="AE97" s="23">
        <f t="shared" si="31"/>
        <v>0</v>
      </c>
      <c r="AF97" s="26"/>
      <c r="AG97" s="26">
        <f t="shared" si="32"/>
        <v>0</v>
      </c>
      <c r="AH97" s="23"/>
      <c r="AI97" s="23">
        <f t="shared" si="33"/>
        <v>0</v>
      </c>
      <c r="AJ97" s="23"/>
      <c r="AK97" s="23">
        <f t="shared" si="34"/>
        <v>0</v>
      </c>
      <c r="AL97" s="26"/>
      <c r="AM97" s="26">
        <f t="shared" si="35"/>
        <v>0</v>
      </c>
      <c r="AN97" s="12">
        <f t="shared" si="36"/>
        <v>6477</v>
      </c>
      <c r="AO97" s="22">
        <f t="shared" si="37"/>
        <v>226655.66</v>
      </c>
    </row>
    <row r="98" spans="1:41" x14ac:dyDescent="0.5">
      <c r="A98" s="19">
        <v>94</v>
      </c>
      <c r="B98" s="20" t="s">
        <v>196</v>
      </c>
      <c r="C98" s="21" t="s">
        <v>197</v>
      </c>
      <c r="D98" s="16">
        <v>38</v>
      </c>
      <c r="E98" s="16">
        <v>3</v>
      </c>
      <c r="F98" s="22">
        <v>483</v>
      </c>
      <c r="G98" s="22">
        <f t="shared" si="19"/>
        <v>15030.960000000001</v>
      </c>
      <c r="H98" s="22">
        <v>293</v>
      </c>
      <c r="I98" s="23">
        <f t="shared" si="20"/>
        <v>9496.1299999999992</v>
      </c>
      <c r="J98" s="22">
        <v>373</v>
      </c>
      <c r="K98" s="22">
        <f t="shared" si="21"/>
        <v>12312.73</v>
      </c>
      <c r="L98" s="22"/>
      <c r="M98" s="24">
        <f t="shared" si="22"/>
        <v>0</v>
      </c>
      <c r="N98" s="23"/>
      <c r="O98" s="23">
        <f t="shared" si="23"/>
        <v>0</v>
      </c>
      <c r="P98" s="22"/>
      <c r="Q98" s="22">
        <f t="shared" si="24"/>
        <v>0</v>
      </c>
      <c r="R98" s="25">
        <v>328</v>
      </c>
      <c r="S98" s="25">
        <f t="shared" si="25"/>
        <v>12693.6</v>
      </c>
      <c r="T98" s="25">
        <v>206</v>
      </c>
      <c r="U98" s="25">
        <f t="shared" si="26"/>
        <v>6942.2000000000007</v>
      </c>
      <c r="V98" s="23">
        <v>261</v>
      </c>
      <c r="W98" s="23">
        <f t="shared" si="27"/>
        <v>8560.7999999999993</v>
      </c>
      <c r="X98" s="23">
        <v>379</v>
      </c>
      <c r="Y98" s="23">
        <f t="shared" si="28"/>
        <v>13321.85</v>
      </c>
      <c r="Z98" s="23"/>
      <c r="AA98" s="23">
        <f t="shared" si="29"/>
        <v>0</v>
      </c>
      <c r="AB98" s="23">
        <v>344</v>
      </c>
      <c r="AC98" s="23">
        <f t="shared" si="30"/>
        <v>12401.199999999999</v>
      </c>
      <c r="AD98" s="23">
        <v>392</v>
      </c>
      <c r="AE98" s="23">
        <f t="shared" si="31"/>
        <v>13735.68</v>
      </c>
      <c r="AF98" s="26">
        <v>428</v>
      </c>
      <c r="AG98" s="26">
        <f t="shared" si="32"/>
        <v>14629.039999999999</v>
      </c>
      <c r="AH98" s="23">
        <v>452</v>
      </c>
      <c r="AI98" s="23">
        <f t="shared" si="33"/>
        <v>15051.599999999999</v>
      </c>
      <c r="AJ98" s="23">
        <v>316</v>
      </c>
      <c r="AK98" s="23">
        <f t="shared" si="34"/>
        <v>11360.2</v>
      </c>
      <c r="AL98" s="26">
        <v>421</v>
      </c>
      <c r="AM98" s="26">
        <f t="shared" si="35"/>
        <v>15438.070000000002</v>
      </c>
      <c r="AN98" s="12">
        <f t="shared" si="36"/>
        <v>4676</v>
      </c>
      <c r="AO98" s="22">
        <f t="shared" si="37"/>
        <v>160974.06</v>
      </c>
    </row>
    <row r="99" spans="1:41" s="31" customFormat="1" x14ac:dyDescent="0.5">
      <c r="A99" s="19">
        <v>95</v>
      </c>
      <c r="B99" s="20" t="s">
        <v>198</v>
      </c>
      <c r="C99" s="21" t="s">
        <v>199</v>
      </c>
      <c r="D99" s="16">
        <v>40</v>
      </c>
      <c r="E99" s="16">
        <v>3</v>
      </c>
      <c r="F99" s="22">
        <v>498</v>
      </c>
      <c r="G99" s="22">
        <f t="shared" si="19"/>
        <v>15497.76</v>
      </c>
      <c r="H99" s="22">
        <v>353</v>
      </c>
      <c r="I99" s="23">
        <f t="shared" si="20"/>
        <v>11440.73</v>
      </c>
      <c r="J99" s="22">
        <v>305</v>
      </c>
      <c r="K99" s="22">
        <f t="shared" si="21"/>
        <v>10068.049999999999</v>
      </c>
      <c r="L99" s="22"/>
      <c r="M99" s="24">
        <f t="shared" si="22"/>
        <v>0</v>
      </c>
      <c r="N99" s="23"/>
      <c r="O99" s="23">
        <f t="shared" si="23"/>
        <v>0</v>
      </c>
      <c r="P99" s="22">
        <v>430</v>
      </c>
      <c r="Q99" s="22">
        <f t="shared" si="24"/>
        <v>18060</v>
      </c>
      <c r="R99" s="25">
        <v>363</v>
      </c>
      <c r="S99" s="25">
        <f t="shared" si="25"/>
        <v>14048.1</v>
      </c>
      <c r="T99" s="25">
        <v>409</v>
      </c>
      <c r="U99" s="25">
        <f t="shared" si="26"/>
        <v>13783.300000000001</v>
      </c>
      <c r="V99" s="23">
        <v>502</v>
      </c>
      <c r="W99" s="23">
        <f t="shared" si="27"/>
        <v>16465.599999999999</v>
      </c>
      <c r="X99" s="23">
        <v>671</v>
      </c>
      <c r="Y99" s="23">
        <f t="shared" si="28"/>
        <v>23585.649999999998</v>
      </c>
      <c r="Z99" s="23">
        <v>525</v>
      </c>
      <c r="AA99" s="23">
        <f t="shared" si="29"/>
        <v>18196.5</v>
      </c>
      <c r="AB99" s="23"/>
      <c r="AC99" s="23">
        <f t="shared" si="30"/>
        <v>0</v>
      </c>
      <c r="AD99" s="23">
        <v>588</v>
      </c>
      <c r="AE99" s="23">
        <f t="shared" si="31"/>
        <v>20603.52</v>
      </c>
      <c r="AF99" s="26">
        <v>768</v>
      </c>
      <c r="AG99" s="26">
        <f t="shared" si="32"/>
        <v>26250.239999999998</v>
      </c>
      <c r="AH99" s="23">
        <v>559</v>
      </c>
      <c r="AI99" s="23">
        <f t="shared" si="33"/>
        <v>18614.699999999997</v>
      </c>
      <c r="AJ99" s="23">
        <v>688</v>
      </c>
      <c r="AK99" s="23">
        <f t="shared" si="34"/>
        <v>24733.600000000002</v>
      </c>
      <c r="AL99" s="26">
        <v>682</v>
      </c>
      <c r="AM99" s="26">
        <f t="shared" si="35"/>
        <v>25008.940000000002</v>
      </c>
      <c r="AN99" s="12">
        <f t="shared" si="36"/>
        <v>7341</v>
      </c>
      <c r="AO99" s="22">
        <f t="shared" si="37"/>
        <v>256356.68999999997</v>
      </c>
    </row>
    <row r="100" spans="1:41" s="31" customFormat="1" x14ac:dyDescent="0.5">
      <c r="A100" s="19">
        <v>96</v>
      </c>
      <c r="B100" s="27" t="s">
        <v>200</v>
      </c>
      <c r="C100" s="28" t="s">
        <v>201</v>
      </c>
      <c r="D100" s="16">
        <v>48</v>
      </c>
      <c r="E100" s="16">
        <v>3</v>
      </c>
      <c r="F100" s="22">
        <v>450</v>
      </c>
      <c r="G100" s="22">
        <f t="shared" si="19"/>
        <v>14004</v>
      </c>
      <c r="H100" s="22"/>
      <c r="I100" s="23">
        <f t="shared" si="20"/>
        <v>0</v>
      </c>
      <c r="J100" s="22"/>
      <c r="K100" s="22">
        <f t="shared" si="21"/>
        <v>0</v>
      </c>
      <c r="L100" s="29"/>
      <c r="M100" s="24">
        <f t="shared" si="22"/>
        <v>0</v>
      </c>
      <c r="N100" s="30"/>
      <c r="O100" s="23">
        <f t="shared" si="23"/>
        <v>0</v>
      </c>
      <c r="P100" s="22"/>
      <c r="Q100" s="22">
        <f t="shared" si="24"/>
        <v>0</v>
      </c>
      <c r="R100" s="25">
        <v>500</v>
      </c>
      <c r="S100" s="25">
        <f t="shared" si="25"/>
        <v>19350</v>
      </c>
      <c r="T100" s="25">
        <v>380</v>
      </c>
      <c r="U100" s="25">
        <f t="shared" si="26"/>
        <v>12806.000000000002</v>
      </c>
      <c r="V100" s="23"/>
      <c r="W100" s="23">
        <f t="shared" si="27"/>
        <v>0</v>
      </c>
      <c r="X100" s="23"/>
      <c r="Y100" s="23">
        <f t="shared" si="28"/>
        <v>0</v>
      </c>
      <c r="Z100" s="23"/>
      <c r="AA100" s="23">
        <f t="shared" si="29"/>
        <v>0</v>
      </c>
      <c r="AB100" s="23"/>
      <c r="AC100" s="23">
        <f t="shared" si="30"/>
        <v>0</v>
      </c>
      <c r="AD100" s="23"/>
      <c r="AE100" s="23">
        <f t="shared" si="31"/>
        <v>0</v>
      </c>
      <c r="AF100" s="26"/>
      <c r="AG100" s="26">
        <f t="shared" si="32"/>
        <v>0</v>
      </c>
      <c r="AH100" s="23"/>
      <c r="AI100" s="23">
        <f t="shared" si="33"/>
        <v>0</v>
      </c>
      <c r="AJ100" s="23"/>
      <c r="AK100" s="23">
        <f t="shared" si="34"/>
        <v>0</v>
      </c>
      <c r="AL100" s="23">
        <v>337</v>
      </c>
      <c r="AM100" s="26">
        <f t="shared" si="35"/>
        <v>12357.79</v>
      </c>
      <c r="AN100" s="12">
        <f t="shared" si="36"/>
        <v>1667</v>
      </c>
      <c r="AO100" s="22">
        <f t="shared" si="37"/>
        <v>58517.79</v>
      </c>
    </row>
    <row r="101" spans="1:41" s="31" customFormat="1" x14ac:dyDescent="0.5">
      <c r="A101" s="19">
        <v>97</v>
      </c>
      <c r="B101" s="27" t="s">
        <v>202</v>
      </c>
      <c r="C101" s="28" t="s">
        <v>203</v>
      </c>
      <c r="D101" s="16">
        <v>84</v>
      </c>
      <c r="E101" s="16">
        <v>3</v>
      </c>
      <c r="F101" s="22"/>
      <c r="G101" s="22">
        <f t="shared" si="19"/>
        <v>0</v>
      </c>
      <c r="H101" s="22"/>
      <c r="I101" s="23">
        <f t="shared" si="20"/>
        <v>0</v>
      </c>
      <c r="J101" s="22"/>
      <c r="K101" s="22">
        <f t="shared" si="21"/>
        <v>0</v>
      </c>
      <c r="L101" s="29"/>
      <c r="M101" s="24">
        <f t="shared" si="22"/>
        <v>0</v>
      </c>
      <c r="N101" s="30"/>
      <c r="O101" s="23">
        <f t="shared" si="23"/>
        <v>0</v>
      </c>
      <c r="P101" s="22"/>
      <c r="Q101" s="22">
        <f t="shared" si="24"/>
        <v>0</v>
      </c>
      <c r="R101" s="25"/>
      <c r="S101" s="25">
        <f t="shared" si="25"/>
        <v>0</v>
      </c>
      <c r="T101" s="25"/>
      <c r="U101" s="25">
        <f t="shared" si="26"/>
        <v>0</v>
      </c>
      <c r="V101" s="23"/>
      <c r="W101" s="23">
        <f t="shared" si="27"/>
        <v>0</v>
      </c>
      <c r="X101" s="23"/>
      <c r="Y101" s="23">
        <f t="shared" si="28"/>
        <v>0</v>
      </c>
      <c r="Z101" s="23"/>
      <c r="AA101" s="23">
        <f t="shared" si="29"/>
        <v>0</v>
      </c>
      <c r="AB101" s="23"/>
      <c r="AC101" s="23">
        <f t="shared" si="30"/>
        <v>0</v>
      </c>
      <c r="AD101" s="23"/>
      <c r="AE101" s="23">
        <f t="shared" si="31"/>
        <v>0</v>
      </c>
      <c r="AF101" s="26"/>
      <c r="AG101" s="26">
        <f t="shared" si="32"/>
        <v>0</v>
      </c>
      <c r="AH101" s="23"/>
      <c r="AI101" s="23">
        <f t="shared" si="33"/>
        <v>0</v>
      </c>
      <c r="AJ101" s="23"/>
      <c r="AK101" s="23">
        <f t="shared" si="34"/>
        <v>0</v>
      </c>
      <c r="AL101" s="23"/>
      <c r="AM101" s="26">
        <f t="shared" si="35"/>
        <v>0</v>
      </c>
      <c r="AN101" s="12">
        <f t="shared" si="36"/>
        <v>0</v>
      </c>
      <c r="AO101" s="22">
        <f t="shared" si="37"/>
        <v>0</v>
      </c>
    </row>
    <row r="102" spans="1:41" x14ac:dyDescent="0.5">
      <c r="A102" s="19">
        <v>98</v>
      </c>
      <c r="B102" s="27" t="s">
        <v>204</v>
      </c>
      <c r="C102" s="28" t="s">
        <v>205</v>
      </c>
      <c r="D102" s="16">
        <v>85</v>
      </c>
      <c r="E102" s="16">
        <v>3</v>
      </c>
      <c r="F102" s="22"/>
      <c r="G102" s="22">
        <f t="shared" si="19"/>
        <v>0</v>
      </c>
      <c r="H102" s="22"/>
      <c r="I102" s="23">
        <f t="shared" si="20"/>
        <v>0</v>
      </c>
      <c r="J102" s="22"/>
      <c r="K102" s="22">
        <f t="shared" si="21"/>
        <v>0</v>
      </c>
      <c r="L102" s="29"/>
      <c r="M102" s="24">
        <f t="shared" si="22"/>
        <v>0</v>
      </c>
      <c r="N102" s="30"/>
      <c r="O102" s="23">
        <f t="shared" si="23"/>
        <v>0</v>
      </c>
      <c r="P102" s="22"/>
      <c r="Q102" s="22">
        <f t="shared" si="24"/>
        <v>0</v>
      </c>
      <c r="R102" s="25"/>
      <c r="S102" s="25">
        <f t="shared" si="25"/>
        <v>0</v>
      </c>
      <c r="T102" s="25"/>
      <c r="U102" s="25">
        <f t="shared" si="26"/>
        <v>0</v>
      </c>
      <c r="V102" s="23"/>
      <c r="W102" s="23">
        <f t="shared" si="27"/>
        <v>0</v>
      </c>
      <c r="X102" s="23"/>
      <c r="Y102" s="23">
        <f t="shared" si="28"/>
        <v>0</v>
      </c>
      <c r="Z102" s="23"/>
      <c r="AA102" s="23">
        <f t="shared" si="29"/>
        <v>0</v>
      </c>
      <c r="AB102" s="23"/>
      <c r="AC102" s="23">
        <f t="shared" si="30"/>
        <v>0</v>
      </c>
      <c r="AD102" s="23"/>
      <c r="AE102" s="23">
        <f t="shared" si="31"/>
        <v>0</v>
      </c>
      <c r="AF102" s="26"/>
      <c r="AG102" s="26">
        <f t="shared" si="32"/>
        <v>0</v>
      </c>
      <c r="AH102" s="23"/>
      <c r="AI102" s="23">
        <f t="shared" si="33"/>
        <v>0</v>
      </c>
      <c r="AJ102" s="23"/>
      <c r="AK102" s="23">
        <f t="shared" si="34"/>
        <v>0</v>
      </c>
      <c r="AL102" s="23"/>
      <c r="AM102" s="26">
        <f t="shared" si="35"/>
        <v>0</v>
      </c>
      <c r="AN102" s="12">
        <f t="shared" si="36"/>
        <v>0</v>
      </c>
      <c r="AO102" s="22">
        <f t="shared" si="37"/>
        <v>0</v>
      </c>
    </row>
    <row r="103" spans="1:41" s="31" customFormat="1" x14ac:dyDescent="0.5">
      <c r="A103" s="19">
        <v>99</v>
      </c>
      <c r="B103" s="20" t="s">
        <v>206</v>
      </c>
      <c r="C103" s="21" t="s">
        <v>207</v>
      </c>
      <c r="D103" s="16">
        <v>99</v>
      </c>
      <c r="E103" s="16">
        <v>3</v>
      </c>
      <c r="F103" s="22">
        <v>911</v>
      </c>
      <c r="G103" s="22">
        <f t="shared" si="19"/>
        <v>28350.32</v>
      </c>
      <c r="H103" s="22">
        <v>526</v>
      </c>
      <c r="I103" s="23">
        <f t="shared" si="20"/>
        <v>17047.66</v>
      </c>
      <c r="J103" s="22"/>
      <c r="K103" s="22">
        <f t="shared" si="21"/>
        <v>0</v>
      </c>
      <c r="L103" s="22"/>
      <c r="M103" s="24">
        <f t="shared" si="22"/>
        <v>0</v>
      </c>
      <c r="N103" s="23"/>
      <c r="O103" s="23">
        <f t="shared" si="23"/>
        <v>0</v>
      </c>
      <c r="P103" s="22"/>
      <c r="Q103" s="22">
        <f t="shared" si="24"/>
        <v>0</v>
      </c>
      <c r="R103" s="25">
        <v>825</v>
      </c>
      <c r="S103" s="25">
        <f t="shared" si="25"/>
        <v>31927.500000000004</v>
      </c>
      <c r="T103" s="25">
        <v>622</v>
      </c>
      <c r="U103" s="25">
        <f t="shared" si="26"/>
        <v>20961.400000000001</v>
      </c>
      <c r="V103" s="23">
        <v>716</v>
      </c>
      <c r="W103" s="23">
        <f t="shared" si="27"/>
        <v>23484.799999999999</v>
      </c>
      <c r="X103" s="23">
        <v>699</v>
      </c>
      <c r="Y103" s="23">
        <f t="shared" si="28"/>
        <v>24569.85</v>
      </c>
      <c r="Z103" s="23">
        <v>485</v>
      </c>
      <c r="AA103" s="23">
        <f t="shared" si="29"/>
        <v>16810.099999999999</v>
      </c>
      <c r="AB103" s="23"/>
      <c r="AC103" s="23">
        <f t="shared" si="30"/>
        <v>0</v>
      </c>
      <c r="AD103" s="23">
        <v>992</v>
      </c>
      <c r="AE103" s="23">
        <f t="shared" si="31"/>
        <v>34759.68</v>
      </c>
      <c r="AF103" s="26">
        <v>1226</v>
      </c>
      <c r="AG103" s="26">
        <f t="shared" si="32"/>
        <v>41904.68</v>
      </c>
      <c r="AH103" s="23">
        <v>1404</v>
      </c>
      <c r="AI103" s="23">
        <f t="shared" si="33"/>
        <v>46753.2</v>
      </c>
      <c r="AJ103" s="23">
        <v>1388</v>
      </c>
      <c r="AK103" s="23">
        <f t="shared" si="34"/>
        <v>49898.600000000006</v>
      </c>
      <c r="AL103" s="26">
        <v>1367</v>
      </c>
      <c r="AM103" s="26">
        <f t="shared" si="35"/>
        <v>50127.89</v>
      </c>
      <c r="AN103" s="12">
        <f t="shared" si="36"/>
        <v>11161</v>
      </c>
      <c r="AO103" s="22">
        <f t="shared" si="37"/>
        <v>386595.68000000005</v>
      </c>
    </row>
    <row r="104" spans="1:41" x14ac:dyDescent="0.5">
      <c r="A104" s="19">
        <v>100</v>
      </c>
      <c r="B104" s="27" t="s">
        <v>208</v>
      </c>
      <c r="C104" s="28" t="s">
        <v>209</v>
      </c>
      <c r="D104" s="16">
        <v>177</v>
      </c>
      <c r="E104" s="16">
        <v>3</v>
      </c>
      <c r="F104" s="22">
        <v>3412</v>
      </c>
      <c r="G104" s="22">
        <f t="shared" si="19"/>
        <v>106181.44</v>
      </c>
      <c r="H104" s="22">
        <v>1151</v>
      </c>
      <c r="I104" s="23">
        <f t="shared" si="20"/>
        <v>37303.909999999996</v>
      </c>
      <c r="J104" s="22"/>
      <c r="K104" s="22">
        <f t="shared" si="21"/>
        <v>0</v>
      </c>
      <c r="L104" s="29"/>
      <c r="M104" s="24">
        <f t="shared" si="22"/>
        <v>0</v>
      </c>
      <c r="N104" s="30">
        <v>195</v>
      </c>
      <c r="O104" s="23">
        <f t="shared" si="23"/>
        <v>7458.75</v>
      </c>
      <c r="P104" s="22">
        <v>3019</v>
      </c>
      <c r="Q104" s="22">
        <f t="shared" si="24"/>
        <v>126798</v>
      </c>
      <c r="R104" s="25">
        <v>3040</v>
      </c>
      <c r="S104" s="25">
        <f t="shared" si="25"/>
        <v>117648.00000000001</v>
      </c>
      <c r="T104" s="25">
        <v>2371</v>
      </c>
      <c r="U104" s="25">
        <f t="shared" si="26"/>
        <v>79902.700000000012</v>
      </c>
      <c r="V104" s="23">
        <v>1944</v>
      </c>
      <c r="W104" s="23">
        <f t="shared" si="27"/>
        <v>63763.199999999997</v>
      </c>
      <c r="X104" s="23">
        <v>1638</v>
      </c>
      <c r="Y104" s="23">
        <f t="shared" si="28"/>
        <v>57575.7</v>
      </c>
      <c r="Z104" s="23">
        <v>2157</v>
      </c>
      <c r="AA104" s="23">
        <f t="shared" si="29"/>
        <v>74761.62</v>
      </c>
      <c r="AB104" s="23"/>
      <c r="AC104" s="23">
        <f t="shared" si="30"/>
        <v>0</v>
      </c>
      <c r="AD104" s="23">
        <v>1218</v>
      </c>
      <c r="AE104" s="23">
        <f t="shared" si="31"/>
        <v>42678.720000000001</v>
      </c>
      <c r="AF104" s="26"/>
      <c r="AG104" s="26">
        <f t="shared" si="32"/>
        <v>0</v>
      </c>
      <c r="AH104" s="23"/>
      <c r="AI104" s="23">
        <f t="shared" si="33"/>
        <v>0</v>
      </c>
      <c r="AJ104" s="23"/>
      <c r="AK104" s="23">
        <f t="shared" si="34"/>
        <v>0</v>
      </c>
      <c r="AL104" s="23"/>
      <c r="AM104" s="26">
        <f t="shared" si="35"/>
        <v>0</v>
      </c>
      <c r="AN104" s="12">
        <f t="shared" si="36"/>
        <v>20145</v>
      </c>
      <c r="AO104" s="22">
        <f t="shared" si="37"/>
        <v>714072.03999999992</v>
      </c>
    </row>
    <row r="105" spans="1:41" s="31" customFormat="1" x14ac:dyDescent="0.5">
      <c r="A105" s="19">
        <v>101</v>
      </c>
      <c r="B105" s="20" t="s">
        <v>210</v>
      </c>
      <c r="C105" s="21" t="s">
        <v>90</v>
      </c>
      <c r="D105" s="16">
        <v>192</v>
      </c>
      <c r="E105" s="16">
        <v>3</v>
      </c>
      <c r="F105" s="22">
        <v>394</v>
      </c>
      <c r="G105" s="22">
        <f t="shared" si="19"/>
        <v>12261.28</v>
      </c>
      <c r="H105" s="22"/>
      <c r="I105" s="23">
        <f t="shared" si="20"/>
        <v>0</v>
      </c>
      <c r="J105" s="22"/>
      <c r="K105" s="22">
        <f t="shared" si="21"/>
        <v>0</v>
      </c>
      <c r="L105" s="22">
        <v>604</v>
      </c>
      <c r="M105" s="24">
        <f t="shared" si="22"/>
        <v>21212.48</v>
      </c>
      <c r="N105" s="23">
        <v>892</v>
      </c>
      <c r="O105" s="23">
        <f t="shared" si="23"/>
        <v>34119</v>
      </c>
      <c r="P105" s="22">
        <v>702</v>
      </c>
      <c r="Q105" s="22">
        <f t="shared" si="24"/>
        <v>29484</v>
      </c>
      <c r="R105" s="25">
        <v>615</v>
      </c>
      <c r="S105" s="25">
        <f t="shared" si="25"/>
        <v>23800.5</v>
      </c>
      <c r="T105" s="25">
        <v>578</v>
      </c>
      <c r="U105" s="25">
        <f t="shared" si="26"/>
        <v>19478.600000000002</v>
      </c>
      <c r="V105" s="23">
        <v>661</v>
      </c>
      <c r="W105" s="23">
        <f t="shared" si="27"/>
        <v>21680.799999999999</v>
      </c>
      <c r="X105" s="23">
        <v>664</v>
      </c>
      <c r="Y105" s="23">
        <f t="shared" si="28"/>
        <v>23339.599999999999</v>
      </c>
      <c r="Z105" s="23">
        <v>510</v>
      </c>
      <c r="AA105" s="23">
        <f t="shared" si="29"/>
        <v>17676.599999999999</v>
      </c>
      <c r="AB105" s="23"/>
      <c r="AC105" s="23">
        <f t="shared" si="30"/>
        <v>0</v>
      </c>
      <c r="AD105" s="23">
        <v>820</v>
      </c>
      <c r="AE105" s="23">
        <f t="shared" si="31"/>
        <v>28732.799999999999</v>
      </c>
      <c r="AF105" s="26">
        <v>848</v>
      </c>
      <c r="AG105" s="26">
        <f t="shared" si="32"/>
        <v>28984.639999999999</v>
      </c>
      <c r="AH105" s="23">
        <v>609</v>
      </c>
      <c r="AI105" s="23">
        <f t="shared" si="33"/>
        <v>20279.699999999997</v>
      </c>
      <c r="AJ105" s="23">
        <v>685</v>
      </c>
      <c r="AK105" s="23">
        <f t="shared" si="34"/>
        <v>24625.750000000004</v>
      </c>
      <c r="AL105" s="26">
        <v>586</v>
      </c>
      <c r="AM105" s="26">
        <f t="shared" si="35"/>
        <v>21488.620000000003</v>
      </c>
      <c r="AN105" s="12">
        <f t="shared" si="36"/>
        <v>9168</v>
      </c>
      <c r="AO105" s="22">
        <f t="shared" si="37"/>
        <v>327164.37</v>
      </c>
    </row>
    <row r="106" spans="1:41" x14ac:dyDescent="0.5">
      <c r="A106" s="19">
        <v>102</v>
      </c>
      <c r="B106" s="27" t="s">
        <v>211</v>
      </c>
      <c r="C106" s="28" t="s">
        <v>212</v>
      </c>
      <c r="D106" s="16">
        <v>255</v>
      </c>
      <c r="E106" s="16">
        <v>3</v>
      </c>
      <c r="F106" s="22"/>
      <c r="G106" s="22">
        <f t="shared" si="19"/>
        <v>0</v>
      </c>
      <c r="H106" s="22"/>
      <c r="I106" s="23">
        <f t="shared" si="20"/>
        <v>0</v>
      </c>
      <c r="J106" s="22"/>
      <c r="K106" s="22">
        <f t="shared" si="21"/>
        <v>0</v>
      </c>
      <c r="L106" s="22"/>
      <c r="M106" s="24">
        <f t="shared" si="22"/>
        <v>0</v>
      </c>
      <c r="N106" s="23"/>
      <c r="O106" s="23">
        <f t="shared" si="23"/>
        <v>0</v>
      </c>
      <c r="P106" s="22"/>
      <c r="Q106" s="22">
        <f t="shared" si="24"/>
        <v>0</v>
      </c>
      <c r="R106" s="25"/>
      <c r="S106" s="25">
        <f t="shared" si="25"/>
        <v>0</v>
      </c>
      <c r="T106" s="25"/>
      <c r="U106" s="25">
        <f t="shared" si="26"/>
        <v>0</v>
      </c>
      <c r="V106" s="23"/>
      <c r="W106" s="23">
        <f t="shared" si="27"/>
        <v>0</v>
      </c>
      <c r="X106" s="23"/>
      <c r="Y106" s="23">
        <f t="shared" si="28"/>
        <v>0</v>
      </c>
      <c r="Z106" s="23"/>
      <c r="AA106" s="23">
        <f t="shared" si="29"/>
        <v>0</v>
      </c>
      <c r="AB106" s="23"/>
      <c r="AC106" s="23">
        <f t="shared" si="30"/>
        <v>0</v>
      </c>
      <c r="AD106" s="23"/>
      <c r="AE106" s="23">
        <f t="shared" si="31"/>
        <v>0</v>
      </c>
      <c r="AF106" s="26"/>
      <c r="AG106" s="26">
        <f t="shared" si="32"/>
        <v>0</v>
      </c>
      <c r="AH106" s="23"/>
      <c r="AI106" s="23">
        <f t="shared" si="33"/>
        <v>0</v>
      </c>
      <c r="AJ106" s="23"/>
      <c r="AK106" s="23">
        <f t="shared" si="34"/>
        <v>0</v>
      </c>
      <c r="AL106" s="23"/>
      <c r="AM106" s="26">
        <f t="shared" si="35"/>
        <v>0</v>
      </c>
      <c r="AN106" s="12">
        <f t="shared" si="36"/>
        <v>0</v>
      </c>
      <c r="AO106" s="22">
        <f t="shared" si="37"/>
        <v>0</v>
      </c>
    </row>
    <row r="107" spans="1:41" x14ac:dyDescent="0.5">
      <c r="A107" s="19">
        <v>103</v>
      </c>
      <c r="B107" s="20" t="s">
        <v>213</v>
      </c>
      <c r="C107" s="21" t="s">
        <v>214</v>
      </c>
      <c r="D107" s="16">
        <v>258</v>
      </c>
      <c r="E107" s="16">
        <v>3</v>
      </c>
      <c r="F107" s="22"/>
      <c r="G107" s="22">
        <f t="shared" si="19"/>
        <v>0</v>
      </c>
      <c r="H107" s="22"/>
      <c r="I107" s="23">
        <f t="shared" si="20"/>
        <v>0</v>
      </c>
      <c r="J107" s="22"/>
      <c r="K107" s="22">
        <f t="shared" si="21"/>
        <v>0</v>
      </c>
      <c r="L107" s="22"/>
      <c r="M107" s="24">
        <f t="shared" si="22"/>
        <v>0</v>
      </c>
      <c r="N107" s="23"/>
      <c r="O107" s="23">
        <f t="shared" si="23"/>
        <v>0</v>
      </c>
      <c r="P107" s="22"/>
      <c r="Q107" s="22">
        <f t="shared" si="24"/>
        <v>0</v>
      </c>
      <c r="R107" s="25"/>
      <c r="S107" s="25">
        <f t="shared" si="25"/>
        <v>0</v>
      </c>
      <c r="T107" s="25"/>
      <c r="U107" s="25">
        <f t="shared" si="26"/>
        <v>0</v>
      </c>
      <c r="V107" s="23"/>
      <c r="W107" s="23">
        <f t="shared" si="27"/>
        <v>0</v>
      </c>
      <c r="X107" s="23"/>
      <c r="Y107" s="23">
        <f t="shared" si="28"/>
        <v>0</v>
      </c>
      <c r="Z107" s="23"/>
      <c r="AA107" s="23">
        <f t="shared" si="29"/>
        <v>0</v>
      </c>
      <c r="AB107" s="23"/>
      <c r="AC107" s="23">
        <f t="shared" si="30"/>
        <v>0</v>
      </c>
      <c r="AD107" s="23"/>
      <c r="AE107" s="23">
        <f t="shared" si="31"/>
        <v>0</v>
      </c>
      <c r="AF107" s="26"/>
      <c r="AG107" s="26">
        <f t="shared" si="32"/>
        <v>0</v>
      </c>
      <c r="AH107" s="23"/>
      <c r="AI107" s="23">
        <f t="shared" si="33"/>
        <v>0</v>
      </c>
      <c r="AJ107" s="23"/>
      <c r="AK107" s="23">
        <f t="shared" si="34"/>
        <v>0</v>
      </c>
      <c r="AL107" s="26"/>
      <c r="AM107" s="26">
        <f t="shared" si="35"/>
        <v>0</v>
      </c>
      <c r="AN107" s="12">
        <f t="shared" si="36"/>
        <v>0</v>
      </c>
      <c r="AO107" s="22">
        <f t="shared" si="37"/>
        <v>0</v>
      </c>
    </row>
    <row r="108" spans="1:41" x14ac:dyDescent="0.5">
      <c r="A108" s="19">
        <v>104</v>
      </c>
      <c r="B108" s="27" t="s">
        <v>215</v>
      </c>
      <c r="C108" s="28" t="s">
        <v>216</v>
      </c>
      <c r="D108" s="16">
        <v>287</v>
      </c>
      <c r="E108" s="16">
        <v>3</v>
      </c>
      <c r="F108" s="22"/>
      <c r="G108" s="22">
        <f t="shared" si="19"/>
        <v>0</v>
      </c>
      <c r="H108" s="22"/>
      <c r="I108" s="23">
        <f t="shared" si="20"/>
        <v>0</v>
      </c>
      <c r="J108" s="22">
        <v>436</v>
      </c>
      <c r="K108" s="22">
        <f t="shared" si="21"/>
        <v>14392.359999999999</v>
      </c>
      <c r="L108" s="29"/>
      <c r="M108" s="24">
        <f t="shared" si="22"/>
        <v>0</v>
      </c>
      <c r="N108" s="30"/>
      <c r="O108" s="23">
        <f t="shared" si="23"/>
        <v>0</v>
      </c>
      <c r="P108" s="22">
        <v>522</v>
      </c>
      <c r="Q108" s="22">
        <f t="shared" si="24"/>
        <v>21924</v>
      </c>
      <c r="R108" s="25">
        <v>1568</v>
      </c>
      <c r="S108" s="25">
        <f t="shared" si="25"/>
        <v>60681.600000000006</v>
      </c>
      <c r="T108" s="25"/>
      <c r="U108" s="25">
        <f t="shared" si="26"/>
        <v>0</v>
      </c>
      <c r="V108" s="23"/>
      <c r="W108" s="23">
        <f t="shared" si="27"/>
        <v>0</v>
      </c>
      <c r="X108" s="23"/>
      <c r="Y108" s="23">
        <f t="shared" si="28"/>
        <v>0</v>
      </c>
      <c r="Z108" s="23"/>
      <c r="AA108" s="23">
        <f t="shared" si="29"/>
        <v>0</v>
      </c>
      <c r="AB108" s="23"/>
      <c r="AC108" s="23">
        <f t="shared" si="30"/>
        <v>0</v>
      </c>
      <c r="AD108" s="23"/>
      <c r="AE108" s="23">
        <f t="shared" si="31"/>
        <v>0</v>
      </c>
      <c r="AF108" s="26"/>
      <c r="AG108" s="26">
        <f t="shared" si="32"/>
        <v>0</v>
      </c>
      <c r="AH108" s="23"/>
      <c r="AI108" s="23">
        <f t="shared" si="33"/>
        <v>0</v>
      </c>
      <c r="AJ108" s="23"/>
      <c r="AK108" s="23">
        <f t="shared" si="34"/>
        <v>0</v>
      </c>
      <c r="AL108" s="23"/>
      <c r="AM108" s="26">
        <f t="shared" si="35"/>
        <v>0</v>
      </c>
      <c r="AN108" s="12">
        <f t="shared" si="36"/>
        <v>2526</v>
      </c>
      <c r="AO108" s="22">
        <f t="shared" si="37"/>
        <v>96997.96</v>
      </c>
    </row>
    <row r="109" spans="1:41" s="31" customFormat="1" x14ac:dyDescent="0.5">
      <c r="A109" s="19">
        <v>105</v>
      </c>
      <c r="B109" s="20" t="s">
        <v>217</v>
      </c>
      <c r="C109" s="21" t="s">
        <v>218</v>
      </c>
      <c r="D109" s="16">
        <v>308</v>
      </c>
      <c r="E109" s="16">
        <v>3</v>
      </c>
      <c r="F109" s="22">
        <v>2141</v>
      </c>
      <c r="G109" s="22">
        <f t="shared" si="19"/>
        <v>66627.92</v>
      </c>
      <c r="H109" s="22">
        <v>363</v>
      </c>
      <c r="I109" s="23">
        <f t="shared" si="20"/>
        <v>11764.829999999998</v>
      </c>
      <c r="J109" s="22"/>
      <c r="K109" s="22">
        <f t="shared" si="21"/>
        <v>0</v>
      </c>
      <c r="L109" s="22"/>
      <c r="M109" s="24">
        <f t="shared" si="22"/>
        <v>0</v>
      </c>
      <c r="N109" s="23"/>
      <c r="O109" s="23">
        <f t="shared" si="23"/>
        <v>0</v>
      </c>
      <c r="P109" s="22">
        <v>1528</v>
      </c>
      <c r="Q109" s="22">
        <f t="shared" si="24"/>
        <v>64176</v>
      </c>
      <c r="R109" s="25">
        <v>1431</v>
      </c>
      <c r="S109" s="25">
        <f t="shared" si="25"/>
        <v>55379.700000000004</v>
      </c>
      <c r="T109" s="25">
        <v>1415</v>
      </c>
      <c r="U109" s="25">
        <f t="shared" si="26"/>
        <v>47685.500000000007</v>
      </c>
      <c r="V109" s="23">
        <v>1582</v>
      </c>
      <c r="W109" s="23">
        <f t="shared" si="27"/>
        <v>51889.599999999999</v>
      </c>
      <c r="X109" s="23">
        <v>1542</v>
      </c>
      <c r="Y109" s="23">
        <f t="shared" si="28"/>
        <v>54201.299999999996</v>
      </c>
      <c r="Z109" s="23">
        <v>1112</v>
      </c>
      <c r="AA109" s="23">
        <f t="shared" si="29"/>
        <v>38541.919999999998</v>
      </c>
      <c r="AB109" s="23"/>
      <c r="AC109" s="23">
        <f t="shared" si="30"/>
        <v>0</v>
      </c>
      <c r="AD109" s="23">
        <v>1510</v>
      </c>
      <c r="AE109" s="23">
        <f t="shared" si="31"/>
        <v>52910.400000000001</v>
      </c>
      <c r="AF109" s="26">
        <v>2014</v>
      </c>
      <c r="AG109" s="26">
        <f t="shared" si="32"/>
        <v>68838.52</v>
      </c>
      <c r="AH109" s="23">
        <v>1364</v>
      </c>
      <c r="AI109" s="23">
        <f t="shared" si="33"/>
        <v>45421.2</v>
      </c>
      <c r="AJ109" s="23">
        <v>1860</v>
      </c>
      <c r="AK109" s="23">
        <f t="shared" si="34"/>
        <v>66867</v>
      </c>
      <c r="AL109" s="26">
        <v>1822</v>
      </c>
      <c r="AM109" s="26">
        <f t="shared" si="35"/>
        <v>66812.740000000005</v>
      </c>
      <c r="AN109" s="12">
        <f t="shared" si="36"/>
        <v>19684</v>
      </c>
      <c r="AO109" s="22">
        <f t="shared" si="37"/>
        <v>691116.63</v>
      </c>
    </row>
    <row r="110" spans="1:41" x14ac:dyDescent="0.5">
      <c r="A110" s="19">
        <v>106</v>
      </c>
      <c r="B110" s="27" t="s">
        <v>219</v>
      </c>
      <c r="C110" s="28" t="s">
        <v>220</v>
      </c>
      <c r="D110" s="16">
        <v>327</v>
      </c>
      <c r="E110" s="16">
        <v>3</v>
      </c>
      <c r="F110" s="22"/>
      <c r="G110" s="22">
        <f t="shared" si="19"/>
        <v>0</v>
      </c>
      <c r="H110" s="22"/>
      <c r="I110" s="23">
        <f t="shared" si="20"/>
        <v>0</v>
      </c>
      <c r="J110" s="22"/>
      <c r="K110" s="22">
        <f t="shared" si="21"/>
        <v>0</v>
      </c>
      <c r="L110" s="22"/>
      <c r="M110" s="24">
        <f t="shared" si="22"/>
        <v>0</v>
      </c>
      <c r="N110" s="23"/>
      <c r="O110" s="23">
        <f t="shared" si="23"/>
        <v>0</v>
      </c>
      <c r="P110" s="22"/>
      <c r="Q110" s="22">
        <f t="shared" si="24"/>
        <v>0</v>
      </c>
      <c r="R110" s="25"/>
      <c r="S110" s="25">
        <f t="shared" si="25"/>
        <v>0</v>
      </c>
      <c r="T110" s="25"/>
      <c r="U110" s="25">
        <f t="shared" si="26"/>
        <v>0</v>
      </c>
      <c r="V110" s="23"/>
      <c r="W110" s="23">
        <f t="shared" si="27"/>
        <v>0</v>
      </c>
      <c r="X110" s="23"/>
      <c r="Y110" s="23">
        <f t="shared" si="28"/>
        <v>0</v>
      </c>
      <c r="Z110" s="23"/>
      <c r="AA110" s="23">
        <f t="shared" si="29"/>
        <v>0</v>
      </c>
      <c r="AB110" s="23"/>
      <c r="AC110" s="23">
        <f t="shared" si="30"/>
        <v>0</v>
      </c>
      <c r="AD110" s="23"/>
      <c r="AE110" s="23">
        <f t="shared" si="31"/>
        <v>0</v>
      </c>
      <c r="AF110" s="26"/>
      <c r="AG110" s="26">
        <f t="shared" si="32"/>
        <v>0</v>
      </c>
      <c r="AH110" s="23"/>
      <c r="AI110" s="23">
        <f t="shared" si="33"/>
        <v>0</v>
      </c>
      <c r="AJ110" s="23"/>
      <c r="AK110" s="23">
        <f t="shared" si="34"/>
        <v>0</v>
      </c>
      <c r="AL110" s="23"/>
      <c r="AM110" s="26">
        <f t="shared" si="35"/>
        <v>0</v>
      </c>
      <c r="AN110" s="12">
        <f t="shared" si="36"/>
        <v>0</v>
      </c>
      <c r="AO110" s="22">
        <f t="shared" si="37"/>
        <v>0</v>
      </c>
    </row>
    <row r="111" spans="1:41" x14ac:dyDescent="0.5">
      <c r="A111" s="19">
        <v>107</v>
      </c>
      <c r="B111" s="20" t="s">
        <v>221</v>
      </c>
      <c r="C111" s="21" t="s">
        <v>222</v>
      </c>
      <c r="D111" s="16">
        <v>333</v>
      </c>
      <c r="E111" s="16">
        <v>3</v>
      </c>
      <c r="F111" s="22">
        <v>1183</v>
      </c>
      <c r="G111" s="22">
        <f t="shared" si="19"/>
        <v>36814.959999999999</v>
      </c>
      <c r="H111" s="22">
        <v>932</v>
      </c>
      <c r="I111" s="23">
        <f t="shared" si="20"/>
        <v>30206.119999999995</v>
      </c>
      <c r="J111" s="22">
        <v>774</v>
      </c>
      <c r="K111" s="22">
        <f t="shared" si="21"/>
        <v>25549.739999999998</v>
      </c>
      <c r="L111" s="22">
        <v>542</v>
      </c>
      <c r="M111" s="24">
        <f t="shared" si="22"/>
        <v>19035.039999999997</v>
      </c>
      <c r="N111" s="23">
        <v>234</v>
      </c>
      <c r="O111" s="23">
        <f t="shared" si="23"/>
        <v>8950.5</v>
      </c>
      <c r="P111" s="22">
        <v>944</v>
      </c>
      <c r="Q111" s="22">
        <f t="shared" si="24"/>
        <v>39648</v>
      </c>
      <c r="R111" s="25">
        <v>1096</v>
      </c>
      <c r="S111" s="25">
        <f t="shared" si="25"/>
        <v>42415.200000000004</v>
      </c>
      <c r="T111" s="25">
        <v>924</v>
      </c>
      <c r="U111" s="25">
        <f t="shared" si="26"/>
        <v>31138.800000000003</v>
      </c>
      <c r="V111" s="23">
        <v>1132</v>
      </c>
      <c r="W111" s="23">
        <f t="shared" si="27"/>
        <v>37129.599999999999</v>
      </c>
      <c r="X111" s="23">
        <v>785</v>
      </c>
      <c r="Y111" s="23">
        <f t="shared" si="28"/>
        <v>27592.75</v>
      </c>
      <c r="Z111" s="23"/>
      <c r="AA111" s="23">
        <f t="shared" si="29"/>
        <v>0</v>
      </c>
      <c r="AB111" s="23"/>
      <c r="AC111" s="23">
        <f t="shared" si="30"/>
        <v>0</v>
      </c>
      <c r="AD111" s="23">
        <v>1210</v>
      </c>
      <c r="AE111" s="23">
        <f t="shared" si="31"/>
        <v>42398.400000000001</v>
      </c>
      <c r="AF111" s="26">
        <v>1207</v>
      </c>
      <c r="AG111" s="26">
        <f t="shared" si="32"/>
        <v>41255.26</v>
      </c>
      <c r="AH111" s="23">
        <v>1011</v>
      </c>
      <c r="AI111" s="23">
        <f t="shared" si="33"/>
        <v>33666.299999999996</v>
      </c>
      <c r="AJ111" s="23">
        <v>1165</v>
      </c>
      <c r="AK111" s="23">
        <f t="shared" si="34"/>
        <v>41881.75</v>
      </c>
      <c r="AL111" s="26">
        <v>1567</v>
      </c>
      <c r="AM111" s="26">
        <f t="shared" si="35"/>
        <v>57461.89</v>
      </c>
      <c r="AN111" s="12">
        <f t="shared" si="36"/>
        <v>14706</v>
      </c>
      <c r="AO111" s="22">
        <f t="shared" si="37"/>
        <v>515144.31</v>
      </c>
    </row>
    <row r="112" spans="1:41" x14ac:dyDescent="0.5">
      <c r="A112" s="19">
        <v>108</v>
      </c>
      <c r="B112" s="20" t="s">
        <v>223</v>
      </c>
      <c r="C112" s="21" t="s">
        <v>224</v>
      </c>
      <c r="D112" s="16">
        <v>392</v>
      </c>
      <c r="E112" s="16">
        <v>3</v>
      </c>
      <c r="F112" s="22"/>
      <c r="G112" s="22">
        <f t="shared" si="19"/>
        <v>0</v>
      </c>
      <c r="H112" s="22"/>
      <c r="I112" s="23">
        <f t="shared" si="20"/>
        <v>0</v>
      </c>
      <c r="J112" s="22"/>
      <c r="K112" s="22">
        <f t="shared" si="21"/>
        <v>0</v>
      </c>
      <c r="L112" s="29"/>
      <c r="M112" s="24">
        <f t="shared" si="22"/>
        <v>0</v>
      </c>
      <c r="N112" s="30"/>
      <c r="O112" s="23">
        <f t="shared" si="23"/>
        <v>0</v>
      </c>
      <c r="P112" s="22"/>
      <c r="Q112" s="22">
        <f t="shared" si="24"/>
        <v>0</v>
      </c>
      <c r="R112" s="25"/>
      <c r="S112" s="25">
        <f t="shared" si="25"/>
        <v>0</v>
      </c>
      <c r="T112" s="25"/>
      <c r="U112" s="25">
        <f t="shared" si="26"/>
        <v>0</v>
      </c>
      <c r="V112" s="23"/>
      <c r="W112" s="23">
        <f t="shared" si="27"/>
        <v>0</v>
      </c>
      <c r="X112" s="23"/>
      <c r="Y112" s="23">
        <f t="shared" si="28"/>
        <v>0</v>
      </c>
      <c r="Z112" s="23"/>
      <c r="AA112" s="23">
        <f t="shared" si="29"/>
        <v>0</v>
      </c>
      <c r="AB112" s="23"/>
      <c r="AC112" s="23">
        <f t="shared" si="30"/>
        <v>0</v>
      </c>
      <c r="AD112" s="23"/>
      <c r="AE112" s="23">
        <f t="shared" si="31"/>
        <v>0</v>
      </c>
      <c r="AF112" s="26"/>
      <c r="AG112" s="26">
        <f t="shared" si="32"/>
        <v>0</v>
      </c>
      <c r="AH112" s="23"/>
      <c r="AI112" s="23">
        <f t="shared" si="33"/>
        <v>0</v>
      </c>
      <c r="AJ112" s="23"/>
      <c r="AK112" s="23">
        <f t="shared" si="34"/>
        <v>0</v>
      </c>
      <c r="AL112" s="26"/>
      <c r="AM112" s="26">
        <f t="shared" si="35"/>
        <v>0</v>
      </c>
      <c r="AN112" s="12">
        <f t="shared" si="36"/>
        <v>0</v>
      </c>
      <c r="AO112" s="22">
        <f t="shared" si="37"/>
        <v>0</v>
      </c>
    </row>
    <row r="113" spans="1:41" x14ac:dyDescent="0.5">
      <c r="A113" s="19">
        <v>109</v>
      </c>
      <c r="B113" s="20" t="s">
        <v>225</v>
      </c>
      <c r="C113" s="21" t="s">
        <v>226</v>
      </c>
      <c r="D113" s="16">
        <v>397</v>
      </c>
      <c r="E113" s="16">
        <v>3</v>
      </c>
      <c r="F113" s="22">
        <v>702</v>
      </c>
      <c r="G113" s="22">
        <f t="shared" si="19"/>
        <v>21846.240000000002</v>
      </c>
      <c r="H113" s="22">
        <v>523</v>
      </c>
      <c r="I113" s="23">
        <f t="shared" si="20"/>
        <v>16950.429999999997</v>
      </c>
      <c r="J113" s="22">
        <v>508</v>
      </c>
      <c r="K113" s="22">
        <f t="shared" si="21"/>
        <v>16769.079999999998</v>
      </c>
      <c r="L113" s="29"/>
      <c r="M113" s="24">
        <f t="shared" si="22"/>
        <v>0</v>
      </c>
      <c r="N113" s="30">
        <v>496</v>
      </c>
      <c r="O113" s="23">
        <f t="shared" si="23"/>
        <v>18972</v>
      </c>
      <c r="P113" s="22">
        <v>736</v>
      </c>
      <c r="Q113" s="22">
        <f t="shared" si="24"/>
        <v>30912</v>
      </c>
      <c r="R113" s="25">
        <v>566</v>
      </c>
      <c r="S113" s="25">
        <f t="shared" si="25"/>
        <v>21904.2</v>
      </c>
      <c r="T113" s="25">
        <v>748</v>
      </c>
      <c r="U113" s="25">
        <f t="shared" si="26"/>
        <v>25207.600000000002</v>
      </c>
      <c r="V113" s="23">
        <v>735</v>
      </c>
      <c r="W113" s="23">
        <f t="shared" si="27"/>
        <v>24107.999999999996</v>
      </c>
      <c r="X113" s="23">
        <v>812</v>
      </c>
      <c r="Y113" s="23">
        <f t="shared" si="28"/>
        <v>28541.8</v>
      </c>
      <c r="Z113" s="23"/>
      <c r="AA113" s="23">
        <f t="shared" si="29"/>
        <v>0</v>
      </c>
      <c r="AB113" s="23"/>
      <c r="AC113" s="23">
        <f t="shared" si="30"/>
        <v>0</v>
      </c>
      <c r="AD113" s="23">
        <v>681</v>
      </c>
      <c r="AE113" s="23">
        <f t="shared" si="31"/>
        <v>23862.239999999998</v>
      </c>
      <c r="AF113" s="26">
        <v>909</v>
      </c>
      <c r="AG113" s="26">
        <f t="shared" si="32"/>
        <v>31069.62</v>
      </c>
      <c r="AH113" s="23">
        <v>736</v>
      </c>
      <c r="AI113" s="23">
        <f t="shared" si="33"/>
        <v>24508.799999999999</v>
      </c>
      <c r="AJ113" s="23"/>
      <c r="AK113" s="23">
        <f t="shared" si="34"/>
        <v>0</v>
      </c>
      <c r="AL113" s="26">
        <v>751</v>
      </c>
      <c r="AM113" s="26">
        <f t="shared" si="35"/>
        <v>27539.170000000002</v>
      </c>
      <c r="AN113" s="12">
        <f t="shared" si="36"/>
        <v>8903</v>
      </c>
      <c r="AO113" s="22">
        <f t="shared" si="37"/>
        <v>312191.17999999993</v>
      </c>
    </row>
    <row r="114" spans="1:41" x14ac:dyDescent="0.5">
      <c r="A114" s="19">
        <v>110</v>
      </c>
      <c r="B114" s="20" t="s">
        <v>227</v>
      </c>
      <c r="C114" s="21" t="s">
        <v>228</v>
      </c>
      <c r="D114" s="16">
        <v>607</v>
      </c>
      <c r="E114" s="16">
        <v>3</v>
      </c>
      <c r="F114" s="22">
        <v>280</v>
      </c>
      <c r="G114" s="22">
        <f t="shared" si="19"/>
        <v>8713.6</v>
      </c>
      <c r="H114" s="22">
        <v>241</v>
      </c>
      <c r="I114" s="23">
        <f t="shared" si="20"/>
        <v>7810.8099999999995</v>
      </c>
      <c r="J114" s="22">
        <v>198</v>
      </c>
      <c r="K114" s="22">
        <f t="shared" si="21"/>
        <v>6535.98</v>
      </c>
      <c r="L114" s="29">
        <v>212</v>
      </c>
      <c r="M114" s="24">
        <f t="shared" si="22"/>
        <v>7445.44</v>
      </c>
      <c r="N114" s="30">
        <v>653</v>
      </c>
      <c r="O114" s="23">
        <f t="shared" si="23"/>
        <v>24977.25</v>
      </c>
      <c r="P114" s="22">
        <v>309</v>
      </c>
      <c r="Q114" s="22">
        <f t="shared" si="24"/>
        <v>12978</v>
      </c>
      <c r="R114" s="25">
        <v>201</v>
      </c>
      <c r="S114" s="25">
        <f t="shared" si="25"/>
        <v>7778.7000000000007</v>
      </c>
      <c r="T114" s="25">
        <v>462</v>
      </c>
      <c r="U114" s="25">
        <f t="shared" si="26"/>
        <v>15569.400000000001</v>
      </c>
      <c r="V114" s="23">
        <v>371</v>
      </c>
      <c r="W114" s="23">
        <f t="shared" si="27"/>
        <v>12168.8</v>
      </c>
      <c r="X114" s="23">
        <v>405</v>
      </c>
      <c r="Y114" s="23">
        <f t="shared" si="28"/>
        <v>14235.75</v>
      </c>
      <c r="Z114" s="23">
        <v>387</v>
      </c>
      <c r="AA114" s="23">
        <f t="shared" si="29"/>
        <v>13413.419999999998</v>
      </c>
      <c r="AB114" s="23">
        <v>305</v>
      </c>
      <c r="AC114" s="23">
        <f t="shared" si="30"/>
        <v>10995.25</v>
      </c>
      <c r="AD114" s="23">
        <v>368</v>
      </c>
      <c r="AE114" s="23">
        <f t="shared" si="31"/>
        <v>12894.72</v>
      </c>
      <c r="AF114" s="26">
        <v>313</v>
      </c>
      <c r="AG114" s="26">
        <f t="shared" si="32"/>
        <v>10698.34</v>
      </c>
      <c r="AH114" s="23">
        <v>305</v>
      </c>
      <c r="AI114" s="23">
        <f t="shared" si="33"/>
        <v>10156.5</v>
      </c>
      <c r="AJ114" s="23">
        <v>448</v>
      </c>
      <c r="AK114" s="23">
        <f t="shared" si="34"/>
        <v>16105.600000000002</v>
      </c>
      <c r="AL114" s="26">
        <v>410</v>
      </c>
      <c r="AM114" s="26">
        <f t="shared" si="35"/>
        <v>15034.7</v>
      </c>
      <c r="AN114" s="12">
        <f t="shared" si="36"/>
        <v>5868</v>
      </c>
      <c r="AO114" s="22">
        <f t="shared" si="37"/>
        <v>207512.26</v>
      </c>
    </row>
    <row r="115" spans="1:41" x14ac:dyDescent="0.5">
      <c r="A115" s="19">
        <v>111</v>
      </c>
      <c r="B115" s="20" t="s">
        <v>229</v>
      </c>
      <c r="C115" s="21" t="s">
        <v>230</v>
      </c>
      <c r="D115" s="16">
        <v>625</v>
      </c>
      <c r="E115" s="16">
        <v>3</v>
      </c>
      <c r="F115" s="22"/>
      <c r="G115" s="22">
        <f t="shared" si="19"/>
        <v>0</v>
      </c>
      <c r="H115" s="22"/>
      <c r="I115" s="23">
        <f t="shared" si="20"/>
        <v>0</v>
      </c>
      <c r="J115" s="22"/>
      <c r="K115" s="22">
        <f t="shared" si="21"/>
        <v>0</v>
      </c>
      <c r="L115" s="29"/>
      <c r="M115" s="24">
        <f t="shared" si="22"/>
        <v>0</v>
      </c>
      <c r="N115" s="30"/>
      <c r="O115" s="23">
        <f t="shared" si="23"/>
        <v>0</v>
      </c>
      <c r="P115" s="22"/>
      <c r="Q115" s="22">
        <f t="shared" si="24"/>
        <v>0</v>
      </c>
      <c r="R115" s="25"/>
      <c r="S115" s="25">
        <f t="shared" si="25"/>
        <v>0</v>
      </c>
      <c r="T115" s="25"/>
      <c r="U115" s="25">
        <f t="shared" si="26"/>
        <v>0</v>
      </c>
      <c r="V115" s="23"/>
      <c r="W115" s="23">
        <f t="shared" si="27"/>
        <v>0</v>
      </c>
      <c r="X115" s="23"/>
      <c r="Y115" s="23">
        <f t="shared" si="28"/>
        <v>0</v>
      </c>
      <c r="Z115" s="23"/>
      <c r="AA115" s="23">
        <f t="shared" si="29"/>
        <v>0</v>
      </c>
      <c r="AB115" s="23"/>
      <c r="AC115" s="23">
        <f t="shared" si="30"/>
        <v>0</v>
      </c>
      <c r="AD115" s="23"/>
      <c r="AE115" s="23">
        <f t="shared" si="31"/>
        <v>0</v>
      </c>
      <c r="AF115" s="26"/>
      <c r="AG115" s="26">
        <f t="shared" si="32"/>
        <v>0</v>
      </c>
      <c r="AH115" s="23"/>
      <c r="AI115" s="23">
        <f t="shared" si="33"/>
        <v>0</v>
      </c>
      <c r="AJ115" s="23"/>
      <c r="AK115" s="23">
        <f t="shared" si="34"/>
        <v>0</v>
      </c>
      <c r="AL115" s="26"/>
      <c r="AM115" s="26">
        <f t="shared" si="35"/>
        <v>0</v>
      </c>
      <c r="AN115" s="12">
        <f t="shared" si="36"/>
        <v>0</v>
      </c>
      <c r="AO115" s="22">
        <f t="shared" si="37"/>
        <v>0</v>
      </c>
    </row>
    <row r="116" spans="1:41" s="31" customFormat="1" x14ac:dyDescent="0.5">
      <c r="A116" s="19">
        <v>112</v>
      </c>
      <c r="B116" s="20" t="s">
        <v>231</v>
      </c>
      <c r="C116" s="21" t="s">
        <v>232</v>
      </c>
      <c r="D116" s="16">
        <v>629</v>
      </c>
      <c r="E116" s="16">
        <v>3</v>
      </c>
      <c r="F116" s="22">
        <v>741</v>
      </c>
      <c r="G116" s="22">
        <f t="shared" si="19"/>
        <v>23059.920000000002</v>
      </c>
      <c r="H116" s="22">
        <v>481</v>
      </c>
      <c r="I116" s="23">
        <f t="shared" si="20"/>
        <v>15589.21</v>
      </c>
      <c r="J116" s="22">
        <v>275</v>
      </c>
      <c r="K116" s="22">
        <f t="shared" si="21"/>
        <v>9077.75</v>
      </c>
      <c r="L116" s="22">
        <v>333</v>
      </c>
      <c r="M116" s="24">
        <f t="shared" si="22"/>
        <v>11694.96</v>
      </c>
      <c r="N116" s="23">
        <v>621</v>
      </c>
      <c r="O116" s="23">
        <f t="shared" si="23"/>
        <v>23753.25</v>
      </c>
      <c r="P116" s="22">
        <v>837</v>
      </c>
      <c r="Q116" s="22">
        <f t="shared" si="24"/>
        <v>35154</v>
      </c>
      <c r="R116" s="25">
        <v>476</v>
      </c>
      <c r="S116" s="25">
        <f t="shared" si="25"/>
        <v>18421.2</v>
      </c>
      <c r="T116" s="25">
        <v>353</v>
      </c>
      <c r="U116" s="25">
        <f t="shared" si="26"/>
        <v>11896.1</v>
      </c>
      <c r="V116" s="23"/>
      <c r="W116" s="23">
        <f t="shared" si="27"/>
        <v>0</v>
      </c>
      <c r="X116" s="23">
        <v>1180</v>
      </c>
      <c r="Y116" s="23">
        <f t="shared" si="28"/>
        <v>41477</v>
      </c>
      <c r="Z116" s="23">
        <v>447</v>
      </c>
      <c r="AA116" s="23">
        <f t="shared" si="29"/>
        <v>15493.019999999999</v>
      </c>
      <c r="AB116" s="23">
        <v>860</v>
      </c>
      <c r="AC116" s="23">
        <f t="shared" si="30"/>
        <v>31002.999999999996</v>
      </c>
      <c r="AD116" s="23">
        <v>936</v>
      </c>
      <c r="AE116" s="23">
        <f t="shared" si="31"/>
        <v>32797.440000000002</v>
      </c>
      <c r="AF116" s="26">
        <v>1059</v>
      </c>
      <c r="AG116" s="26">
        <f t="shared" si="32"/>
        <v>36196.620000000003</v>
      </c>
      <c r="AH116" s="23">
        <v>1006</v>
      </c>
      <c r="AI116" s="23">
        <f t="shared" si="33"/>
        <v>33499.799999999996</v>
      </c>
      <c r="AJ116" s="23">
        <v>481</v>
      </c>
      <c r="AK116" s="23">
        <f t="shared" si="34"/>
        <v>17291.95</v>
      </c>
      <c r="AL116" s="26">
        <v>306</v>
      </c>
      <c r="AM116" s="26">
        <f t="shared" si="35"/>
        <v>11221.02</v>
      </c>
      <c r="AN116" s="12">
        <f t="shared" si="36"/>
        <v>10392</v>
      </c>
      <c r="AO116" s="22">
        <f t="shared" si="37"/>
        <v>367626.23999999999</v>
      </c>
    </row>
    <row r="117" spans="1:41" s="31" customFormat="1" x14ac:dyDescent="0.5">
      <c r="A117" s="19">
        <v>113</v>
      </c>
      <c r="B117" s="27" t="s">
        <v>233</v>
      </c>
      <c r="C117" s="28" t="s">
        <v>234</v>
      </c>
      <c r="D117" s="16">
        <v>680</v>
      </c>
      <c r="E117" s="16">
        <v>3</v>
      </c>
      <c r="F117" s="22"/>
      <c r="G117" s="22">
        <f t="shared" si="19"/>
        <v>0</v>
      </c>
      <c r="H117" s="22"/>
      <c r="I117" s="23">
        <f t="shared" si="20"/>
        <v>0</v>
      </c>
      <c r="J117" s="22"/>
      <c r="K117" s="22">
        <f t="shared" si="21"/>
        <v>0</v>
      </c>
      <c r="L117" s="22"/>
      <c r="M117" s="24">
        <f t="shared" si="22"/>
        <v>0</v>
      </c>
      <c r="N117" s="23"/>
      <c r="O117" s="23">
        <f t="shared" si="23"/>
        <v>0</v>
      </c>
      <c r="P117" s="22">
        <v>671</v>
      </c>
      <c r="Q117" s="22">
        <f t="shared" si="24"/>
        <v>28182</v>
      </c>
      <c r="R117" s="25">
        <v>766</v>
      </c>
      <c r="S117" s="25">
        <f t="shared" si="25"/>
        <v>29644.2</v>
      </c>
      <c r="T117" s="25"/>
      <c r="U117" s="25">
        <f t="shared" si="26"/>
        <v>0</v>
      </c>
      <c r="V117" s="23"/>
      <c r="W117" s="23">
        <f t="shared" si="27"/>
        <v>0</v>
      </c>
      <c r="X117" s="23"/>
      <c r="Y117" s="23">
        <f t="shared" si="28"/>
        <v>0</v>
      </c>
      <c r="Z117" s="23"/>
      <c r="AA117" s="23">
        <f t="shared" si="29"/>
        <v>0</v>
      </c>
      <c r="AB117" s="23"/>
      <c r="AC117" s="23">
        <f t="shared" si="30"/>
        <v>0</v>
      </c>
      <c r="AD117" s="23"/>
      <c r="AE117" s="23">
        <f t="shared" si="31"/>
        <v>0</v>
      </c>
      <c r="AF117" s="26"/>
      <c r="AG117" s="26">
        <f t="shared" si="32"/>
        <v>0</v>
      </c>
      <c r="AH117" s="23"/>
      <c r="AI117" s="23">
        <f t="shared" si="33"/>
        <v>0</v>
      </c>
      <c r="AJ117" s="23"/>
      <c r="AK117" s="23">
        <f t="shared" si="34"/>
        <v>0</v>
      </c>
      <c r="AL117" s="23"/>
      <c r="AM117" s="26">
        <f t="shared" si="35"/>
        <v>0</v>
      </c>
      <c r="AN117" s="12">
        <f t="shared" si="36"/>
        <v>1437</v>
      </c>
      <c r="AO117" s="22">
        <f t="shared" si="37"/>
        <v>57826.2</v>
      </c>
    </row>
    <row r="118" spans="1:41" x14ac:dyDescent="0.5">
      <c r="A118" s="19">
        <v>114</v>
      </c>
      <c r="B118" s="27" t="s">
        <v>235</v>
      </c>
      <c r="C118" s="28" t="s">
        <v>236</v>
      </c>
      <c r="D118" s="16">
        <v>739</v>
      </c>
      <c r="E118" s="16">
        <v>3</v>
      </c>
      <c r="F118" s="22"/>
      <c r="G118" s="22">
        <f t="shared" si="19"/>
        <v>0</v>
      </c>
      <c r="H118" s="22"/>
      <c r="I118" s="23">
        <f t="shared" si="20"/>
        <v>0</v>
      </c>
      <c r="J118" s="22"/>
      <c r="K118" s="22">
        <f t="shared" si="21"/>
        <v>0</v>
      </c>
      <c r="L118" s="22"/>
      <c r="M118" s="24">
        <f t="shared" si="22"/>
        <v>0</v>
      </c>
      <c r="N118" s="23"/>
      <c r="O118" s="23">
        <f t="shared" si="23"/>
        <v>0</v>
      </c>
      <c r="P118" s="22"/>
      <c r="Q118" s="22">
        <f t="shared" si="24"/>
        <v>0</v>
      </c>
      <c r="R118" s="25"/>
      <c r="S118" s="25">
        <f t="shared" si="25"/>
        <v>0</v>
      </c>
      <c r="T118" s="25"/>
      <c r="U118" s="25">
        <f t="shared" si="26"/>
        <v>0</v>
      </c>
      <c r="V118" s="23"/>
      <c r="W118" s="23">
        <f t="shared" si="27"/>
        <v>0</v>
      </c>
      <c r="X118" s="23"/>
      <c r="Y118" s="23">
        <f t="shared" si="28"/>
        <v>0</v>
      </c>
      <c r="Z118" s="23"/>
      <c r="AA118" s="23">
        <f t="shared" si="29"/>
        <v>0</v>
      </c>
      <c r="AB118" s="23"/>
      <c r="AC118" s="23">
        <f t="shared" si="30"/>
        <v>0</v>
      </c>
      <c r="AD118" s="23"/>
      <c r="AE118" s="23">
        <f t="shared" si="31"/>
        <v>0</v>
      </c>
      <c r="AF118" s="26"/>
      <c r="AG118" s="26">
        <f t="shared" si="32"/>
        <v>0</v>
      </c>
      <c r="AH118" s="23"/>
      <c r="AI118" s="23">
        <f t="shared" si="33"/>
        <v>0</v>
      </c>
      <c r="AJ118" s="23"/>
      <c r="AK118" s="23">
        <f t="shared" si="34"/>
        <v>0</v>
      </c>
      <c r="AL118" s="23"/>
      <c r="AM118" s="26">
        <f t="shared" si="35"/>
        <v>0</v>
      </c>
      <c r="AN118" s="12">
        <f t="shared" si="36"/>
        <v>0</v>
      </c>
      <c r="AO118" s="22">
        <f t="shared" si="37"/>
        <v>0</v>
      </c>
    </row>
    <row r="119" spans="1:41" s="31" customFormat="1" x14ac:dyDescent="0.5">
      <c r="A119" s="19">
        <v>115</v>
      </c>
      <c r="B119" s="20" t="s">
        <v>237</v>
      </c>
      <c r="C119" s="21" t="s">
        <v>238</v>
      </c>
      <c r="D119" s="16">
        <v>746</v>
      </c>
      <c r="E119" s="16">
        <v>3</v>
      </c>
      <c r="F119" s="22">
        <v>1359</v>
      </c>
      <c r="G119" s="22">
        <f t="shared" si="19"/>
        <v>42292.08</v>
      </c>
      <c r="H119" s="22">
        <v>1018</v>
      </c>
      <c r="I119" s="23">
        <f t="shared" si="20"/>
        <v>32993.379999999997</v>
      </c>
      <c r="J119" s="22">
        <v>923</v>
      </c>
      <c r="K119" s="22">
        <f t="shared" si="21"/>
        <v>30468.23</v>
      </c>
      <c r="L119" s="22">
        <v>841</v>
      </c>
      <c r="M119" s="24">
        <f t="shared" si="22"/>
        <v>29535.919999999998</v>
      </c>
      <c r="N119" s="23">
        <v>842</v>
      </c>
      <c r="O119" s="23">
        <f t="shared" si="23"/>
        <v>32206.5</v>
      </c>
      <c r="P119" s="22">
        <v>830</v>
      </c>
      <c r="Q119" s="22">
        <f t="shared" si="24"/>
        <v>34860</v>
      </c>
      <c r="R119" s="25">
        <v>839</v>
      </c>
      <c r="S119" s="25">
        <f t="shared" si="25"/>
        <v>32469.300000000003</v>
      </c>
      <c r="T119" s="25">
        <v>1127</v>
      </c>
      <c r="U119" s="25">
        <f t="shared" si="26"/>
        <v>37979.9</v>
      </c>
      <c r="V119" s="23">
        <v>893</v>
      </c>
      <c r="W119" s="23">
        <f t="shared" si="27"/>
        <v>29290.399999999998</v>
      </c>
      <c r="X119" s="23">
        <v>724</v>
      </c>
      <c r="Y119" s="23">
        <f t="shared" si="28"/>
        <v>25448.6</v>
      </c>
      <c r="Z119" s="23"/>
      <c r="AA119" s="23">
        <f t="shared" si="29"/>
        <v>0</v>
      </c>
      <c r="AB119" s="23">
        <v>412</v>
      </c>
      <c r="AC119" s="23">
        <f t="shared" si="30"/>
        <v>14852.599999999999</v>
      </c>
      <c r="AD119" s="23">
        <v>1326</v>
      </c>
      <c r="AE119" s="23">
        <f t="shared" si="31"/>
        <v>46463.040000000001</v>
      </c>
      <c r="AF119" s="26">
        <v>558</v>
      </c>
      <c r="AG119" s="26">
        <f t="shared" si="32"/>
        <v>19072.439999999999</v>
      </c>
      <c r="AH119" s="23">
        <v>463</v>
      </c>
      <c r="AI119" s="23">
        <f t="shared" si="33"/>
        <v>15417.899999999998</v>
      </c>
      <c r="AJ119" s="23">
        <v>464</v>
      </c>
      <c r="AK119" s="23">
        <f t="shared" si="34"/>
        <v>16680.800000000003</v>
      </c>
      <c r="AL119" s="26">
        <v>494</v>
      </c>
      <c r="AM119" s="26">
        <f t="shared" si="35"/>
        <v>18114.98</v>
      </c>
      <c r="AN119" s="12">
        <f t="shared" si="36"/>
        <v>13113</v>
      </c>
      <c r="AO119" s="22">
        <f t="shared" si="37"/>
        <v>458146.06999999995</v>
      </c>
    </row>
    <row r="120" spans="1:41" s="31" customFormat="1" x14ac:dyDescent="0.5">
      <c r="A120" s="19">
        <v>116</v>
      </c>
      <c r="B120" s="27" t="s">
        <v>239</v>
      </c>
      <c r="C120" s="28" t="s">
        <v>240</v>
      </c>
      <c r="D120" s="16">
        <v>756</v>
      </c>
      <c r="E120" s="16">
        <v>3</v>
      </c>
      <c r="F120" s="22">
        <v>678</v>
      </c>
      <c r="G120" s="22">
        <f t="shared" si="19"/>
        <v>21099.360000000001</v>
      </c>
      <c r="H120" s="22"/>
      <c r="I120" s="23">
        <f t="shared" si="20"/>
        <v>0</v>
      </c>
      <c r="J120" s="22">
        <v>342</v>
      </c>
      <c r="K120" s="22">
        <f t="shared" si="21"/>
        <v>11289.42</v>
      </c>
      <c r="L120" s="22"/>
      <c r="M120" s="24">
        <f t="shared" si="22"/>
        <v>0</v>
      </c>
      <c r="N120" s="23">
        <v>272</v>
      </c>
      <c r="O120" s="23">
        <f t="shared" si="23"/>
        <v>10404</v>
      </c>
      <c r="P120" s="22">
        <v>818</v>
      </c>
      <c r="Q120" s="22">
        <f t="shared" si="24"/>
        <v>34356</v>
      </c>
      <c r="R120" s="25">
        <v>451</v>
      </c>
      <c r="S120" s="25">
        <f t="shared" si="25"/>
        <v>17453.7</v>
      </c>
      <c r="T120" s="25">
        <v>288</v>
      </c>
      <c r="U120" s="25">
        <f t="shared" si="26"/>
        <v>9705.6</v>
      </c>
      <c r="V120" s="23"/>
      <c r="W120" s="23">
        <f t="shared" si="27"/>
        <v>0</v>
      </c>
      <c r="X120" s="23"/>
      <c r="Y120" s="23">
        <f t="shared" si="28"/>
        <v>0</v>
      </c>
      <c r="Z120" s="23"/>
      <c r="AA120" s="23">
        <f t="shared" si="29"/>
        <v>0</v>
      </c>
      <c r="AB120" s="23"/>
      <c r="AC120" s="23">
        <f t="shared" si="30"/>
        <v>0</v>
      </c>
      <c r="AD120" s="23">
        <v>872</v>
      </c>
      <c r="AE120" s="23">
        <f t="shared" si="31"/>
        <v>30554.880000000001</v>
      </c>
      <c r="AF120" s="26">
        <v>640</v>
      </c>
      <c r="AG120" s="26">
        <f t="shared" si="32"/>
        <v>21875.200000000001</v>
      </c>
      <c r="AH120" s="23">
        <v>547</v>
      </c>
      <c r="AI120" s="23">
        <f t="shared" si="33"/>
        <v>18215.099999999999</v>
      </c>
      <c r="AJ120" s="23">
        <v>562</v>
      </c>
      <c r="AK120" s="23">
        <f t="shared" si="34"/>
        <v>20203.900000000001</v>
      </c>
      <c r="AL120" s="23">
        <v>535</v>
      </c>
      <c r="AM120" s="26">
        <f t="shared" si="35"/>
        <v>19618.45</v>
      </c>
      <c r="AN120" s="12">
        <f t="shared" si="36"/>
        <v>6005</v>
      </c>
      <c r="AO120" s="22">
        <f t="shared" si="37"/>
        <v>214775.61000000002</v>
      </c>
    </row>
    <row r="121" spans="1:41" s="31" customFormat="1" x14ac:dyDescent="0.5">
      <c r="A121" s="19">
        <v>117</v>
      </c>
      <c r="B121" s="27" t="s">
        <v>190</v>
      </c>
      <c r="C121" s="28" t="s">
        <v>241</v>
      </c>
      <c r="D121" s="16">
        <v>759</v>
      </c>
      <c r="E121" s="16">
        <v>3</v>
      </c>
      <c r="F121" s="22"/>
      <c r="G121" s="22">
        <f t="shared" si="19"/>
        <v>0</v>
      </c>
      <c r="H121" s="22"/>
      <c r="I121" s="23">
        <f t="shared" si="20"/>
        <v>0</v>
      </c>
      <c r="J121" s="22"/>
      <c r="K121" s="22">
        <f t="shared" si="21"/>
        <v>0</v>
      </c>
      <c r="L121" s="29"/>
      <c r="M121" s="24">
        <f t="shared" si="22"/>
        <v>0</v>
      </c>
      <c r="N121" s="30"/>
      <c r="O121" s="23">
        <f t="shared" si="23"/>
        <v>0</v>
      </c>
      <c r="P121" s="22"/>
      <c r="Q121" s="22">
        <f t="shared" si="24"/>
        <v>0</v>
      </c>
      <c r="R121" s="25"/>
      <c r="S121" s="25">
        <f t="shared" si="25"/>
        <v>0</v>
      </c>
      <c r="T121" s="25"/>
      <c r="U121" s="25">
        <f t="shared" si="26"/>
        <v>0</v>
      </c>
      <c r="V121" s="23"/>
      <c r="W121" s="23">
        <f t="shared" si="27"/>
        <v>0</v>
      </c>
      <c r="X121" s="23"/>
      <c r="Y121" s="23">
        <f t="shared" si="28"/>
        <v>0</v>
      </c>
      <c r="Z121" s="23"/>
      <c r="AA121" s="23">
        <f t="shared" si="29"/>
        <v>0</v>
      </c>
      <c r="AB121" s="23"/>
      <c r="AC121" s="23">
        <f t="shared" si="30"/>
        <v>0</v>
      </c>
      <c r="AD121" s="23"/>
      <c r="AE121" s="23">
        <f t="shared" si="31"/>
        <v>0</v>
      </c>
      <c r="AF121" s="26"/>
      <c r="AG121" s="26">
        <f t="shared" si="32"/>
        <v>0</v>
      </c>
      <c r="AH121" s="23"/>
      <c r="AI121" s="23">
        <f t="shared" si="33"/>
        <v>0</v>
      </c>
      <c r="AJ121" s="23"/>
      <c r="AK121" s="23">
        <f t="shared" si="34"/>
        <v>0</v>
      </c>
      <c r="AL121" s="23"/>
      <c r="AM121" s="26">
        <f t="shared" si="35"/>
        <v>0</v>
      </c>
      <c r="AN121" s="12">
        <f t="shared" si="36"/>
        <v>0</v>
      </c>
      <c r="AO121" s="22">
        <f t="shared" si="37"/>
        <v>0</v>
      </c>
    </row>
    <row r="122" spans="1:41" x14ac:dyDescent="0.5">
      <c r="A122" s="19">
        <v>118</v>
      </c>
      <c r="B122" s="27" t="s">
        <v>242</v>
      </c>
      <c r="C122" s="28" t="s">
        <v>240</v>
      </c>
      <c r="D122" s="16">
        <v>776</v>
      </c>
      <c r="E122" s="16">
        <v>3</v>
      </c>
      <c r="F122" s="22"/>
      <c r="G122" s="22">
        <f t="shared" si="19"/>
        <v>0</v>
      </c>
      <c r="H122" s="22"/>
      <c r="I122" s="23">
        <f t="shared" si="20"/>
        <v>0</v>
      </c>
      <c r="J122" s="22"/>
      <c r="K122" s="22">
        <f t="shared" si="21"/>
        <v>0</v>
      </c>
      <c r="L122" s="22"/>
      <c r="M122" s="24">
        <f t="shared" si="22"/>
        <v>0</v>
      </c>
      <c r="N122" s="23"/>
      <c r="O122" s="23">
        <f t="shared" si="23"/>
        <v>0</v>
      </c>
      <c r="P122" s="22"/>
      <c r="Q122" s="22">
        <f t="shared" si="24"/>
        <v>0</v>
      </c>
      <c r="R122" s="25"/>
      <c r="S122" s="25">
        <f t="shared" si="25"/>
        <v>0</v>
      </c>
      <c r="T122" s="25"/>
      <c r="U122" s="25">
        <f t="shared" si="26"/>
        <v>0</v>
      </c>
      <c r="V122" s="23"/>
      <c r="W122" s="23">
        <f t="shared" si="27"/>
        <v>0</v>
      </c>
      <c r="X122" s="23"/>
      <c r="Y122" s="23">
        <f t="shared" si="28"/>
        <v>0</v>
      </c>
      <c r="Z122" s="23"/>
      <c r="AA122" s="23">
        <f t="shared" si="29"/>
        <v>0</v>
      </c>
      <c r="AB122" s="23"/>
      <c r="AC122" s="23">
        <f t="shared" si="30"/>
        <v>0</v>
      </c>
      <c r="AD122" s="23"/>
      <c r="AE122" s="23">
        <f t="shared" si="31"/>
        <v>0</v>
      </c>
      <c r="AF122" s="26"/>
      <c r="AG122" s="26">
        <f t="shared" si="32"/>
        <v>0</v>
      </c>
      <c r="AH122" s="23"/>
      <c r="AI122" s="23">
        <f t="shared" si="33"/>
        <v>0</v>
      </c>
      <c r="AJ122" s="23"/>
      <c r="AK122" s="23">
        <f t="shared" si="34"/>
        <v>0</v>
      </c>
      <c r="AL122" s="23"/>
      <c r="AM122" s="26">
        <f t="shared" si="35"/>
        <v>0</v>
      </c>
      <c r="AN122" s="12">
        <f t="shared" si="36"/>
        <v>0</v>
      </c>
      <c r="AO122" s="22">
        <f t="shared" si="37"/>
        <v>0</v>
      </c>
    </row>
    <row r="123" spans="1:41" x14ac:dyDescent="0.5">
      <c r="A123" s="19">
        <v>119</v>
      </c>
      <c r="B123" s="20" t="s">
        <v>243</v>
      </c>
      <c r="C123" s="21" t="s">
        <v>244</v>
      </c>
      <c r="D123" s="16">
        <v>787</v>
      </c>
      <c r="E123" s="16">
        <v>3</v>
      </c>
      <c r="F123" s="22"/>
      <c r="G123" s="22">
        <f t="shared" si="19"/>
        <v>0</v>
      </c>
      <c r="H123" s="22"/>
      <c r="I123" s="23">
        <f t="shared" si="20"/>
        <v>0</v>
      </c>
      <c r="J123" s="22"/>
      <c r="K123" s="22">
        <f t="shared" si="21"/>
        <v>0</v>
      </c>
      <c r="L123" s="29"/>
      <c r="M123" s="24">
        <f t="shared" si="22"/>
        <v>0</v>
      </c>
      <c r="N123" s="30"/>
      <c r="O123" s="23">
        <f t="shared" si="23"/>
        <v>0</v>
      </c>
      <c r="P123" s="22"/>
      <c r="Q123" s="22">
        <f t="shared" si="24"/>
        <v>0</v>
      </c>
      <c r="R123" s="25"/>
      <c r="S123" s="25">
        <f t="shared" si="25"/>
        <v>0</v>
      </c>
      <c r="T123" s="25"/>
      <c r="U123" s="25">
        <f t="shared" si="26"/>
        <v>0</v>
      </c>
      <c r="V123" s="23"/>
      <c r="W123" s="23">
        <f t="shared" si="27"/>
        <v>0</v>
      </c>
      <c r="X123" s="23"/>
      <c r="Y123" s="23">
        <f t="shared" si="28"/>
        <v>0</v>
      </c>
      <c r="Z123" s="23"/>
      <c r="AA123" s="23">
        <f t="shared" si="29"/>
        <v>0</v>
      </c>
      <c r="AB123" s="23"/>
      <c r="AC123" s="23">
        <f t="shared" si="30"/>
        <v>0</v>
      </c>
      <c r="AD123" s="23"/>
      <c r="AE123" s="23">
        <f t="shared" si="31"/>
        <v>0</v>
      </c>
      <c r="AF123" s="26"/>
      <c r="AG123" s="26">
        <f t="shared" si="32"/>
        <v>0</v>
      </c>
      <c r="AH123" s="23"/>
      <c r="AI123" s="23">
        <f t="shared" si="33"/>
        <v>0</v>
      </c>
      <c r="AJ123" s="23"/>
      <c r="AK123" s="23">
        <f t="shared" si="34"/>
        <v>0</v>
      </c>
      <c r="AL123" s="26"/>
      <c r="AM123" s="26">
        <f t="shared" si="35"/>
        <v>0</v>
      </c>
      <c r="AN123" s="12">
        <f t="shared" si="36"/>
        <v>0</v>
      </c>
      <c r="AO123" s="22">
        <f t="shared" si="37"/>
        <v>0</v>
      </c>
    </row>
    <row r="124" spans="1:41" s="31" customFormat="1" x14ac:dyDescent="0.5">
      <c r="A124" s="19">
        <v>120</v>
      </c>
      <c r="B124" s="20" t="s">
        <v>245</v>
      </c>
      <c r="C124" s="21" t="s">
        <v>226</v>
      </c>
      <c r="D124" s="16">
        <v>806</v>
      </c>
      <c r="E124" s="16">
        <v>3</v>
      </c>
      <c r="F124" s="22"/>
      <c r="G124" s="22">
        <f t="shared" si="19"/>
        <v>0</v>
      </c>
      <c r="H124" s="22"/>
      <c r="I124" s="23">
        <f t="shared" si="20"/>
        <v>0</v>
      </c>
      <c r="J124" s="22"/>
      <c r="K124" s="22">
        <f t="shared" si="21"/>
        <v>0</v>
      </c>
      <c r="L124" s="22"/>
      <c r="M124" s="24">
        <f t="shared" si="22"/>
        <v>0</v>
      </c>
      <c r="N124" s="23"/>
      <c r="O124" s="23">
        <f t="shared" si="23"/>
        <v>0</v>
      </c>
      <c r="P124" s="22"/>
      <c r="Q124" s="22">
        <f t="shared" si="24"/>
        <v>0</v>
      </c>
      <c r="R124" s="25"/>
      <c r="S124" s="25">
        <f t="shared" si="25"/>
        <v>0</v>
      </c>
      <c r="T124" s="25"/>
      <c r="U124" s="25">
        <f t="shared" si="26"/>
        <v>0</v>
      </c>
      <c r="V124" s="23"/>
      <c r="W124" s="23">
        <f t="shared" si="27"/>
        <v>0</v>
      </c>
      <c r="X124" s="23"/>
      <c r="Y124" s="23">
        <f t="shared" si="28"/>
        <v>0</v>
      </c>
      <c r="Z124" s="23"/>
      <c r="AA124" s="23">
        <f t="shared" si="29"/>
        <v>0</v>
      </c>
      <c r="AB124" s="23"/>
      <c r="AC124" s="23">
        <f t="shared" si="30"/>
        <v>0</v>
      </c>
      <c r="AD124" s="23"/>
      <c r="AE124" s="23">
        <f t="shared" si="31"/>
        <v>0</v>
      </c>
      <c r="AF124" s="26"/>
      <c r="AG124" s="26">
        <f t="shared" si="32"/>
        <v>0</v>
      </c>
      <c r="AH124" s="23"/>
      <c r="AI124" s="23">
        <f t="shared" si="33"/>
        <v>0</v>
      </c>
      <c r="AJ124" s="23"/>
      <c r="AK124" s="23">
        <f t="shared" si="34"/>
        <v>0</v>
      </c>
      <c r="AL124" s="26"/>
      <c r="AM124" s="26">
        <f t="shared" si="35"/>
        <v>0</v>
      </c>
      <c r="AN124" s="12">
        <f t="shared" si="36"/>
        <v>0</v>
      </c>
      <c r="AO124" s="22">
        <f t="shared" si="37"/>
        <v>0</v>
      </c>
    </row>
    <row r="125" spans="1:41" x14ac:dyDescent="0.5">
      <c r="A125" s="19">
        <v>121</v>
      </c>
      <c r="B125" s="27" t="s">
        <v>172</v>
      </c>
      <c r="C125" s="28" t="s">
        <v>246</v>
      </c>
      <c r="D125" s="16">
        <v>831</v>
      </c>
      <c r="E125" s="16">
        <v>3</v>
      </c>
      <c r="F125" s="22">
        <v>641</v>
      </c>
      <c r="G125" s="22">
        <f t="shared" si="19"/>
        <v>19947.920000000002</v>
      </c>
      <c r="H125" s="22"/>
      <c r="I125" s="23">
        <f t="shared" si="20"/>
        <v>0</v>
      </c>
      <c r="J125" s="22"/>
      <c r="K125" s="22">
        <f t="shared" si="21"/>
        <v>0</v>
      </c>
      <c r="L125" s="22"/>
      <c r="M125" s="24">
        <f t="shared" si="22"/>
        <v>0</v>
      </c>
      <c r="N125" s="23">
        <v>342</v>
      </c>
      <c r="O125" s="23">
        <f t="shared" si="23"/>
        <v>13081.5</v>
      </c>
      <c r="P125" s="22">
        <v>502</v>
      </c>
      <c r="Q125" s="22">
        <f t="shared" si="24"/>
        <v>21084</v>
      </c>
      <c r="R125" s="25">
        <v>478</v>
      </c>
      <c r="S125" s="25">
        <f t="shared" si="25"/>
        <v>18498.600000000002</v>
      </c>
      <c r="T125" s="25"/>
      <c r="U125" s="25">
        <f t="shared" si="26"/>
        <v>0</v>
      </c>
      <c r="V125" s="23"/>
      <c r="W125" s="23">
        <f t="shared" si="27"/>
        <v>0</v>
      </c>
      <c r="X125" s="23"/>
      <c r="Y125" s="23">
        <f t="shared" si="28"/>
        <v>0</v>
      </c>
      <c r="Z125" s="23">
        <v>640</v>
      </c>
      <c r="AA125" s="23">
        <f t="shared" si="29"/>
        <v>22182.399999999998</v>
      </c>
      <c r="AB125" s="23">
        <v>879</v>
      </c>
      <c r="AC125" s="23">
        <f t="shared" si="30"/>
        <v>31687.949999999997</v>
      </c>
      <c r="AD125" s="23">
        <v>922</v>
      </c>
      <c r="AE125" s="23">
        <f t="shared" si="31"/>
        <v>32306.880000000001</v>
      </c>
      <c r="AF125" s="26">
        <v>1243</v>
      </c>
      <c r="AG125" s="26">
        <f t="shared" si="32"/>
        <v>42485.74</v>
      </c>
      <c r="AH125" s="23"/>
      <c r="AI125" s="23">
        <f t="shared" si="33"/>
        <v>0</v>
      </c>
      <c r="AJ125" s="23"/>
      <c r="AK125" s="23">
        <f t="shared" si="34"/>
        <v>0</v>
      </c>
      <c r="AL125" s="23">
        <v>791</v>
      </c>
      <c r="AM125" s="26">
        <f t="shared" si="35"/>
        <v>29005.97</v>
      </c>
      <c r="AN125" s="12">
        <f t="shared" si="36"/>
        <v>6438</v>
      </c>
      <c r="AO125" s="22">
        <f t="shared" si="37"/>
        <v>230280.95999999999</v>
      </c>
    </row>
    <row r="126" spans="1:41" s="31" customFormat="1" x14ac:dyDescent="0.5">
      <c r="A126" s="19">
        <v>122</v>
      </c>
      <c r="B126" s="20" t="s">
        <v>247</v>
      </c>
      <c r="C126" s="21" t="s">
        <v>195</v>
      </c>
      <c r="D126" s="16">
        <v>838</v>
      </c>
      <c r="E126" s="16">
        <v>3</v>
      </c>
      <c r="F126" s="22">
        <v>604</v>
      </c>
      <c r="G126" s="22">
        <f t="shared" si="19"/>
        <v>18796.48</v>
      </c>
      <c r="H126" s="22">
        <v>624</v>
      </c>
      <c r="I126" s="23">
        <f t="shared" si="20"/>
        <v>20223.839999999997</v>
      </c>
      <c r="J126" s="22">
        <v>605</v>
      </c>
      <c r="K126" s="22">
        <f t="shared" si="21"/>
        <v>19971.05</v>
      </c>
      <c r="L126" s="22">
        <v>525</v>
      </c>
      <c r="M126" s="24">
        <f t="shared" si="22"/>
        <v>18438</v>
      </c>
      <c r="N126" s="23">
        <v>472</v>
      </c>
      <c r="O126" s="23">
        <f t="shared" si="23"/>
        <v>18054</v>
      </c>
      <c r="P126" s="22">
        <v>921</v>
      </c>
      <c r="Q126" s="22">
        <f t="shared" si="24"/>
        <v>38682</v>
      </c>
      <c r="R126" s="25">
        <v>734</v>
      </c>
      <c r="S126" s="25">
        <f t="shared" si="25"/>
        <v>28405.800000000003</v>
      </c>
      <c r="T126" s="25">
        <v>795</v>
      </c>
      <c r="U126" s="25">
        <f t="shared" si="26"/>
        <v>26791.500000000004</v>
      </c>
      <c r="V126" s="23">
        <v>762</v>
      </c>
      <c r="W126" s="23">
        <f t="shared" si="27"/>
        <v>24993.599999999999</v>
      </c>
      <c r="X126" s="23">
        <v>693</v>
      </c>
      <c r="Y126" s="23">
        <f t="shared" si="28"/>
        <v>24358.95</v>
      </c>
      <c r="Z126" s="23">
        <v>631</v>
      </c>
      <c r="AA126" s="23">
        <f t="shared" si="29"/>
        <v>21870.46</v>
      </c>
      <c r="AB126" s="23">
        <v>661</v>
      </c>
      <c r="AC126" s="23">
        <f t="shared" si="30"/>
        <v>23829.05</v>
      </c>
      <c r="AD126" s="23">
        <v>676</v>
      </c>
      <c r="AE126" s="23">
        <f t="shared" si="31"/>
        <v>23687.040000000001</v>
      </c>
      <c r="AF126" s="26">
        <v>663</v>
      </c>
      <c r="AG126" s="26">
        <f t="shared" si="32"/>
        <v>22661.34</v>
      </c>
      <c r="AH126" s="23">
        <v>682</v>
      </c>
      <c r="AI126" s="23">
        <f t="shared" si="33"/>
        <v>22710.6</v>
      </c>
      <c r="AJ126" s="23">
        <v>586</v>
      </c>
      <c r="AK126" s="23">
        <f t="shared" si="34"/>
        <v>21066.7</v>
      </c>
      <c r="AL126" s="26">
        <v>1456</v>
      </c>
      <c r="AM126" s="26">
        <f t="shared" si="35"/>
        <v>53391.520000000004</v>
      </c>
      <c r="AN126" s="12">
        <f t="shared" si="36"/>
        <v>12090</v>
      </c>
      <c r="AO126" s="22">
        <f t="shared" si="37"/>
        <v>427931.93</v>
      </c>
    </row>
    <row r="127" spans="1:41" s="31" customFormat="1" x14ac:dyDescent="0.5">
      <c r="A127" s="19">
        <v>123</v>
      </c>
      <c r="B127" s="27" t="s">
        <v>248</v>
      </c>
      <c r="C127" s="28" t="s">
        <v>249</v>
      </c>
      <c r="D127" s="16">
        <v>855</v>
      </c>
      <c r="E127" s="16">
        <v>3</v>
      </c>
      <c r="F127" s="22">
        <v>519</v>
      </c>
      <c r="G127" s="22">
        <f t="shared" si="19"/>
        <v>16151.28</v>
      </c>
      <c r="H127" s="22">
        <v>210</v>
      </c>
      <c r="I127" s="23">
        <f t="shared" si="20"/>
        <v>6806.0999999999995</v>
      </c>
      <c r="J127" s="22">
        <v>332</v>
      </c>
      <c r="K127" s="22">
        <f t="shared" si="21"/>
        <v>10959.32</v>
      </c>
      <c r="L127" s="22">
        <v>180</v>
      </c>
      <c r="M127" s="24">
        <f t="shared" si="22"/>
        <v>6321.5999999999995</v>
      </c>
      <c r="N127" s="23"/>
      <c r="O127" s="23">
        <f t="shared" si="23"/>
        <v>0</v>
      </c>
      <c r="P127" s="22">
        <v>191</v>
      </c>
      <c r="Q127" s="22">
        <f t="shared" si="24"/>
        <v>8022</v>
      </c>
      <c r="R127" s="25">
        <v>916</v>
      </c>
      <c r="S127" s="25">
        <f t="shared" si="25"/>
        <v>35449.200000000004</v>
      </c>
      <c r="T127" s="25">
        <v>884</v>
      </c>
      <c r="U127" s="25">
        <f t="shared" si="26"/>
        <v>29790.800000000003</v>
      </c>
      <c r="V127" s="23">
        <v>1152</v>
      </c>
      <c r="W127" s="23">
        <f t="shared" si="27"/>
        <v>37785.599999999999</v>
      </c>
      <c r="X127" s="23">
        <v>995</v>
      </c>
      <c r="Y127" s="23">
        <f t="shared" si="28"/>
        <v>34974.25</v>
      </c>
      <c r="Z127" s="23"/>
      <c r="AA127" s="23">
        <f t="shared" si="29"/>
        <v>0</v>
      </c>
      <c r="AB127" s="23"/>
      <c r="AC127" s="23">
        <f t="shared" si="30"/>
        <v>0</v>
      </c>
      <c r="AD127" s="23"/>
      <c r="AE127" s="23">
        <f t="shared" si="31"/>
        <v>0</v>
      </c>
      <c r="AF127" s="26"/>
      <c r="AG127" s="26">
        <f t="shared" si="32"/>
        <v>0</v>
      </c>
      <c r="AH127" s="23"/>
      <c r="AI127" s="23">
        <f t="shared" si="33"/>
        <v>0</v>
      </c>
      <c r="AJ127" s="23"/>
      <c r="AK127" s="23">
        <f t="shared" si="34"/>
        <v>0</v>
      </c>
      <c r="AL127" s="23">
        <v>1483</v>
      </c>
      <c r="AM127" s="26">
        <f t="shared" si="35"/>
        <v>54381.61</v>
      </c>
      <c r="AN127" s="12">
        <f t="shared" si="36"/>
        <v>6862</v>
      </c>
      <c r="AO127" s="22">
        <f t="shared" si="37"/>
        <v>240641.76</v>
      </c>
    </row>
    <row r="128" spans="1:41" s="31" customFormat="1" x14ac:dyDescent="0.5">
      <c r="A128" s="19">
        <v>124</v>
      </c>
      <c r="B128" s="27" t="s">
        <v>250</v>
      </c>
      <c r="C128" s="28" t="s">
        <v>251</v>
      </c>
      <c r="D128" s="16">
        <v>859</v>
      </c>
      <c r="E128" s="16">
        <v>3</v>
      </c>
      <c r="F128" s="22"/>
      <c r="G128" s="22">
        <f t="shared" si="19"/>
        <v>0</v>
      </c>
      <c r="H128" s="22"/>
      <c r="I128" s="23">
        <f t="shared" si="20"/>
        <v>0</v>
      </c>
      <c r="J128" s="22"/>
      <c r="K128" s="22">
        <f t="shared" si="21"/>
        <v>0</v>
      </c>
      <c r="L128" s="22"/>
      <c r="M128" s="24">
        <f t="shared" si="22"/>
        <v>0</v>
      </c>
      <c r="N128" s="23"/>
      <c r="O128" s="23">
        <f t="shared" si="23"/>
        <v>0</v>
      </c>
      <c r="P128" s="22"/>
      <c r="Q128" s="22">
        <f t="shared" si="24"/>
        <v>0</v>
      </c>
      <c r="R128" s="25"/>
      <c r="S128" s="25">
        <f t="shared" si="25"/>
        <v>0</v>
      </c>
      <c r="T128" s="25"/>
      <c r="U128" s="25">
        <f t="shared" si="26"/>
        <v>0</v>
      </c>
      <c r="V128" s="23"/>
      <c r="W128" s="23">
        <f t="shared" si="27"/>
        <v>0</v>
      </c>
      <c r="X128" s="23"/>
      <c r="Y128" s="23">
        <f t="shared" si="28"/>
        <v>0</v>
      </c>
      <c r="Z128" s="23"/>
      <c r="AA128" s="23">
        <f t="shared" si="29"/>
        <v>0</v>
      </c>
      <c r="AB128" s="23"/>
      <c r="AC128" s="23">
        <f t="shared" si="30"/>
        <v>0</v>
      </c>
      <c r="AD128" s="23"/>
      <c r="AE128" s="23">
        <f t="shared" si="31"/>
        <v>0</v>
      </c>
      <c r="AF128" s="26"/>
      <c r="AG128" s="26">
        <f t="shared" si="32"/>
        <v>0</v>
      </c>
      <c r="AH128" s="23"/>
      <c r="AI128" s="23">
        <f t="shared" si="33"/>
        <v>0</v>
      </c>
      <c r="AJ128" s="23"/>
      <c r="AK128" s="23">
        <f t="shared" si="34"/>
        <v>0</v>
      </c>
      <c r="AL128" s="23"/>
      <c r="AM128" s="26">
        <f t="shared" si="35"/>
        <v>0</v>
      </c>
      <c r="AN128" s="12">
        <f t="shared" si="36"/>
        <v>0</v>
      </c>
      <c r="AO128" s="22">
        <f t="shared" si="37"/>
        <v>0</v>
      </c>
    </row>
    <row r="129" spans="1:41" x14ac:dyDescent="0.5">
      <c r="A129" s="19">
        <v>125</v>
      </c>
      <c r="B129" s="27" t="s">
        <v>252</v>
      </c>
      <c r="C129" s="28" t="s">
        <v>253</v>
      </c>
      <c r="D129" s="16">
        <v>880</v>
      </c>
      <c r="E129" s="16">
        <v>3</v>
      </c>
      <c r="F129" s="22">
        <v>371</v>
      </c>
      <c r="G129" s="22">
        <f t="shared" si="19"/>
        <v>11545.52</v>
      </c>
      <c r="H129" s="22">
        <v>384</v>
      </c>
      <c r="I129" s="23">
        <f t="shared" si="20"/>
        <v>12445.439999999999</v>
      </c>
      <c r="J129" s="22">
        <v>595</v>
      </c>
      <c r="K129" s="22">
        <f t="shared" si="21"/>
        <v>19640.949999999997</v>
      </c>
      <c r="L129" s="29">
        <v>431</v>
      </c>
      <c r="M129" s="24">
        <f t="shared" si="22"/>
        <v>15136.72</v>
      </c>
      <c r="N129" s="30">
        <v>341</v>
      </c>
      <c r="O129" s="23">
        <f t="shared" si="23"/>
        <v>13043.25</v>
      </c>
      <c r="P129" s="22">
        <v>1271</v>
      </c>
      <c r="Q129" s="22">
        <f t="shared" si="24"/>
        <v>53382</v>
      </c>
      <c r="R129" s="25">
        <v>1355</v>
      </c>
      <c r="S129" s="25">
        <f t="shared" si="25"/>
        <v>52438.500000000007</v>
      </c>
      <c r="T129" s="25">
        <v>1298</v>
      </c>
      <c r="U129" s="25">
        <f t="shared" si="26"/>
        <v>43742.600000000006</v>
      </c>
      <c r="V129" s="23">
        <v>1357</v>
      </c>
      <c r="W129" s="23">
        <f t="shared" si="27"/>
        <v>44509.599999999999</v>
      </c>
      <c r="X129" s="23">
        <v>656</v>
      </c>
      <c r="Y129" s="23">
        <f t="shared" si="28"/>
        <v>23058.399999999998</v>
      </c>
      <c r="Z129" s="23">
        <v>1214</v>
      </c>
      <c r="AA129" s="23">
        <f t="shared" si="29"/>
        <v>42077.24</v>
      </c>
      <c r="AB129" s="23"/>
      <c r="AC129" s="23">
        <f t="shared" si="30"/>
        <v>0</v>
      </c>
      <c r="AD129" s="23">
        <v>611</v>
      </c>
      <c r="AE129" s="23">
        <f t="shared" si="31"/>
        <v>21409.439999999999</v>
      </c>
      <c r="AF129" s="26">
        <v>774</v>
      </c>
      <c r="AG129" s="26">
        <f t="shared" si="32"/>
        <v>26455.32</v>
      </c>
      <c r="AH129" s="23">
        <v>1436</v>
      </c>
      <c r="AI129" s="23">
        <f t="shared" si="33"/>
        <v>47818.799999999996</v>
      </c>
      <c r="AJ129" s="23">
        <v>1473</v>
      </c>
      <c r="AK129" s="23">
        <f t="shared" si="34"/>
        <v>52954.350000000006</v>
      </c>
      <c r="AL129" s="23">
        <v>891</v>
      </c>
      <c r="AM129" s="26">
        <f t="shared" si="35"/>
        <v>32672.97</v>
      </c>
      <c r="AN129" s="12">
        <f t="shared" si="36"/>
        <v>14458</v>
      </c>
      <c r="AO129" s="22">
        <f t="shared" si="37"/>
        <v>512331.1</v>
      </c>
    </row>
    <row r="130" spans="1:41" x14ac:dyDescent="0.5">
      <c r="A130" s="19">
        <v>126</v>
      </c>
      <c r="B130" s="20" t="s">
        <v>254</v>
      </c>
      <c r="C130" s="21" t="s">
        <v>255</v>
      </c>
      <c r="D130" s="16">
        <v>886</v>
      </c>
      <c r="E130" s="16">
        <v>3</v>
      </c>
      <c r="F130" s="22">
        <v>2125</v>
      </c>
      <c r="G130" s="22">
        <f t="shared" si="19"/>
        <v>66130</v>
      </c>
      <c r="H130" s="22">
        <v>1586</v>
      </c>
      <c r="I130" s="23">
        <f t="shared" si="20"/>
        <v>51402.259999999995</v>
      </c>
      <c r="J130" s="22">
        <v>714</v>
      </c>
      <c r="K130" s="22">
        <f t="shared" si="21"/>
        <v>23569.14</v>
      </c>
      <c r="L130" s="29">
        <v>1012</v>
      </c>
      <c r="M130" s="24">
        <f t="shared" si="22"/>
        <v>35541.439999999995</v>
      </c>
      <c r="N130" s="30">
        <v>550</v>
      </c>
      <c r="O130" s="23">
        <f t="shared" si="23"/>
        <v>21037.5</v>
      </c>
      <c r="P130" s="22">
        <v>1121</v>
      </c>
      <c r="Q130" s="22">
        <f t="shared" si="24"/>
        <v>47082</v>
      </c>
      <c r="R130" s="25">
        <v>1112</v>
      </c>
      <c r="S130" s="25">
        <f t="shared" si="25"/>
        <v>43034.400000000001</v>
      </c>
      <c r="T130" s="25"/>
      <c r="U130" s="25">
        <f t="shared" si="26"/>
        <v>0</v>
      </c>
      <c r="V130" s="23">
        <v>1462</v>
      </c>
      <c r="W130" s="23">
        <f t="shared" si="27"/>
        <v>47953.599999999999</v>
      </c>
      <c r="X130" s="23">
        <v>1399</v>
      </c>
      <c r="Y130" s="23">
        <f t="shared" si="28"/>
        <v>49174.85</v>
      </c>
      <c r="Z130" s="23">
        <v>1853</v>
      </c>
      <c r="AA130" s="23">
        <f t="shared" si="29"/>
        <v>64224.979999999996</v>
      </c>
      <c r="AB130" s="23"/>
      <c r="AC130" s="23">
        <f t="shared" si="30"/>
        <v>0</v>
      </c>
      <c r="AD130" s="23">
        <v>2069</v>
      </c>
      <c r="AE130" s="23">
        <f t="shared" si="31"/>
        <v>72497.759999999995</v>
      </c>
      <c r="AF130" s="26">
        <v>1162</v>
      </c>
      <c r="AG130" s="26">
        <f t="shared" si="32"/>
        <v>39717.159999999996</v>
      </c>
      <c r="AH130" s="23">
        <v>1269</v>
      </c>
      <c r="AI130" s="23">
        <f t="shared" si="33"/>
        <v>42257.7</v>
      </c>
      <c r="AJ130" s="23">
        <v>1428</v>
      </c>
      <c r="AK130" s="23">
        <f t="shared" si="34"/>
        <v>51336.600000000006</v>
      </c>
      <c r="AL130" s="26">
        <v>1774</v>
      </c>
      <c r="AM130" s="26">
        <f t="shared" si="35"/>
        <v>65052.58</v>
      </c>
      <c r="AN130" s="12">
        <f t="shared" si="36"/>
        <v>20636</v>
      </c>
      <c r="AO130" s="22">
        <f t="shared" si="37"/>
        <v>720011.96999999986</v>
      </c>
    </row>
    <row r="131" spans="1:41" s="31" customFormat="1" x14ac:dyDescent="0.5">
      <c r="A131" s="19">
        <v>127</v>
      </c>
      <c r="B131" s="20" t="s">
        <v>256</v>
      </c>
      <c r="C131" s="21" t="s">
        <v>257</v>
      </c>
      <c r="D131" s="16">
        <v>892</v>
      </c>
      <c r="E131" s="16">
        <v>3</v>
      </c>
      <c r="F131" s="22">
        <v>923</v>
      </c>
      <c r="G131" s="22">
        <f t="shared" si="19"/>
        <v>28723.760000000002</v>
      </c>
      <c r="H131" s="22">
        <v>909</v>
      </c>
      <c r="I131" s="23">
        <f t="shared" si="20"/>
        <v>29460.69</v>
      </c>
      <c r="J131" s="22">
        <v>847</v>
      </c>
      <c r="K131" s="22">
        <f t="shared" si="21"/>
        <v>27959.469999999998</v>
      </c>
      <c r="L131" s="22">
        <v>714</v>
      </c>
      <c r="M131" s="24">
        <f t="shared" si="22"/>
        <v>25075.679999999997</v>
      </c>
      <c r="N131" s="23">
        <v>748</v>
      </c>
      <c r="O131" s="23">
        <f t="shared" si="23"/>
        <v>28611</v>
      </c>
      <c r="P131" s="22">
        <v>904</v>
      </c>
      <c r="Q131" s="22">
        <f t="shared" si="24"/>
        <v>37968</v>
      </c>
      <c r="R131" s="25">
        <v>887</v>
      </c>
      <c r="S131" s="25">
        <f t="shared" si="25"/>
        <v>34326.9</v>
      </c>
      <c r="T131" s="25">
        <v>946</v>
      </c>
      <c r="U131" s="25">
        <f t="shared" si="26"/>
        <v>31880.200000000004</v>
      </c>
      <c r="V131" s="23">
        <v>1227</v>
      </c>
      <c r="W131" s="23">
        <f t="shared" si="27"/>
        <v>40245.599999999999</v>
      </c>
      <c r="X131" s="23">
        <v>1135</v>
      </c>
      <c r="Y131" s="23">
        <f t="shared" si="28"/>
        <v>39895.25</v>
      </c>
      <c r="Z131" s="23">
        <v>1187</v>
      </c>
      <c r="AA131" s="23">
        <f t="shared" si="29"/>
        <v>41141.42</v>
      </c>
      <c r="AB131" s="23">
        <v>902</v>
      </c>
      <c r="AC131" s="23">
        <f t="shared" si="30"/>
        <v>32517.1</v>
      </c>
      <c r="AD131" s="23">
        <v>1237</v>
      </c>
      <c r="AE131" s="23">
        <f t="shared" si="31"/>
        <v>43344.479999999996</v>
      </c>
      <c r="AF131" s="26">
        <v>1316</v>
      </c>
      <c r="AG131" s="26">
        <f t="shared" si="32"/>
        <v>44980.88</v>
      </c>
      <c r="AH131" s="23">
        <v>1003</v>
      </c>
      <c r="AI131" s="23">
        <f t="shared" si="33"/>
        <v>33399.899999999994</v>
      </c>
      <c r="AJ131" s="23">
        <v>1738</v>
      </c>
      <c r="AK131" s="23">
        <f t="shared" si="34"/>
        <v>62481.100000000006</v>
      </c>
      <c r="AL131" s="26">
        <v>1257</v>
      </c>
      <c r="AM131" s="26">
        <f t="shared" si="35"/>
        <v>46094.19</v>
      </c>
      <c r="AN131" s="12">
        <f t="shared" si="36"/>
        <v>17880</v>
      </c>
      <c r="AO131" s="22">
        <f t="shared" si="37"/>
        <v>628105.61999999988</v>
      </c>
    </row>
    <row r="132" spans="1:41" x14ac:dyDescent="0.5">
      <c r="A132" s="19">
        <v>128</v>
      </c>
      <c r="B132" s="20" t="s">
        <v>258</v>
      </c>
      <c r="C132" s="21" t="s">
        <v>259</v>
      </c>
      <c r="D132" s="16">
        <v>912</v>
      </c>
      <c r="E132" s="16">
        <v>3</v>
      </c>
      <c r="F132" s="22">
        <v>259</v>
      </c>
      <c r="G132" s="22">
        <f t="shared" si="19"/>
        <v>8060.08</v>
      </c>
      <c r="H132" s="22"/>
      <c r="I132" s="23">
        <f t="shared" si="20"/>
        <v>0</v>
      </c>
      <c r="J132" s="22"/>
      <c r="K132" s="22">
        <f t="shared" si="21"/>
        <v>0</v>
      </c>
      <c r="L132" s="22"/>
      <c r="M132" s="24">
        <f t="shared" si="22"/>
        <v>0</v>
      </c>
      <c r="N132" s="23"/>
      <c r="O132" s="23">
        <f t="shared" si="23"/>
        <v>0</v>
      </c>
      <c r="P132" s="22"/>
      <c r="Q132" s="22">
        <f t="shared" si="24"/>
        <v>0</v>
      </c>
      <c r="R132" s="25"/>
      <c r="S132" s="25">
        <f t="shared" si="25"/>
        <v>0</v>
      </c>
      <c r="T132" s="25"/>
      <c r="U132" s="25">
        <f t="shared" si="26"/>
        <v>0</v>
      </c>
      <c r="V132" s="23"/>
      <c r="W132" s="23">
        <f t="shared" si="27"/>
        <v>0</v>
      </c>
      <c r="X132" s="23"/>
      <c r="Y132" s="23">
        <f t="shared" si="28"/>
        <v>0</v>
      </c>
      <c r="Z132" s="23"/>
      <c r="AA132" s="23">
        <f t="shared" si="29"/>
        <v>0</v>
      </c>
      <c r="AB132" s="23"/>
      <c r="AC132" s="23">
        <f t="shared" si="30"/>
        <v>0</v>
      </c>
      <c r="AD132" s="23"/>
      <c r="AE132" s="23">
        <f t="shared" si="31"/>
        <v>0</v>
      </c>
      <c r="AF132" s="26"/>
      <c r="AG132" s="26">
        <f t="shared" si="32"/>
        <v>0</v>
      </c>
      <c r="AH132" s="23"/>
      <c r="AI132" s="23">
        <f t="shared" si="33"/>
        <v>0</v>
      </c>
      <c r="AJ132" s="23"/>
      <c r="AK132" s="23">
        <f t="shared" si="34"/>
        <v>0</v>
      </c>
      <c r="AL132" s="26"/>
      <c r="AM132" s="26">
        <f t="shared" si="35"/>
        <v>0</v>
      </c>
      <c r="AN132" s="12">
        <f t="shared" si="36"/>
        <v>259</v>
      </c>
      <c r="AO132" s="22">
        <f t="shared" si="37"/>
        <v>8060.08</v>
      </c>
    </row>
    <row r="133" spans="1:41" x14ac:dyDescent="0.5">
      <c r="A133" s="19">
        <v>129</v>
      </c>
      <c r="B133" s="32" t="s">
        <v>260</v>
      </c>
      <c r="C133" s="33" t="s">
        <v>261</v>
      </c>
      <c r="D133" s="34">
        <v>917</v>
      </c>
      <c r="E133" s="34">
        <v>3</v>
      </c>
      <c r="F133" s="35">
        <v>2015</v>
      </c>
      <c r="G133" s="22">
        <f t="shared" si="19"/>
        <v>62706.8</v>
      </c>
      <c r="H133" s="35">
        <v>1077</v>
      </c>
      <c r="I133" s="23">
        <f t="shared" si="20"/>
        <v>34905.57</v>
      </c>
      <c r="J133" s="35">
        <v>604</v>
      </c>
      <c r="K133" s="22">
        <f t="shared" si="21"/>
        <v>19938.039999999997</v>
      </c>
      <c r="L133" s="36">
        <v>1008</v>
      </c>
      <c r="M133" s="24">
        <f t="shared" si="22"/>
        <v>35400.959999999999</v>
      </c>
      <c r="N133" s="37">
        <v>898</v>
      </c>
      <c r="O133" s="23">
        <f t="shared" si="23"/>
        <v>34348.5</v>
      </c>
      <c r="P133" s="35">
        <v>1288</v>
      </c>
      <c r="Q133" s="22">
        <f t="shared" si="24"/>
        <v>54096</v>
      </c>
      <c r="R133" s="38">
        <v>1098</v>
      </c>
      <c r="S133" s="25">
        <f t="shared" si="25"/>
        <v>42492.600000000006</v>
      </c>
      <c r="T133" s="38">
        <v>387</v>
      </c>
      <c r="U133" s="25">
        <f t="shared" si="26"/>
        <v>13041.900000000001</v>
      </c>
      <c r="V133" s="23">
        <v>206</v>
      </c>
      <c r="W133" s="23">
        <f t="shared" si="27"/>
        <v>6756.7999999999993</v>
      </c>
      <c r="X133" s="23">
        <v>1560</v>
      </c>
      <c r="Y133" s="23">
        <f t="shared" si="28"/>
        <v>54834</v>
      </c>
      <c r="Z133" s="23"/>
      <c r="AA133" s="23">
        <f t="shared" si="29"/>
        <v>0</v>
      </c>
      <c r="AB133" s="23"/>
      <c r="AC133" s="23">
        <f t="shared" si="30"/>
        <v>0</v>
      </c>
      <c r="AD133" s="23">
        <v>1939</v>
      </c>
      <c r="AE133" s="23">
        <f t="shared" si="31"/>
        <v>67942.559999999998</v>
      </c>
      <c r="AF133" s="26">
        <v>1628</v>
      </c>
      <c r="AG133" s="26">
        <f t="shared" si="32"/>
        <v>55645.04</v>
      </c>
      <c r="AH133" s="23">
        <v>1805</v>
      </c>
      <c r="AI133" s="23">
        <f t="shared" si="33"/>
        <v>60106.499999999993</v>
      </c>
      <c r="AJ133" s="23">
        <v>2298</v>
      </c>
      <c r="AK133" s="23">
        <f t="shared" si="34"/>
        <v>82613.100000000006</v>
      </c>
      <c r="AL133" s="26">
        <v>2500</v>
      </c>
      <c r="AM133" s="26">
        <f t="shared" si="35"/>
        <v>91675</v>
      </c>
      <c r="AN133" s="12">
        <f t="shared" si="36"/>
        <v>20311</v>
      </c>
      <c r="AO133" s="22">
        <f t="shared" si="37"/>
        <v>716503.36999999988</v>
      </c>
    </row>
    <row r="134" spans="1:41" x14ac:dyDescent="0.5">
      <c r="A134" s="19">
        <v>130</v>
      </c>
      <c r="B134" s="32" t="s">
        <v>262</v>
      </c>
      <c r="C134" s="33" t="s">
        <v>263</v>
      </c>
      <c r="D134" s="34">
        <v>918</v>
      </c>
      <c r="E134" s="34">
        <v>3</v>
      </c>
      <c r="F134" s="35">
        <v>787</v>
      </c>
      <c r="G134" s="22">
        <f t="shared" ref="G134:G199" si="38">F134*31.12</f>
        <v>24491.440000000002</v>
      </c>
      <c r="H134" s="35">
        <v>683</v>
      </c>
      <c r="I134" s="23">
        <f t="shared" ref="I134:I199" si="39">H134*32.41</f>
        <v>22136.03</v>
      </c>
      <c r="J134" s="35">
        <v>589</v>
      </c>
      <c r="K134" s="22">
        <f t="shared" ref="K134:K199" si="40">J134*33.01</f>
        <v>19442.89</v>
      </c>
      <c r="L134" s="36"/>
      <c r="M134" s="24">
        <f t="shared" ref="M134:M200" si="41">L134*35.12</f>
        <v>0</v>
      </c>
      <c r="N134" s="37">
        <v>717</v>
      </c>
      <c r="O134" s="23">
        <f t="shared" ref="O134:O200" si="42">N134*38.25</f>
        <v>27425.25</v>
      </c>
      <c r="P134" s="35">
        <v>764</v>
      </c>
      <c r="Q134" s="22">
        <f t="shared" ref="Q134:Q200" si="43">P134*42</f>
        <v>32088</v>
      </c>
      <c r="R134" s="38">
        <v>1080</v>
      </c>
      <c r="S134" s="25">
        <f t="shared" ref="S134:S200" si="44">R134*38.7</f>
        <v>41796</v>
      </c>
      <c r="T134" s="38"/>
      <c r="U134" s="25">
        <f t="shared" ref="U134:U197" si="45">T134*33.7</f>
        <v>0</v>
      </c>
      <c r="V134" s="23">
        <v>601</v>
      </c>
      <c r="W134" s="23">
        <f t="shared" ref="W134:W197" si="46">V134*32.8</f>
        <v>19712.8</v>
      </c>
      <c r="X134" s="23">
        <v>839</v>
      </c>
      <c r="Y134" s="23">
        <f t="shared" ref="Y134:Y197" si="47">X134*35.15</f>
        <v>29490.85</v>
      </c>
      <c r="Z134" s="23"/>
      <c r="AA134" s="23">
        <f t="shared" ref="AA134:AA197" si="48">Z134*34.66</f>
        <v>0</v>
      </c>
      <c r="AB134" s="23"/>
      <c r="AC134" s="23">
        <f t="shared" ref="AC134:AC197" si="49">AB134*36.05</f>
        <v>0</v>
      </c>
      <c r="AD134" s="23">
        <v>969</v>
      </c>
      <c r="AE134" s="23">
        <f t="shared" ref="AE134:AE197" si="50">AD134*35.04</f>
        <v>33953.760000000002</v>
      </c>
      <c r="AF134" s="26"/>
      <c r="AG134" s="26">
        <f t="shared" ref="AG134:AG197" si="51">AF134*34.18</f>
        <v>0</v>
      </c>
      <c r="AH134" s="23">
        <v>885</v>
      </c>
      <c r="AI134" s="23">
        <f t="shared" ref="AI134:AI197" si="52">AH134*33.3</f>
        <v>29470.499999999996</v>
      </c>
      <c r="AJ134" s="23"/>
      <c r="AK134" s="23">
        <f t="shared" ref="AK134:AK197" si="53">AJ134*35.95</f>
        <v>0</v>
      </c>
      <c r="AL134" s="26">
        <v>1899</v>
      </c>
      <c r="AM134" s="26">
        <f t="shared" ref="AM134:AM197" si="54">AL134*36.67</f>
        <v>69636.33</v>
      </c>
      <c r="AN134" s="12">
        <f t="shared" ref="AN134:AN197" si="55">F134+H134+J134+L134+N134+P134+R134+T134+V134+X134+Z134+AB134+AD134+AF134+AH134+AJ134+AL134</f>
        <v>9813</v>
      </c>
      <c r="AO134" s="22">
        <f t="shared" ref="AO134:AO197" si="56">G134+I134+K134+M134+O134+Q134+S134+U134+W134+Y134+AA134+AC134+AE134+AG134+AI134+AK134+AM134</f>
        <v>349643.85</v>
      </c>
    </row>
    <row r="135" spans="1:41" x14ac:dyDescent="0.5">
      <c r="A135" s="19">
        <v>131</v>
      </c>
      <c r="B135" s="32" t="s">
        <v>264</v>
      </c>
      <c r="C135" s="33" t="s">
        <v>265</v>
      </c>
      <c r="D135" s="34">
        <v>940</v>
      </c>
      <c r="E135" s="34">
        <v>3</v>
      </c>
      <c r="F135" s="35">
        <v>1135</v>
      </c>
      <c r="G135" s="22">
        <f t="shared" si="38"/>
        <v>35321.200000000004</v>
      </c>
      <c r="H135" s="35"/>
      <c r="I135" s="23">
        <f t="shared" si="39"/>
        <v>0</v>
      </c>
      <c r="J135" s="35"/>
      <c r="K135" s="22">
        <f t="shared" si="40"/>
        <v>0</v>
      </c>
      <c r="L135" s="35"/>
      <c r="M135" s="24">
        <f t="shared" si="41"/>
        <v>0</v>
      </c>
      <c r="N135" s="39"/>
      <c r="O135" s="23">
        <f t="shared" si="42"/>
        <v>0</v>
      </c>
      <c r="P135" s="35">
        <v>411</v>
      </c>
      <c r="Q135" s="22">
        <f t="shared" si="43"/>
        <v>17262</v>
      </c>
      <c r="R135" s="38">
        <v>836</v>
      </c>
      <c r="S135" s="25">
        <f t="shared" si="44"/>
        <v>32353.200000000001</v>
      </c>
      <c r="T135" s="38">
        <v>810</v>
      </c>
      <c r="U135" s="25">
        <f t="shared" si="45"/>
        <v>27297.000000000004</v>
      </c>
      <c r="V135" s="23">
        <v>947</v>
      </c>
      <c r="W135" s="23">
        <f t="shared" si="46"/>
        <v>31061.599999999999</v>
      </c>
      <c r="X135" s="23">
        <v>818</v>
      </c>
      <c r="Y135" s="23">
        <f t="shared" si="47"/>
        <v>28752.699999999997</v>
      </c>
      <c r="Z135" s="23">
        <v>617</v>
      </c>
      <c r="AA135" s="23">
        <f t="shared" si="48"/>
        <v>21385.219999999998</v>
      </c>
      <c r="AB135" s="23">
        <v>827</v>
      </c>
      <c r="AC135" s="23">
        <f t="shared" si="49"/>
        <v>29813.35</v>
      </c>
      <c r="AD135" s="23">
        <v>1155</v>
      </c>
      <c r="AE135" s="23">
        <f t="shared" si="50"/>
        <v>40471.199999999997</v>
      </c>
      <c r="AF135" s="26">
        <v>1463</v>
      </c>
      <c r="AG135" s="26">
        <f t="shared" si="51"/>
        <v>50005.34</v>
      </c>
      <c r="AH135" s="23">
        <v>1086</v>
      </c>
      <c r="AI135" s="23">
        <f t="shared" si="52"/>
        <v>36163.799999999996</v>
      </c>
      <c r="AJ135" s="23">
        <v>1359</v>
      </c>
      <c r="AK135" s="23">
        <f t="shared" si="53"/>
        <v>48856.05</v>
      </c>
      <c r="AL135" s="26">
        <v>1350</v>
      </c>
      <c r="AM135" s="26">
        <f t="shared" si="54"/>
        <v>49504.5</v>
      </c>
      <c r="AN135" s="12">
        <f t="shared" si="55"/>
        <v>12814</v>
      </c>
      <c r="AO135" s="22">
        <f t="shared" si="56"/>
        <v>448247.16000000003</v>
      </c>
    </row>
    <row r="136" spans="1:41" x14ac:dyDescent="0.5">
      <c r="A136" s="19">
        <v>132</v>
      </c>
      <c r="B136" s="32" t="s">
        <v>266</v>
      </c>
      <c r="C136" s="33" t="s">
        <v>195</v>
      </c>
      <c r="D136" s="34">
        <v>944</v>
      </c>
      <c r="E136" s="34">
        <v>3</v>
      </c>
      <c r="F136" s="35">
        <v>1196</v>
      </c>
      <c r="G136" s="22">
        <f t="shared" si="38"/>
        <v>37219.520000000004</v>
      </c>
      <c r="H136" s="35"/>
      <c r="I136" s="23">
        <f t="shared" si="39"/>
        <v>0</v>
      </c>
      <c r="J136" s="35"/>
      <c r="K136" s="22">
        <f t="shared" si="40"/>
        <v>0</v>
      </c>
      <c r="L136" s="35"/>
      <c r="M136" s="24">
        <f t="shared" si="41"/>
        <v>0</v>
      </c>
      <c r="N136" s="39"/>
      <c r="O136" s="23">
        <f t="shared" si="42"/>
        <v>0</v>
      </c>
      <c r="P136" s="35">
        <v>831</v>
      </c>
      <c r="Q136" s="22">
        <f t="shared" si="43"/>
        <v>34902</v>
      </c>
      <c r="R136" s="38">
        <v>985</v>
      </c>
      <c r="S136" s="25">
        <f t="shared" si="44"/>
        <v>38119.5</v>
      </c>
      <c r="T136" s="38"/>
      <c r="U136" s="25">
        <f t="shared" si="45"/>
        <v>0</v>
      </c>
      <c r="V136" s="23">
        <v>716</v>
      </c>
      <c r="W136" s="23">
        <f t="shared" si="46"/>
        <v>23484.799999999999</v>
      </c>
      <c r="X136" s="23">
        <v>790</v>
      </c>
      <c r="Y136" s="23">
        <f t="shared" si="47"/>
        <v>27768.5</v>
      </c>
      <c r="Z136" s="23"/>
      <c r="AA136" s="23">
        <f t="shared" si="48"/>
        <v>0</v>
      </c>
      <c r="AB136" s="23"/>
      <c r="AC136" s="23">
        <f t="shared" si="49"/>
        <v>0</v>
      </c>
      <c r="AD136" s="23"/>
      <c r="AE136" s="23">
        <f t="shared" si="50"/>
        <v>0</v>
      </c>
      <c r="AF136" s="26">
        <v>900</v>
      </c>
      <c r="AG136" s="26">
        <f t="shared" si="51"/>
        <v>30762</v>
      </c>
      <c r="AH136" s="23">
        <v>921</v>
      </c>
      <c r="AI136" s="23">
        <f t="shared" si="52"/>
        <v>30669.299999999996</v>
      </c>
      <c r="AJ136" s="23">
        <v>977</v>
      </c>
      <c r="AK136" s="23">
        <f t="shared" si="53"/>
        <v>35123.15</v>
      </c>
      <c r="AL136" s="26">
        <v>908</v>
      </c>
      <c r="AM136" s="26">
        <f t="shared" si="54"/>
        <v>33296.36</v>
      </c>
      <c r="AN136" s="12">
        <f t="shared" si="55"/>
        <v>8224</v>
      </c>
      <c r="AO136" s="22">
        <f t="shared" si="56"/>
        <v>291345.13</v>
      </c>
    </row>
    <row r="137" spans="1:41" x14ac:dyDescent="0.5">
      <c r="A137" s="19">
        <v>133</v>
      </c>
      <c r="B137" s="32" t="s">
        <v>267</v>
      </c>
      <c r="C137" s="33" t="s">
        <v>268</v>
      </c>
      <c r="D137" s="34">
        <v>951</v>
      </c>
      <c r="E137" s="34">
        <v>3</v>
      </c>
      <c r="F137" s="35">
        <v>1145</v>
      </c>
      <c r="G137" s="22">
        <f t="shared" si="38"/>
        <v>35632.400000000001</v>
      </c>
      <c r="H137" s="35">
        <v>880</v>
      </c>
      <c r="I137" s="23">
        <f t="shared" si="39"/>
        <v>28520.799999999996</v>
      </c>
      <c r="J137" s="35"/>
      <c r="K137" s="22">
        <f t="shared" si="40"/>
        <v>0</v>
      </c>
      <c r="L137" s="35"/>
      <c r="M137" s="24">
        <f t="shared" si="41"/>
        <v>0</v>
      </c>
      <c r="N137" s="39">
        <v>630</v>
      </c>
      <c r="O137" s="23">
        <f t="shared" si="42"/>
        <v>24097.5</v>
      </c>
      <c r="P137" s="35">
        <v>965</v>
      </c>
      <c r="Q137" s="22">
        <f t="shared" si="43"/>
        <v>40530</v>
      </c>
      <c r="R137" s="38">
        <v>922</v>
      </c>
      <c r="S137" s="25">
        <f t="shared" si="44"/>
        <v>35681.4</v>
      </c>
      <c r="T137" s="38"/>
      <c r="U137" s="25">
        <f t="shared" si="45"/>
        <v>0</v>
      </c>
      <c r="V137" s="23">
        <v>1260</v>
      </c>
      <c r="W137" s="23">
        <f t="shared" si="46"/>
        <v>41328</v>
      </c>
      <c r="X137" s="23">
        <v>1111</v>
      </c>
      <c r="Y137" s="23">
        <f t="shared" si="47"/>
        <v>39051.65</v>
      </c>
      <c r="Z137" s="23">
        <v>877</v>
      </c>
      <c r="AA137" s="23">
        <f t="shared" si="48"/>
        <v>30396.819999999996</v>
      </c>
      <c r="AB137" s="23"/>
      <c r="AC137" s="23">
        <f t="shared" si="49"/>
        <v>0</v>
      </c>
      <c r="AD137" s="23">
        <v>1298</v>
      </c>
      <c r="AE137" s="23">
        <f t="shared" si="50"/>
        <v>45481.919999999998</v>
      </c>
      <c r="AF137" s="26"/>
      <c r="AG137" s="26">
        <f t="shared" si="51"/>
        <v>0</v>
      </c>
      <c r="AH137" s="23"/>
      <c r="AI137" s="23">
        <f t="shared" si="52"/>
        <v>0</v>
      </c>
      <c r="AJ137" s="23">
        <v>1389</v>
      </c>
      <c r="AK137" s="23">
        <f t="shared" si="53"/>
        <v>49934.55</v>
      </c>
      <c r="AL137" s="26"/>
      <c r="AM137" s="26">
        <f t="shared" si="54"/>
        <v>0</v>
      </c>
      <c r="AN137" s="12">
        <f t="shared" si="55"/>
        <v>10477</v>
      </c>
      <c r="AO137" s="22">
        <f t="shared" si="56"/>
        <v>370655.04</v>
      </c>
    </row>
    <row r="138" spans="1:41" s="31" customFormat="1" x14ac:dyDescent="0.5">
      <c r="A138" s="19">
        <v>134</v>
      </c>
      <c r="B138" s="32" t="s">
        <v>269</v>
      </c>
      <c r="C138" s="33" t="s">
        <v>270</v>
      </c>
      <c r="D138" s="34">
        <v>953</v>
      </c>
      <c r="E138" s="34">
        <v>3</v>
      </c>
      <c r="F138" s="35">
        <v>192</v>
      </c>
      <c r="G138" s="22">
        <f t="shared" si="38"/>
        <v>5975.04</v>
      </c>
      <c r="H138" s="35">
        <v>126</v>
      </c>
      <c r="I138" s="23">
        <f t="shared" si="39"/>
        <v>4083.6599999999994</v>
      </c>
      <c r="J138" s="35">
        <v>244</v>
      </c>
      <c r="K138" s="22">
        <f t="shared" si="40"/>
        <v>8054.44</v>
      </c>
      <c r="L138" s="35">
        <v>118</v>
      </c>
      <c r="M138" s="24">
        <f t="shared" si="41"/>
        <v>4144.16</v>
      </c>
      <c r="N138" s="39"/>
      <c r="O138" s="23">
        <f t="shared" si="42"/>
        <v>0</v>
      </c>
      <c r="P138" s="35">
        <v>2559</v>
      </c>
      <c r="Q138" s="22">
        <f t="shared" si="43"/>
        <v>107478</v>
      </c>
      <c r="R138" s="38">
        <v>1541</v>
      </c>
      <c r="S138" s="25">
        <f t="shared" si="44"/>
        <v>59636.700000000004</v>
      </c>
      <c r="T138" s="38">
        <v>1787</v>
      </c>
      <c r="U138" s="25">
        <f t="shared" si="45"/>
        <v>60221.9</v>
      </c>
      <c r="V138" s="23">
        <v>2270</v>
      </c>
      <c r="W138" s="23">
        <f t="shared" si="46"/>
        <v>74456</v>
      </c>
      <c r="X138" s="23">
        <v>2174</v>
      </c>
      <c r="Y138" s="23">
        <f t="shared" si="47"/>
        <v>76416.099999999991</v>
      </c>
      <c r="Z138" s="23">
        <v>1556</v>
      </c>
      <c r="AA138" s="23">
        <f t="shared" si="48"/>
        <v>53930.959999999992</v>
      </c>
      <c r="AB138" s="23">
        <v>1645</v>
      </c>
      <c r="AC138" s="23">
        <f t="shared" si="49"/>
        <v>59302.249999999993</v>
      </c>
      <c r="AD138" s="23">
        <v>2306</v>
      </c>
      <c r="AE138" s="23">
        <f t="shared" si="50"/>
        <v>80802.240000000005</v>
      </c>
      <c r="AF138" s="26">
        <v>2467</v>
      </c>
      <c r="AG138" s="26">
        <f t="shared" si="51"/>
        <v>84322.06</v>
      </c>
      <c r="AH138" s="23">
        <v>1821</v>
      </c>
      <c r="AI138" s="23">
        <f t="shared" si="52"/>
        <v>60639.299999999996</v>
      </c>
      <c r="AJ138" s="23">
        <v>2616</v>
      </c>
      <c r="AK138" s="23">
        <f t="shared" si="53"/>
        <v>94045.200000000012</v>
      </c>
      <c r="AL138" s="26">
        <v>263</v>
      </c>
      <c r="AM138" s="26">
        <f t="shared" si="54"/>
        <v>9644.2100000000009</v>
      </c>
      <c r="AN138" s="12">
        <f t="shared" si="55"/>
        <v>23685</v>
      </c>
      <c r="AO138" s="22">
        <f t="shared" si="56"/>
        <v>843152.22</v>
      </c>
    </row>
    <row r="139" spans="1:41" x14ac:dyDescent="0.5">
      <c r="A139" s="19">
        <v>135</v>
      </c>
      <c r="B139" s="40" t="s">
        <v>271</v>
      </c>
      <c r="C139" s="41" t="s">
        <v>272</v>
      </c>
      <c r="D139" s="34">
        <v>959</v>
      </c>
      <c r="E139" s="34">
        <v>3</v>
      </c>
      <c r="F139" s="35"/>
      <c r="G139" s="22">
        <f t="shared" si="38"/>
        <v>0</v>
      </c>
      <c r="H139" s="35"/>
      <c r="I139" s="23">
        <f t="shared" si="39"/>
        <v>0</v>
      </c>
      <c r="J139" s="35"/>
      <c r="K139" s="22">
        <f t="shared" si="40"/>
        <v>0</v>
      </c>
      <c r="L139" s="35"/>
      <c r="M139" s="24">
        <f t="shared" si="41"/>
        <v>0</v>
      </c>
      <c r="N139" s="39"/>
      <c r="O139" s="23">
        <f t="shared" si="42"/>
        <v>0</v>
      </c>
      <c r="P139" s="35"/>
      <c r="Q139" s="22">
        <f t="shared" si="43"/>
        <v>0</v>
      </c>
      <c r="R139" s="38"/>
      <c r="S139" s="25">
        <f t="shared" si="44"/>
        <v>0</v>
      </c>
      <c r="T139" s="38"/>
      <c r="U139" s="25">
        <f t="shared" si="45"/>
        <v>0</v>
      </c>
      <c r="V139" s="23"/>
      <c r="W139" s="23">
        <f t="shared" si="46"/>
        <v>0</v>
      </c>
      <c r="X139" s="23"/>
      <c r="Y139" s="23">
        <f t="shared" si="47"/>
        <v>0</v>
      </c>
      <c r="Z139" s="23"/>
      <c r="AA139" s="23">
        <f t="shared" si="48"/>
        <v>0</v>
      </c>
      <c r="AB139" s="23"/>
      <c r="AC139" s="23">
        <f t="shared" si="49"/>
        <v>0</v>
      </c>
      <c r="AD139" s="23"/>
      <c r="AE139" s="23">
        <f t="shared" si="50"/>
        <v>0</v>
      </c>
      <c r="AF139" s="26"/>
      <c r="AG139" s="26">
        <f t="shared" si="51"/>
        <v>0</v>
      </c>
      <c r="AH139" s="23"/>
      <c r="AI139" s="23">
        <f t="shared" si="52"/>
        <v>0</v>
      </c>
      <c r="AJ139" s="23"/>
      <c r="AK139" s="23">
        <f t="shared" si="53"/>
        <v>0</v>
      </c>
      <c r="AL139" s="23"/>
      <c r="AM139" s="26">
        <f t="shared" si="54"/>
        <v>0</v>
      </c>
      <c r="AN139" s="12">
        <f t="shared" si="55"/>
        <v>0</v>
      </c>
      <c r="AO139" s="22">
        <f t="shared" si="56"/>
        <v>0</v>
      </c>
    </row>
    <row r="140" spans="1:41" s="31" customFormat="1" x14ac:dyDescent="0.5">
      <c r="A140" s="19">
        <v>136</v>
      </c>
      <c r="B140" s="32" t="s">
        <v>273</v>
      </c>
      <c r="C140" s="33" t="s">
        <v>274</v>
      </c>
      <c r="D140" s="34">
        <v>972</v>
      </c>
      <c r="E140" s="34">
        <v>3</v>
      </c>
      <c r="F140" s="35">
        <v>373</v>
      </c>
      <c r="G140" s="22">
        <f t="shared" si="38"/>
        <v>11607.76</v>
      </c>
      <c r="H140" s="35">
        <v>157</v>
      </c>
      <c r="I140" s="23">
        <f t="shared" si="39"/>
        <v>5088.37</v>
      </c>
      <c r="J140" s="35"/>
      <c r="K140" s="22">
        <f t="shared" si="40"/>
        <v>0</v>
      </c>
      <c r="L140" s="35">
        <v>269</v>
      </c>
      <c r="M140" s="24">
        <f t="shared" si="41"/>
        <v>9447.2799999999988</v>
      </c>
      <c r="N140" s="39">
        <v>237</v>
      </c>
      <c r="O140" s="23">
        <f t="shared" si="42"/>
        <v>9065.25</v>
      </c>
      <c r="P140" s="35">
        <v>274</v>
      </c>
      <c r="Q140" s="22">
        <f t="shared" si="43"/>
        <v>11508</v>
      </c>
      <c r="R140" s="38">
        <v>393</v>
      </c>
      <c r="S140" s="25">
        <f t="shared" si="44"/>
        <v>15209.1</v>
      </c>
      <c r="T140" s="38">
        <v>421</v>
      </c>
      <c r="U140" s="25">
        <f t="shared" si="45"/>
        <v>14187.7</v>
      </c>
      <c r="V140" s="23">
        <v>422</v>
      </c>
      <c r="W140" s="23">
        <f t="shared" si="46"/>
        <v>13841.599999999999</v>
      </c>
      <c r="X140" s="23">
        <v>390</v>
      </c>
      <c r="Y140" s="23">
        <f t="shared" si="47"/>
        <v>13708.5</v>
      </c>
      <c r="Z140" s="23"/>
      <c r="AA140" s="23">
        <f t="shared" si="48"/>
        <v>0</v>
      </c>
      <c r="AB140" s="23">
        <v>421</v>
      </c>
      <c r="AC140" s="23">
        <f t="shared" si="49"/>
        <v>15177.05</v>
      </c>
      <c r="AD140" s="23">
        <v>684</v>
      </c>
      <c r="AE140" s="23">
        <f t="shared" si="50"/>
        <v>23967.360000000001</v>
      </c>
      <c r="AF140" s="26">
        <v>646</v>
      </c>
      <c r="AG140" s="26">
        <f t="shared" si="51"/>
        <v>22080.28</v>
      </c>
      <c r="AH140" s="23">
        <v>581</v>
      </c>
      <c r="AI140" s="23">
        <f t="shared" si="52"/>
        <v>19347.3</v>
      </c>
      <c r="AJ140" s="23">
        <v>220</v>
      </c>
      <c r="AK140" s="23">
        <f t="shared" si="53"/>
        <v>7909.0000000000009</v>
      </c>
      <c r="AL140" s="26">
        <v>929</v>
      </c>
      <c r="AM140" s="26">
        <f t="shared" si="54"/>
        <v>34066.43</v>
      </c>
      <c r="AN140" s="12">
        <f t="shared" si="55"/>
        <v>6417</v>
      </c>
      <c r="AO140" s="22">
        <f t="shared" si="56"/>
        <v>226210.97999999998</v>
      </c>
    </row>
    <row r="141" spans="1:41" x14ac:dyDescent="0.5">
      <c r="A141" s="19">
        <v>137</v>
      </c>
      <c r="B141" s="40" t="s">
        <v>275</v>
      </c>
      <c r="C141" s="41" t="s">
        <v>276</v>
      </c>
      <c r="D141" s="34">
        <v>984</v>
      </c>
      <c r="E141" s="34">
        <v>3</v>
      </c>
      <c r="F141" s="35">
        <v>987</v>
      </c>
      <c r="G141" s="22">
        <f t="shared" si="38"/>
        <v>30715.440000000002</v>
      </c>
      <c r="H141" s="35">
        <v>470</v>
      </c>
      <c r="I141" s="23">
        <f t="shared" si="39"/>
        <v>15232.699999999999</v>
      </c>
      <c r="J141" s="35">
        <v>428</v>
      </c>
      <c r="K141" s="22">
        <f t="shared" si="40"/>
        <v>14128.279999999999</v>
      </c>
      <c r="L141" s="35"/>
      <c r="M141" s="24">
        <f t="shared" si="41"/>
        <v>0</v>
      </c>
      <c r="N141" s="39">
        <v>201</v>
      </c>
      <c r="O141" s="23">
        <f t="shared" si="42"/>
        <v>7688.25</v>
      </c>
      <c r="P141" s="35">
        <v>205</v>
      </c>
      <c r="Q141" s="22">
        <f t="shared" si="43"/>
        <v>8610</v>
      </c>
      <c r="R141" s="38">
        <v>847</v>
      </c>
      <c r="S141" s="25">
        <f t="shared" si="44"/>
        <v>32778.9</v>
      </c>
      <c r="T141" s="38"/>
      <c r="U141" s="25">
        <f t="shared" si="45"/>
        <v>0</v>
      </c>
      <c r="V141" s="23"/>
      <c r="W141" s="23">
        <f t="shared" si="46"/>
        <v>0</v>
      </c>
      <c r="X141" s="23">
        <v>1182</v>
      </c>
      <c r="Y141" s="23">
        <f t="shared" si="47"/>
        <v>41547.299999999996</v>
      </c>
      <c r="Z141" s="23">
        <v>686</v>
      </c>
      <c r="AA141" s="23">
        <f t="shared" si="48"/>
        <v>23776.76</v>
      </c>
      <c r="AB141" s="23">
        <v>829</v>
      </c>
      <c r="AC141" s="23">
        <f t="shared" si="49"/>
        <v>29885.449999999997</v>
      </c>
      <c r="AD141" s="23">
        <v>922</v>
      </c>
      <c r="AE141" s="23">
        <f t="shared" si="50"/>
        <v>32306.880000000001</v>
      </c>
      <c r="AF141" s="26">
        <v>526</v>
      </c>
      <c r="AG141" s="26">
        <f t="shared" si="51"/>
        <v>17978.68</v>
      </c>
      <c r="AH141" s="23"/>
      <c r="AI141" s="23">
        <f t="shared" si="52"/>
        <v>0</v>
      </c>
      <c r="AJ141" s="23"/>
      <c r="AK141" s="23">
        <f t="shared" si="53"/>
        <v>0</v>
      </c>
      <c r="AL141" s="23">
        <v>1023</v>
      </c>
      <c r="AM141" s="26">
        <f t="shared" si="54"/>
        <v>37513.410000000003</v>
      </c>
      <c r="AN141" s="12">
        <f t="shared" si="55"/>
        <v>8306</v>
      </c>
      <c r="AO141" s="22">
        <f t="shared" si="56"/>
        <v>292162.05000000005</v>
      </c>
    </row>
    <row r="142" spans="1:41" s="31" customFormat="1" x14ac:dyDescent="0.5">
      <c r="A142" s="19">
        <v>138</v>
      </c>
      <c r="B142" s="20" t="s">
        <v>277</v>
      </c>
      <c r="C142" s="21" t="s">
        <v>214</v>
      </c>
      <c r="D142" s="16">
        <v>996</v>
      </c>
      <c r="E142" s="16">
        <v>3</v>
      </c>
      <c r="F142" s="22">
        <v>611</v>
      </c>
      <c r="G142" s="22">
        <f t="shared" si="38"/>
        <v>19014.32</v>
      </c>
      <c r="H142" s="22">
        <v>270</v>
      </c>
      <c r="I142" s="23">
        <f t="shared" si="39"/>
        <v>8750.6999999999989</v>
      </c>
      <c r="J142" s="22">
        <v>154</v>
      </c>
      <c r="K142" s="22">
        <f t="shared" si="40"/>
        <v>5083.54</v>
      </c>
      <c r="L142" s="22">
        <v>189</v>
      </c>
      <c r="M142" s="24">
        <f t="shared" si="41"/>
        <v>6637.6799999999994</v>
      </c>
      <c r="N142" s="23">
        <v>431</v>
      </c>
      <c r="O142" s="23">
        <f t="shared" si="42"/>
        <v>16485.75</v>
      </c>
      <c r="P142" s="22">
        <v>654</v>
      </c>
      <c r="Q142" s="22">
        <f t="shared" si="43"/>
        <v>27468</v>
      </c>
      <c r="R142" s="25">
        <v>581</v>
      </c>
      <c r="S142" s="25">
        <f t="shared" si="44"/>
        <v>22484.7</v>
      </c>
      <c r="T142" s="25">
        <v>622</v>
      </c>
      <c r="U142" s="25">
        <f t="shared" si="45"/>
        <v>20961.400000000001</v>
      </c>
      <c r="V142" s="23">
        <v>652</v>
      </c>
      <c r="W142" s="23">
        <f t="shared" si="46"/>
        <v>21385.599999999999</v>
      </c>
      <c r="X142" s="23">
        <v>1163</v>
      </c>
      <c r="Y142" s="23">
        <f t="shared" si="47"/>
        <v>40879.449999999997</v>
      </c>
      <c r="Z142" s="23">
        <v>918</v>
      </c>
      <c r="AA142" s="23">
        <f t="shared" si="48"/>
        <v>31817.879999999997</v>
      </c>
      <c r="AB142" s="23">
        <v>856</v>
      </c>
      <c r="AC142" s="23">
        <f t="shared" si="49"/>
        <v>30858.799999999999</v>
      </c>
      <c r="AD142" s="23">
        <v>1031</v>
      </c>
      <c r="AE142" s="23">
        <f t="shared" si="50"/>
        <v>36126.239999999998</v>
      </c>
      <c r="AF142" s="26">
        <v>1222</v>
      </c>
      <c r="AG142" s="26">
        <f t="shared" si="51"/>
        <v>41767.96</v>
      </c>
      <c r="AH142" s="23">
        <v>1028</v>
      </c>
      <c r="AI142" s="23">
        <f t="shared" si="52"/>
        <v>34232.399999999994</v>
      </c>
      <c r="AJ142" s="23">
        <v>1022</v>
      </c>
      <c r="AK142" s="23">
        <f t="shared" si="53"/>
        <v>36740.9</v>
      </c>
      <c r="AL142" s="26">
        <v>958</v>
      </c>
      <c r="AM142" s="26">
        <f t="shared" si="54"/>
        <v>35129.86</v>
      </c>
      <c r="AN142" s="12">
        <f t="shared" si="55"/>
        <v>12362</v>
      </c>
      <c r="AO142" s="22">
        <f t="shared" si="56"/>
        <v>435825.18000000005</v>
      </c>
    </row>
    <row r="143" spans="1:41" s="31" customFormat="1" x14ac:dyDescent="0.5">
      <c r="A143" s="19">
        <v>139</v>
      </c>
      <c r="B143" s="20" t="s">
        <v>278</v>
      </c>
      <c r="C143" s="21" t="s">
        <v>279</v>
      </c>
      <c r="D143" s="16">
        <v>1039</v>
      </c>
      <c r="E143" s="16">
        <v>3</v>
      </c>
      <c r="F143" s="22">
        <v>618</v>
      </c>
      <c r="G143" s="22">
        <f t="shared" si="38"/>
        <v>19232.16</v>
      </c>
      <c r="H143" s="22">
        <v>401</v>
      </c>
      <c r="I143" s="23">
        <f t="shared" si="39"/>
        <v>12996.409999999998</v>
      </c>
      <c r="J143" s="22">
        <v>490</v>
      </c>
      <c r="K143" s="22">
        <f t="shared" si="40"/>
        <v>16174.9</v>
      </c>
      <c r="L143" s="22">
        <v>332</v>
      </c>
      <c r="M143" s="24">
        <f t="shared" si="41"/>
        <v>11659.839999999998</v>
      </c>
      <c r="N143" s="23">
        <v>422</v>
      </c>
      <c r="O143" s="23">
        <f t="shared" si="42"/>
        <v>16141.5</v>
      </c>
      <c r="P143" s="22">
        <v>599</v>
      </c>
      <c r="Q143" s="22">
        <f t="shared" si="43"/>
        <v>25158</v>
      </c>
      <c r="R143" s="25">
        <v>591</v>
      </c>
      <c r="S143" s="25">
        <f t="shared" si="44"/>
        <v>22871.7</v>
      </c>
      <c r="T143" s="25">
        <v>508</v>
      </c>
      <c r="U143" s="25">
        <f t="shared" si="45"/>
        <v>17119.600000000002</v>
      </c>
      <c r="V143" s="23">
        <v>774</v>
      </c>
      <c r="W143" s="23">
        <f t="shared" si="46"/>
        <v>25387.199999999997</v>
      </c>
      <c r="X143" s="23">
        <v>903</v>
      </c>
      <c r="Y143" s="23">
        <f t="shared" si="47"/>
        <v>31740.449999999997</v>
      </c>
      <c r="Z143" s="23">
        <v>367</v>
      </c>
      <c r="AA143" s="23">
        <f t="shared" si="48"/>
        <v>12720.22</v>
      </c>
      <c r="AB143" s="23"/>
      <c r="AC143" s="23">
        <f t="shared" si="49"/>
        <v>0</v>
      </c>
      <c r="AD143" s="23">
        <v>945</v>
      </c>
      <c r="AE143" s="23">
        <f t="shared" si="50"/>
        <v>33112.799999999996</v>
      </c>
      <c r="AF143" s="26">
        <v>665</v>
      </c>
      <c r="AG143" s="26">
        <f t="shared" si="51"/>
        <v>22729.7</v>
      </c>
      <c r="AH143" s="23">
        <v>840</v>
      </c>
      <c r="AI143" s="23">
        <f t="shared" si="52"/>
        <v>27971.999999999996</v>
      </c>
      <c r="AJ143" s="23">
        <v>834</v>
      </c>
      <c r="AK143" s="23">
        <f t="shared" si="53"/>
        <v>29982.300000000003</v>
      </c>
      <c r="AL143" s="26">
        <v>744</v>
      </c>
      <c r="AM143" s="26">
        <f t="shared" si="54"/>
        <v>27282.48</v>
      </c>
      <c r="AN143" s="12">
        <f t="shared" si="55"/>
        <v>10033</v>
      </c>
      <c r="AO143" s="22">
        <f t="shared" si="56"/>
        <v>352281.25999999995</v>
      </c>
    </row>
    <row r="144" spans="1:41" s="31" customFormat="1" x14ac:dyDescent="0.5">
      <c r="A144" s="19">
        <v>140</v>
      </c>
      <c r="B144" s="20" t="s">
        <v>280</v>
      </c>
      <c r="C144" s="21" t="s">
        <v>281</v>
      </c>
      <c r="D144" s="16">
        <v>1040</v>
      </c>
      <c r="E144" s="16">
        <v>3</v>
      </c>
      <c r="F144" s="22"/>
      <c r="G144" s="22">
        <f t="shared" si="38"/>
        <v>0</v>
      </c>
      <c r="H144" s="22"/>
      <c r="I144" s="23">
        <f t="shared" si="39"/>
        <v>0</v>
      </c>
      <c r="J144" s="22"/>
      <c r="K144" s="22">
        <f t="shared" si="40"/>
        <v>0</v>
      </c>
      <c r="L144" s="22"/>
      <c r="M144" s="24">
        <f t="shared" si="41"/>
        <v>0</v>
      </c>
      <c r="N144" s="23"/>
      <c r="O144" s="23">
        <f t="shared" si="42"/>
        <v>0</v>
      </c>
      <c r="P144" s="22"/>
      <c r="Q144" s="22">
        <f t="shared" si="43"/>
        <v>0</v>
      </c>
      <c r="R144" s="25"/>
      <c r="S144" s="25">
        <f t="shared" si="44"/>
        <v>0</v>
      </c>
      <c r="T144" s="25"/>
      <c r="U144" s="25">
        <f t="shared" si="45"/>
        <v>0</v>
      </c>
      <c r="V144" s="23"/>
      <c r="W144" s="23">
        <f t="shared" si="46"/>
        <v>0</v>
      </c>
      <c r="X144" s="23"/>
      <c r="Y144" s="23">
        <f t="shared" si="47"/>
        <v>0</v>
      </c>
      <c r="Z144" s="23"/>
      <c r="AA144" s="23">
        <f t="shared" si="48"/>
        <v>0</v>
      </c>
      <c r="AB144" s="23"/>
      <c r="AC144" s="23">
        <f t="shared" si="49"/>
        <v>0</v>
      </c>
      <c r="AD144" s="23"/>
      <c r="AE144" s="23">
        <f t="shared" si="50"/>
        <v>0</v>
      </c>
      <c r="AF144" s="26"/>
      <c r="AG144" s="26">
        <f t="shared" si="51"/>
        <v>0</v>
      </c>
      <c r="AH144" s="23"/>
      <c r="AI144" s="23">
        <f t="shared" si="52"/>
        <v>0</v>
      </c>
      <c r="AJ144" s="23"/>
      <c r="AK144" s="23">
        <f t="shared" si="53"/>
        <v>0</v>
      </c>
      <c r="AL144" s="26"/>
      <c r="AM144" s="26">
        <f t="shared" si="54"/>
        <v>0</v>
      </c>
      <c r="AN144" s="12">
        <f t="shared" si="55"/>
        <v>0</v>
      </c>
      <c r="AO144" s="22">
        <f t="shared" si="56"/>
        <v>0</v>
      </c>
    </row>
    <row r="145" spans="1:41" s="31" customFormat="1" x14ac:dyDescent="0.5">
      <c r="A145" s="19">
        <v>141</v>
      </c>
      <c r="B145" s="20" t="s">
        <v>282</v>
      </c>
      <c r="C145" s="21" t="s">
        <v>283</v>
      </c>
      <c r="D145" s="16">
        <v>1047</v>
      </c>
      <c r="E145" s="16">
        <v>3</v>
      </c>
      <c r="F145" s="22"/>
      <c r="G145" s="22">
        <f t="shared" si="38"/>
        <v>0</v>
      </c>
      <c r="H145" s="22"/>
      <c r="I145" s="23">
        <f t="shared" si="39"/>
        <v>0</v>
      </c>
      <c r="J145" s="22"/>
      <c r="K145" s="22">
        <f t="shared" si="40"/>
        <v>0</v>
      </c>
      <c r="L145" s="22"/>
      <c r="M145" s="24">
        <f t="shared" si="41"/>
        <v>0</v>
      </c>
      <c r="N145" s="23"/>
      <c r="O145" s="23">
        <f t="shared" si="42"/>
        <v>0</v>
      </c>
      <c r="P145" s="22"/>
      <c r="Q145" s="22">
        <f t="shared" si="43"/>
        <v>0</v>
      </c>
      <c r="R145" s="25"/>
      <c r="S145" s="25">
        <f t="shared" si="44"/>
        <v>0</v>
      </c>
      <c r="T145" s="25"/>
      <c r="U145" s="25">
        <f t="shared" si="45"/>
        <v>0</v>
      </c>
      <c r="V145" s="23"/>
      <c r="W145" s="23">
        <f t="shared" si="46"/>
        <v>0</v>
      </c>
      <c r="X145" s="23"/>
      <c r="Y145" s="23">
        <f t="shared" si="47"/>
        <v>0</v>
      </c>
      <c r="Z145" s="23"/>
      <c r="AA145" s="23">
        <f t="shared" si="48"/>
        <v>0</v>
      </c>
      <c r="AB145" s="23"/>
      <c r="AC145" s="23">
        <f t="shared" si="49"/>
        <v>0</v>
      </c>
      <c r="AD145" s="23"/>
      <c r="AE145" s="23">
        <f t="shared" si="50"/>
        <v>0</v>
      </c>
      <c r="AF145" s="26"/>
      <c r="AG145" s="26">
        <f t="shared" si="51"/>
        <v>0</v>
      </c>
      <c r="AH145" s="23"/>
      <c r="AI145" s="23">
        <f t="shared" si="52"/>
        <v>0</v>
      </c>
      <c r="AJ145" s="23"/>
      <c r="AK145" s="23">
        <f t="shared" si="53"/>
        <v>0</v>
      </c>
      <c r="AL145" s="26"/>
      <c r="AM145" s="26">
        <f t="shared" si="54"/>
        <v>0</v>
      </c>
      <c r="AN145" s="12">
        <f t="shared" si="55"/>
        <v>0</v>
      </c>
      <c r="AO145" s="22">
        <f t="shared" si="56"/>
        <v>0</v>
      </c>
    </row>
    <row r="146" spans="1:41" s="31" customFormat="1" x14ac:dyDescent="0.5">
      <c r="A146" s="19">
        <v>142</v>
      </c>
      <c r="B146" s="20" t="s">
        <v>284</v>
      </c>
      <c r="C146" s="21" t="s">
        <v>285</v>
      </c>
      <c r="D146" s="16">
        <v>1080</v>
      </c>
      <c r="E146" s="16">
        <v>3</v>
      </c>
      <c r="F146" s="22"/>
      <c r="G146" s="22">
        <f t="shared" si="38"/>
        <v>0</v>
      </c>
      <c r="H146" s="22"/>
      <c r="I146" s="23">
        <f t="shared" si="39"/>
        <v>0</v>
      </c>
      <c r="J146" s="22"/>
      <c r="K146" s="22">
        <f t="shared" si="40"/>
        <v>0</v>
      </c>
      <c r="L146" s="22"/>
      <c r="M146" s="24">
        <f t="shared" si="41"/>
        <v>0</v>
      </c>
      <c r="N146" s="23"/>
      <c r="O146" s="23">
        <f t="shared" si="42"/>
        <v>0</v>
      </c>
      <c r="P146" s="22"/>
      <c r="Q146" s="22">
        <f t="shared" si="43"/>
        <v>0</v>
      </c>
      <c r="R146" s="25"/>
      <c r="S146" s="25">
        <f t="shared" si="44"/>
        <v>0</v>
      </c>
      <c r="T146" s="25"/>
      <c r="U146" s="25">
        <f t="shared" si="45"/>
        <v>0</v>
      </c>
      <c r="V146" s="23"/>
      <c r="W146" s="23">
        <f t="shared" si="46"/>
        <v>0</v>
      </c>
      <c r="X146" s="23"/>
      <c r="Y146" s="23">
        <f t="shared" si="47"/>
        <v>0</v>
      </c>
      <c r="Z146" s="23"/>
      <c r="AA146" s="23">
        <f t="shared" si="48"/>
        <v>0</v>
      </c>
      <c r="AB146" s="23"/>
      <c r="AC146" s="23">
        <f t="shared" si="49"/>
        <v>0</v>
      </c>
      <c r="AD146" s="23"/>
      <c r="AE146" s="23">
        <f t="shared" si="50"/>
        <v>0</v>
      </c>
      <c r="AF146" s="26"/>
      <c r="AG146" s="26">
        <f t="shared" si="51"/>
        <v>0</v>
      </c>
      <c r="AH146" s="23"/>
      <c r="AI146" s="23">
        <f t="shared" si="52"/>
        <v>0</v>
      </c>
      <c r="AJ146" s="23"/>
      <c r="AK146" s="23">
        <f t="shared" si="53"/>
        <v>0</v>
      </c>
      <c r="AL146" s="26"/>
      <c r="AM146" s="26">
        <f t="shared" si="54"/>
        <v>0</v>
      </c>
      <c r="AN146" s="12">
        <f t="shared" si="55"/>
        <v>0</v>
      </c>
      <c r="AO146" s="22">
        <f t="shared" si="56"/>
        <v>0</v>
      </c>
    </row>
    <row r="147" spans="1:41" s="31" customFormat="1" x14ac:dyDescent="0.5">
      <c r="A147" s="19">
        <v>143</v>
      </c>
      <c r="B147" s="20" t="s">
        <v>286</v>
      </c>
      <c r="C147" s="21" t="s">
        <v>287</v>
      </c>
      <c r="D147" s="16">
        <v>1105</v>
      </c>
      <c r="E147" s="16">
        <v>3</v>
      </c>
      <c r="F147" s="22"/>
      <c r="G147" s="22">
        <f t="shared" si="38"/>
        <v>0</v>
      </c>
      <c r="H147" s="22"/>
      <c r="I147" s="23">
        <f t="shared" si="39"/>
        <v>0</v>
      </c>
      <c r="J147" s="22"/>
      <c r="K147" s="22">
        <f t="shared" si="40"/>
        <v>0</v>
      </c>
      <c r="L147" s="22"/>
      <c r="M147" s="24">
        <f t="shared" si="41"/>
        <v>0</v>
      </c>
      <c r="N147" s="23"/>
      <c r="O147" s="23">
        <f t="shared" si="42"/>
        <v>0</v>
      </c>
      <c r="P147" s="22"/>
      <c r="Q147" s="22">
        <f t="shared" si="43"/>
        <v>0</v>
      </c>
      <c r="R147" s="25">
        <v>143</v>
      </c>
      <c r="S147" s="25">
        <f t="shared" si="44"/>
        <v>5534.1</v>
      </c>
      <c r="T147" s="25">
        <v>155</v>
      </c>
      <c r="U147" s="25">
        <f t="shared" si="45"/>
        <v>5223.5</v>
      </c>
      <c r="V147" s="23">
        <v>246</v>
      </c>
      <c r="W147" s="23">
        <f t="shared" si="46"/>
        <v>8068.7999999999993</v>
      </c>
      <c r="X147" s="23">
        <v>222</v>
      </c>
      <c r="Y147" s="23">
        <f t="shared" si="47"/>
        <v>7803.2999999999993</v>
      </c>
      <c r="Z147" s="23">
        <v>202</v>
      </c>
      <c r="AA147" s="23">
        <f t="shared" si="48"/>
        <v>7001.32</v>
      </c>
      <c r="AB147" s="23"/>
      <c r="AC147" s="23">
        <f t="shared" si="49"/>
        <v>0</v>
      </c>
      <c r="AD147" s="23">
        <v>187</v>
      </c>
      <c r="AE147" s="23">
        <f t="shared" si="50"/>
        <v>6552.48</v>
      </c>
      <c r="AF147" s="26"/>
      <c r="AG147" s="26">
        <f t="shared" si="51"/>
        <v>0</v>
      </c>
      <c r="AH147" s="23">
        <v>230</v>
      </c>
      <c r="AI147" s="23">
        <f t="shared" si="52"/>
        <v>7658.9999999999991</v>
      </c>
      <c r="AJ147" s="23">
        <v>211</v>
      </c>
      <c r="AK147" s="23">
        <f t="shared" si="53"/>
        <v>7585.4500000000007</v>
      </c>
      <c r="AL147" s="26"/>
      <c r="AM147" s="26">
        <f t="shared" si="54"/>
        <v>0</v>
      </c>
      <c r="AN147" s="12">
        <f t="shared" si="55"/>
        <v>1596</v>
      </c>
      <c r="AO147" s="22">
        <f t="shared" si="56"/>
        <v>55427.95</v>
      </c>
    </row>
    <row r="148" spans="1:41" s="31" customFormat="1" x14ac:dyDescent="0.5">
      <c r="A148" s="19">
        <v>144</v>
      </c>
      <c r="B148" s="20" t="s">
        <v>288</v>
      </c>
      <c r="C148" s="21" t="s">
        <v>289</v>
      </c>
      <c r="D148" s="16">
        <v>1107</v>
      </c>
      <c r="E148" s="16">
        <v>3</v>
      </c>
      <c r="F148" s="22"/>
      <c r="G148" s="22">
        <f t="shared" si="38"/>
        <v>0</v>
      </c>
      <c r="H148" s="22"/>
      <c r="I148" s="23">
        <f t="shared" si="39"/>
        <v>0</v>
      </c>
      <c r="J148" s="22"/>
      <c r="K148" s="22">
        <f t="shared" si="40"/>
        <v>0</v>
      </c>
      <c r="L148" s="22"/>
      <c r="M148" s="24">
        <f t="shared" si="41"/>
        <v>0</v>
      </c>
      <c r="N148" s="23"/>
      <c r="O148" s="23">
        <f t="shared" si="42"/>
        <v>0</v>
      </c>
      <c r="P148" s="22"/>
      <c r="Q148" s="22">
        <f t="shared" si="43"/>
        <v>0</v>
      </c>
      <c r="R148" s="25">
        <v>315</v>
      </c>
      <c r="S148" s="25">
        <f t="shared" si="44"/>
        <v>12190.5</v>
      </c>
      <c r="T148" s="25">
        <v>312</v>
      </c>
      <c r="U148" s="25">
        <f t="shared" si="45"/>
        <v>10514.400000000001</v>
      </c>
      <c r="V148" s="23">
        <v>288</v>
      </c>
      <c r="W148" s="23">
        <f t="shared" si="46"/>
        <v>9446.4</v>
      </c>
      <c r="X148" s="23">
        <v>1282</v>
      </c>
      <c r="Y148" s="23">
        <f t="shared" si="47"/>
        <v>45062.299999999996</v>
      </c>
      <c r="Z148" s="23">
        <v>1129</v>
      </c>
      <c r="AA148" s="23">
        <f t="shared" si="48"/>
        <v>39131.14</v>
      </c>
      <c r="AB148" s="23"/>
      <c r="AC148" s="23">
        <f t="shared" si="49"/>
        <v>0</v>
      </c>
      <c r="AD148" s="23">
        <v>1145</v>
      </c>
      <c r="AE148" s="23">
        <f t="shared" si="50"/>
        <v>40120.799999999996</v>
      </c>
      <c r="AF148" s="26">
        <v>2264</v>
      </c>
      <c r="AG148" s="26">
        <f t="shared" si="51"/>
        <v>77383.520000000004</v>
      </c>
      <c r="AH148" s="23">
        <v>1621</v>
      </c>
      <c r="AI148" s="23">
        <f t="shared" si="52"/>
        <v>53979.299999999996</v>
      </c>
      <c r="AJ148" s="23">
        <v>1689</v>
      </c>
      <c r="AK148" s="23">
        <f t="shared" si="53"/>
        <v>60719.55</v>
      </c>
      <c r="AL148" s="26">
        <v>3604</v>
      </c>
      <c r="AM148" s="26">
        <f t="shared" si="54"/>
        <v>132158.68</v>
      </c>
      <c r="AN148" s="12">
        <f t="shared" si="55"/>
        <v>13649</v>
      </c>
      <c r="AO148" s="22">
        <f t="shared" si="56"/>
        <v>480706.58999999997</v>
      </c>
    </row>
    <row r="149" spans="1:41" x14ac:dyDescent="0.5">
      <c r="A149" s="19">
        <v>145</v>
      </c>
      <c r="B149" s="27" t="s">
        <v>290</v>
      </c>
      <c r="C149" s="28" t="s">
        <v>291</v>
      </c>
      <c r="D149" s="16">
        <v>25</v>
      </c>
      <c r="E149" s="16">
        <v>4</v>
      </c>
      <c r="F149" s="22"/>
      <c r="G149" s="22">
        <f t="shared" si="38"/>
        <v>0</v>
      </c>
      <c r="H149" s="22"/>
      <c r="I149" s="23">
        <f t="shared" si="39"/>
        <v>0</v>
      </c>
      <c r="J149" s="22"/>
      <c r="K149" s="22">
        <f t="shared" si="40"/>
        <v>0</v>
      </c>
      <c r="L149" s="22"/>
      <c r="M149" s="24">
        <f t="shared" si="41"/>
        <v>0</v>
      </c>
      <c r="N149" s="23"/>
      <c r="O149" s="23">
        <f t="shared" si="42"/>
        <v>0</v>
      </c>
      <c r="P149" s="22"/>
      <c r="Q149" s="22">
        <f t="shared" si="43"/>
        <v>0</v>
      </c>
      <c r="R149" s="25"/>
      <c r="S149" s="25">
        <f t="shared" si="44"/>
        <v>0</v>
      </c>
      <c r="T149" s="25"/>
      <c r="U149" s="25">
        <f t="shared" si="45"/>
        <v>0</v>
      </c>
      <c r="V149" s="23"/>
      <c r="W149" s="23">
        <f t="shared" si="46"/>
        <v>0</v>
      </c>
      <c r="X149" s="23"/>
      <c r="Y149" s="23">
        <f t="shared" si="47"/>
        <v>0</v>
      </c>
      <c r="Z149" s="23"/>
      <c r="AA149" s="23">
        <f t="shared" si="48"/>
        <v>0</v>
      </c>
      <c r="AB149" s="23"/>
      <c r="AC149" s="23">
        <f t="shared" si="49"/>
        <v>0</v>
      </c>
      <c r="AD149" s="23"/>
      <c r="AE149" s="23">
        <f t="shared" si="50"/>
        <v>0</v>
      </c>
      <c r="AF149" s="26"/>
      <c r="AG149" s="26">
        <f t="shared" si="51"/>
        <v>0</v>
      </c>
      <c r="AH149" s="23"/>
      <c r="AI149" s="23">
        <f t="shared" si="52"/>
        <v>0</v>
      </c>
      <c r="AJ149" s="23"/>
      <c r="AK149" s="23">
        <f t="shared" si="53"/>
        <v>0</v>
      </c>
      <c r="AL149" s="23"/>
      <c r="AM149" s="26">
        <f t="shared" si="54"/>
        <v>0</v>
      </c>
      <c r="AN149" s="12">
        <f t="shared" si="55"/>
        <v>0</v>
      </c>
      <c r="AO149" s="22">
        <f t="shared" si="56"/>
        <v>0</v>
      </c>
    </row>
    <row r="150" spans="1:41" x14ac:dyDescent="0.5">
      <c r="A150" s="19">
        <v>146</v>
      </c>
      <c r="B150" s="20" t="s">
        <v>292</v>
      </c>
      <c r="C150" s="21" t="s">
        <v>291</v>
      </c>
      <c r="D150" s="16">
        <v>26</v>
      </c>
      <c r="E150" s="16">
        <v>4</v>
      </c>
      <c r="F150" s="22">
        <v>1362</v>
      </c>
      <c r="G150" s="22">
        <f t="shared" si="38"/>
        <v>42385.440000000002</v>
      </c>
      <c r="H150" s="22"/>
      <c r="I150" s="23">
        <f t="shared" si="39"/>
        <v>0</v>
      </c>
      <c r="J150" s="22"/>
      <c r="K150" s="22">
        <f t="shared" si="40"/>
        <v>0</v>
      </c>
      <c r="L150" s="29"/>
      <c r="M150" s="24">
        <f t="shared" si="41"/>
        <v>0</v>
      </c>
      <c r="N150" s="30">
        <v>432</v>
      </c>
      <c r="O150" s="23">
        <f t="shared" si="42"/>
        <v>16524</v>
      </c>
      <c r="P150" s="22">
        <v>774</v>
      </c>
      <c r="Q150" s="22">
        <f t="shared" si="43"/>
        <v>32508</v>
      </c>
      <c r="R150" s="25">
        <v>1602</v>
      </c>
      <c r="S150" s="25">
        <f t="shared" si="44"/>
        <v>61997.4</v>
      </c>
      <c r="T150" s="25">
        <v>1815</v>
      </c>
      <c r="U150" s="25">
        <f t="shared" si="45"/>
        <v>61165.500000000007</v>
      </c>
      <c r="V150" s="23">
        <v>2306</v>
      </c>
      <c r="W150" s="23">
        <f t="shared" si="46"/>
        <v>75636.799999999988</v>
      </c>
      <c r="X150" s="23">
        <v>2069</v>
      </c>
      <c r="Y150" s="23">
        <f t="shared" si="47"/>
        <v>72725.349999999991</v>
      </c>
      <c r="Z150" s="23">
        <v>2019</v>
      </c>
      <c r="AA150" s="23">
        <f t="shared" si="48"/>
        <v>69978.539999999994</v>
      </c>
      <c r="AB150" s="23">
        <v>1644</v>
      </c>
      <c r="AC150" s="23">
        <f t="shared" si="49"/>
        <v>59266.2</v>
      </c>
      <c r="AD150" s="23">
        <v>1808</v>
      </c>
      <c r="AE150" s="23">
        <f t="shared" si="50"/>
        <v>63352.32</v>
      </c>
      <c r="AF150" s="26">
        <v>2103</v>
      </c>
      <c r="AG150" s="26">
        <f t="shared" si="51"/>
        <v>71880.539999999994</v>
      </c>
      <c r="AH150" s="23">
        <v>1797</v>
      </c>
      <c r="AI150" s="23">
        <f t="shared" si="52"/>
        <v>59840.099999999991</v>
      </c>
      <c r="AJ150" s="23">
        <v>2001</v>
      </c>
      <c r="AK150" s="23">
        <f t="shared" si="53"/>
        <v>71935.950000000012</v>
      </c>
      <c r="AL150" s="26">
        <v>1725</v>
      </c>
      <c r="AM150" s="26">
        <f t="shared" si="54"/>
        <v>63255.75</v>
      </c>
      <c r="AN150" s="12">
        <f t="shared" si="55"/>
        <v>23457</v>
      </c>
      <c r="AO150" s="22">
        <f t="shared" si="56"/>
        <v>822451.8899999999</v>
      </c>
    </row>
    <row r="151" spans="1:41" s="31" customFormat="1" x14ac:dyDescent="0.5">
      <c r="A151" s="19">
        <v>147</v>
      </c>
      <c r="B151" s="20" t="s">
        <v>293</v>
      </c>
      <c r="C151" s="21" t="s">
        <v>294</v>
      </c>
      <c r="D151" s="16">
        <v>27</v>
      </c>
      <c r="E151" s="16">
        <v>4</v>
      </c>
      <c r="F151" s="22">
        <v>962</v>
      </c>
      <c r="G151" s="22">
        <f t="shared" si="38"/>
        <v>29937.440000000002</v>
      </c>
      <c r="H151" s="22">
        <v>440</v>
      </c>
      <c r="I151" s="23">
        <f t="shared" si="39"/>
        <v>14260.399999999998</v>
      </c>
      <c r="J151" s="22"/>
      <c r="K151" s="22">
        <f t="shared" si="40"/>
        <v>0</v>
      </c>
      <c r="L151" s="22"/>
      <c r="M151" s="24">
        <f t="shared" si="41"/>
        <v>0</v>
      </c>
      <c r="N151" s="23"/>
      <c r="O151" s="23">
        <f t="shared" si="42"/>
        <v>0</v>
      </c>
      <c r="P151" s="22">
        <v>734</v>
      </c>
      <c r="Q151" s="22">
        <f t="shared" si="43"/>
        <v>30828</v>
      </c>
      <c r="R151" s="25">
        <v>621</v>
      </c>
      <c r="S151" s="25">
        <f t="shared" si="44"/>
        <v>24032.7</v>
      </c>
      <c r="T151" s="25">
        <v>778</v>
      </c>
      <c r="U151" s="25">
        <f t="shared" si="45"/>
        <v>26218.600000000002</v>
      </c>
      <c r="V151" s="23">
        <v>988</v>
      </c>
      <c r="W151" s="23">
        <f t="shared" si="46"/>
        <v>32406.399999999998</v>
      </c>
      <c r="X151" s="23">
        <v>771</v>
      </c>
      <c r="Y151" s="23">
        <f t="shared" si="47"/>
        <v>27100.649999999998</v>
      </c>
      <c r="Z151" s="23"/>
      <c r="AA151" s="23">
        <f t="shared" si="48"/>
        <v>0</v>
      </c>
      <c r="AB151" s="23">
        <v>1138</v>
      </c>
      <c r="AC151" s="23">
        <f t="shared" si="49"/>
        <v>41024.899999999994</v>
      </c>
      <c r="AD151" s="23">
        <v>1372</v>
      </c>
      <c r="AE151" s="23">
        <f t="shared" si="50"/>
        <v>48074.879999999997</v>
      </c>
      <c r="AF151" s="26">
        <v>791</v>
      </c>
      <c r="AG151" s="26">
        <f t="shared" si="51"/>
        <v>27036.38</v>
      </c>
      <c r="AH151" s="23">
        <v>659</v>
      </c>
      <c r="AI151" s="23">
        <f t="shared" si="52"/>
        <v>21944.699999999997</v>
      </c>
      <c r="AJ151" s="23">
        <v>985</v>
      </c>
      <c r="AK151" s="23">
        <f t="shared" si="53"/>
        <v>35410.75</v>
      </c>
      <c r="AL151" s="26">
        <v>1732</v>
      </c>
      <c r="AM151" s="26">
        <f t="shared" si="54"/>
        <v>63512.44</v>
      </c>
      <c r="AN151" s="12">
        <f t="shared" si="55"/>
        <v>11971</v>
      </c>
      <c r="AO151" s="22">
        <f t="shared" si="56"/>
        <v>421788.24</v>
      </c>
    </row>
    <row r="152" spans="1:41" s="31" customFormat="1" x14ac:dyDescent="0.5">
      <c r="A152" s="19">
        <v>148</v>
      </c>
      <c r="B152" s="27" t="s">
        <v>295</v>
      </c>
      <c r="C152" s="28" t="s">
        <v>296</v>
      </c>
      <c r="D152" s="16">
        <v>54</v>
      </c>
      <c r="E152" s="16">
        <v>4</v>
      </c>
      <c r="F152" s="22"/>
      <c r="G152" s="22">
        <f t="shared" si="38"/>
        <v>0</v>
      </c>
      <c r="H152" s="22"/>
      <c r="I152" s="23">
        <f t="shared" si="39"/>
        <v>0</v>
      </c>
      <c r="J152" s="22"/>
      <c r="K152" s="22">
        <f t="shared" si="40"/>
        <v>0</v>
      </c>
      <c r="L152" s="29"/>
      <c r="M152" s="24">
        <f t="shared" si="41"/>
        <v>0</v>
      </c>
      <c r="N152" s="30"/>
      <c r="O152" s="23">
        <f t="shared" si="42"/>
        <v>0</v>
      </c>
      <c r="P152" s="22"/>
      <c r="Q152" s="22">
        <f t="shared" si="43"/>
        <v>0</v>
      </c>
      <c r="R152" s="25"/>
      <c r="S152" s="25">
        <f t="shared" si="44"/>
        <v>0</v>
      </c>
      <c r="T152" s="25"/>
      <c r="U152" s="25">
        <f t="shared" si="45"/>
        <v>0</v>
      </c>
      <c r="V152" s="23"/>
      <c r="W152" s="23">
        <f t="shared" si="46"/>
        <v>0</v>
      </c>
      <c r="X152" s="23"/>
      <c r="Y152" s="23">
        <f t="shared" si="47"/>
        <v>0</v>
      </c>
      <c r="Z152" s="23"/>
      <c r="AA152" s="23">
        <f t="shared" si="48"/>
        <v>0</v>
      </c>
      <c r="AB152" s="23"/>
      <c r="AC152" s="23">
        <f t="shared" si="49"/>
        <v>0</v>
      </c>
      <c r="AD152" s="23"/>
      <c r="AE152" s="23">
        <f t="shared" si="50"/>
        <v>0</v>
      </c>
      <c r="AF152" s="26"/>
      <c r="AG152" s="26">
        <f t="shared" si="51"/>
        <v>0</v>
      </c>
      <c r="AH152" s="23"/>
      <c r="AI152" s="23">
        <f t="shared" si="52"/>
        <v>0</v>
      </c>
      <c r="AJ152" s="23"/>
      <c r="AK152" s="23">
        <f t="shared" si="53"/>
        <v>0</v>
      </c>
      <c r="AL152" s="23"/>
      <c r="AM152" s="26">
        <f t="shared" si="54"/>
        <v>0</v>
      </c>
      <c r="AN152" s="12">
        <f t="shared" si="55"/>
        <v>0</v>
      </c>
      <c r="AO152" s="22">
        <f t="shared" si="56"/>
        <v>0</v>
      </c>
    </row>
    <row r="153" spans="1:41" s="31" customFormat="1" x14ac:dyDescent="0.5">
      <c r="A153" s="19">
        <v>149</v>
      </c>
      <c r="B153" s="27" t="s">
        <v>297</v>
      </c>
      <c r="C153" s="28" t="s">
        <v>298</v>
      </c>
      <c r="D153" s="16">
        <v>55</v>
      </c>
      <c r="E153" s="16">
        <v>4</v>
      </c>
      <c r="F153" s="22"/>
      <c r="G153" s="22">
        <f t="shared" si="38"/>
        <v>0</v>
      </c>
      <c r="H153" s="22"/>
      <c r="I153" s="23">
        <f t="shared" si="39"/>
        <v>0</v>
      </c>
      <c r="J153" s="22"/>
      <c r="K153" s="22">
        <f t="shared" si="40"/>
        <v>0</v>
      </c>
      <c r="L153" s="22"/>
      <c r="M153" s="24">
        <f t="shared" si="41"/>
        <v>0</v>
      </c>
      <c r="N153" s="23"/>
      <c r="O153" s="23">
        <f t="shared" si="42"/>
        <v>0</v>
      </c>
      <c r="P153" s="22"/>
      <c r="Q153" s="22">
        <f t="shared" si="43"/>
        <v>0</v>
      </c>
      <c r="R153" s="25"/>
      <c r="S153" s="25">
        <f t="shared" si="44"/>
        <v>0</v>
      </c>
      <c r="T153" s="25"/>
      <c r="U153" s="25">
        <f t="shared" si="45"/>
        <v>0</v>
      </c>
      <c r="V153" s="23"/>
      <c r="W153" s="23">
        <f t="shared" si="46"/>
        <v>0</v>
      </c>
      <c r="X153" s="23"/>
      <c r="Y153" s="23">
        <f t="shared" si="47"/>
        <v>0</v>
      </c>
      <c r="Z153" s="23"/>
      <c r="AA153" s="23">
        <f t="shared" si="48"/>
        <v>0</v>
      </c>
      <c r="AB153" s="23"/>
      <c r="AC153" s="23">
        <f t="shared" si="49"/>
        <v>0</v>
      </c>
      <c r="AD153" s="23"/>
      <c r="AE153" s="23">
        <f t="shared" si="50"/>
        <v>0</v>
      </c>
      <c r="AF153" s="26"/>
      <c r="AG153" s="26">
        <f t="shared" si="51"/>
        <v>0</v>
      </c>
      <c r="AH153" s="23"/>
      <c r="AI153" s="23">
        <f t="shared" si="52"/>
        <v>0</v>
      </c>
      <c r="AJ153" s="23"/>
      <c r="AK153" s="23">
        <f t="shared" si="53"/>
        <v>0</v>
      </c>
      <c r="AL153" s="23"/>
      <c r="AM153" s="26">
        <f t="shared" si="54"/>
        <v>0</v>
      </c>
      <c r="AN153" s="12">
        <f t="shared" si="55"/>
        <v>0</v>
      </c>
      <c r="AO153" s="22">
        <f t="shared" si="56"/>
        <v>0</v>
      </c>
    </row>
    <row r="154" spans="1:41" x14ac:dyDescent="0.5">
      <c r="A154" s="19">
        <v>150</v>
      </c>
      <c r="B154" s="20" t="s">
        <v>299</v>
      </c>
      <c r="C154" s="21" t="s">
        <v>300</v>
      </c>
      <c r="D154" s="16">
        <v>290</v>
      </c>
      <c r="E154" s="16">
        <v>4</v>
      </c>
      <c r="F154" s="22">
        <v>428</v>
      </c>
      <c r="G154" s="22">
        <f t="shared" si="38"/>
        <v>13319.36</v>
      </c>
      <c r="H154" s="22">
        <v>258</v>
      </c>
      <c r="I154" s="23">
        <f t="shared" si="39"/>
        <v>8361.7799999999988</v>
      </c>
      <c r="J154" s="22">
        <v>445</v>
      </c>
      <c r="K154" s="22">
        <f t="shared" si="40"/>
        <v>14689.449999999999</v>
      </c>
      <c r="L154" s="29">
        <v>344</v>
      </c>
      <c r="M154" s="24">
        <f t="shared" si="41"/>
        <v>12081.279999999999</v>
      </c>
      <c r="N154" s="30">
        <v>446</v>
      </c>
      <c r="O154" s="23">
        <f t="shared" si="42"/>
        <v>17059.5</v>
      </c>
      <c r="P154" s="22">
        <v>481</v>
      </c>
      <c r="Q154" s="22">
        <f t="shared" si="43"/>
        <v>20202</v>
      </c>
      <c r="R154" s="25">
        <v>553</v>
      </c>
      <c r="S154" s="25">
        <f t="shared" si="44"/>
        <v>21401.100000000002</v>
      </c>
      <c r="T154" s="25">
        <v>586</v>
      </c>
      <c r="U154" s="25">
        <f t="shared" si="45"/>
        <v>19748.2</v>
      </c>
      <c r="V154" s="23">
        <v>487</v>
      </c>
      <c r="W154" s="23">
        <f t="shared" si="46"/>
        <v>15973.599999999999</v>
      </c>
      <c r="X154" s="23">
        <v>503</v>
      </c>
      <c r="Y154" s="23">
        <f t="shared" si="47"/>
        <v>17680.45</v>
      </c>
      <c r="Z154" s="23">
        <v>458</v>
      </c>
      <c r="AA154" s="23">
        <f t="shared" si="48"/>
        <v>15874.279999999999</v>
      </c>
      <c r="AB154" s="23">
        <v>392</v>
      </c>
      <c r="AC154" s="23">
        <f t="shared" si="49"/>
        <v>14131.599999999999</v>
      </c>
      <c r="AD154" s="23">
        <v>403</v>
      </c>
      <c r="AE154" s="23">
        <f t="shared" si="50"/>
        <v>14121.119999999999</v>
      </c>
      <c r="AF154" s="26"/>
      <c r="AG154" s="26">
        <f t="shared" si="51"/>
        <v>0</v>
      </c>
      <c r="AH154" s="23">
        <v>570</v>
      </c>
      <c r="AI154" s="23">
        <f t="shared" si="52"/>
        <v>18981</v>
      </c>
      <c r="AJ154" s="23">
        <v>428</v>
      </c>
      <c r="AK154" s="23">
        <f t="shared" si="53"/>
        <v>15386.6</v>
      </c>
      <c r="AL154" s="26">
        <v>411</v>
      </c>
      <c r="AM154" s="26">
        <f t="shared" si="54"/>
        <v>15071.37</v>
      </c>
      <c r="AN154" s="12">
        <f t="shared" si="55"/>
        <v>7193</v>
      </c>
      <c r="AO154" s="22">
        <f t="shared" si="56"/>
        <v>254082.69</v>
      </c>
    </row>
    <row r="155" spans="1:41" x14ac:dyDescent="0.5">
      <c r="A155" s="19">
        <v>151</v>
      </c>
      <c r="B155" s="27" t="s">
        <v>301</v>
      </c>
      <c r="C155" s="28" t="s">
        <v>302</v>
      </c>
      <c r="D155" s="16">
        <v>437</v>
      </c>
      <c r="E155" s="16">
        <v>4</v>
      </c>
      <c r="F155" s="22"/>
      <c r="G155" s="22">
        <f t="shared" si="38"/>
        <v>0</v>
      </c>
      <c r="H155" s="22"/>
      <c r="I155" s="23">
        <f t="shared" si="39"/>
        <v>0</v>
      </c>
      <c r="J155" s="22"/>
      <c r="K155" s="22">
        <f t="shared" si="40"/>
        <v>0</v>
      </c>
      <c r="L155" s="29"/>
      <c r="M155" s="24">
        <f t="shared" si="41"/>
        <v>0</v>
      </c>
      <c r="N155" s="30"/>
      <c r="O155" s="23">
        <f t="shared" si="42"/>
        <v>0</v>
      </c>
      <c r="P155" s="22"/>
      <c r="Q155" s="22">
        <f t="shared" si="43"/>
        <v>0</v>
      </c>
      <c r="R155" s="25"/>
      <c r="S155" s="25">
        <f t="shared" si="44"/>
        <v>0</v>
      </c>
      <c r="T155" s="25"/>
      <c r="U155" s="25">
        <f t="shared" si="45"/>
        <v>0</v>
      </c>
      <c r="V155" s="23"/>
      <c r="W155" s="23">
        <f t="shared" si="46"/>
        <v>0</v>
      </c>
      <c r="X155" s="23"/>
      <c r="Y155" s="23">
        <f t="shared" si="47"/>
        <v>0</v>
      </c>
      <c r="Z155" s="23"/>
      <c r="AA155" s="23">
        <f t="shared" si="48"/>
        <v>0</v>
      </c>
      <c r="AB155" s="23"/>
      <c r="AC155" s="23">
        <f t="shared" si="49"/>
        <v>0</v>
      </c>
      <c r="AD155" s="23"/>
      <c r="AE155" s="23">
        <f t="shared" si="50"/>
        <v>0</v>
      </c>
      <c r="AF155" s="26"/>
      <c r="AG155" s="26">
        <f t="shared" si="51"/>
        <v>0</v>
      </c>
      <c r="AH155" s="23"/>
      <c r="AI155" s="23">
        <f t="shared" si="52"/>
        <v>0</v>
      </c>
      <c r="AJ155" s="23"/>
      <c r="AK155" s="23">
        <f t="shared" si="53"/>
        <v>0</v>
      </c>
      <c r="AL155" s="23"/>
      <c r="AM155" s="26">
        <f t="shared" si="54"/>
        <v>0</v>
      </c>
      <c r="AN155" s="12">
        <f t="shared" si="55"/>
        <v>0</v>
      </c>
      <c r="AO155" s="22">
        <f t="shared" si="56"/>
        <v>0</v>
      </c>
    </row>
    <row r="156" spans="1:41" x14ac:dyDescent="0.5">
      <c r="A156" s="19">
        <v>152</v>
      </c>
      <c r="B156" s="27" t="s">
        <v>303</v>
      </c>
      <c r="C156" s="28" t="s">
        <v>304</v>
      </c>
      <c r="D156" s="16">
        <v>453</v>
      </c>
      <c r="E156" s="16">
        <v>4</v>
      </c>
      <c r="F156" s="22">
        <v>1482</v>
      </c>
      <c r="G156" s="22">
        <f t="shared" si="38"/>
        <v>46119.840000000004</v>
      </c>
      <c r="H156" s="22"/>
      <c r="I156" s="23">
        <f t="shared" si="39"/>
        <v>0</v>
      </c>
      <c r="J156" s="22"/>
      <c r="K156" s="22">
        <f t="shared" si="40"/>
        <v>0</v>
      </c>
      <c r="L156" s="29"/>
      <c r="M156" s="24">
        <f t="shared" si="41"/>
        <v>0</v>
      </c>
      <c r="N156" s="30">
        <v>1098</v>
      </c>
      <c r="O156" s="23">
        <f t="shared" si="42"/>
        <v>41998.5</v>
      </c>
      <c r="P156" s="22">
        <v>3720</v>
      </c>
      <c r="Q156" s="22">
        <f t="shared" si="43"/>
        <v>156240</v>
      </c>
      <c r="R156" s="25">
        <v>4162</v>
      </c>
      <c r="S156" s="25">
        <f t="shared" si="44"/>
        <v>161069.40000000002</v>
      </c>
      <c r="T156" s="25">
        <v>1458</v>
      </c>
      <c r="U156" s="25">
        <f t="shared" si="45"/>
        <v>49134.600000000006</v>
      </c>
      <c r="V156" s="23">
        <v>1800</v>
      </c>
      <c r="W156" s="23">
        <f t="shared" si="46"/>
        <v>59039.999999999993</v>
      </c>
      <c r="X156" s="23">
        <v>1831</v>
      </c>
      <c r="Y156" s="23">
        <f t="shared" si="47"/>
        <v>64359.649999999994</v>
      </c>
      <c r="Z156" s="23"/>
      <c r="AA156" s="23">
        <f t="shared" si="48"/>
        <v>0</v>
      </c>
      <c r="AB156" s="23">
        <v>855</v>
      </c>
      <c r="AC156" s="23">
        <f t="shared" si="49"/>
        <v>30822.749999999996</v>
      </c>
      <c r="AD156" s="23">
        <v>2369</v>
      </c>
      <c r="AE156" s="23">
        <f t="shared" si="50"/>
        <v>83009.759999999995</v>
      </c>
      <c r="AF156" s="26">
        <v>1608</v>
      </c>
      <c r="AG156" s="26">
        <f t="shared" si="51"/>
        <v>54961.440000000002</v>
      </c>
      <c r="AH156" s="23"/>
      <c r="AI156" s="23">
        <f t="shared" si="52"/>
        <v>0</v>
      </c>
      <c r="AJ156" s="23">
        <v>986</v>
      </c>
      <c r="AK156" s="23">
        <f t="shared" si="53"/>
        <v>35446.700000000004</v>
      </c>
      <c r="AL156" s="23">
        <v>2120</v>
      </c>
      <c r="AM156" s="26">
        <f t="shared" si="54"/>
        <v>77740.400000000009</v>
      </c>
      <c r="AN156" s="12">
        <f t="shared" si="55"/>
        <v>23489</v>
      </c>
      <c r="AO156" s="22">
        <f t="shared" si="56"/>
        <v>859943.03999999992</v>
      </c>
    </row>
    <row r="157" spans="1:41" x14ac:dyDescent="0.5">
      <c r="A157" s="19">
        <v>153</v>
      </c>
      <c r="B157" s="20" t="s">
        <v>174</v>
      </c>
      <c r="C157" s="21" t="s">
        <v>90</v>
      </c>
      <c r="D157" s="16">
        <v>455</v>
      </c>
      <c r="E157" s="16">
        <v>4</v>
      </c>
      <c r="F157" s="22">
        <v>890</v>
      </c>
      <c r="G157" s="22">
        <f t="shared" si="38"/>
        <v>27696.799999999999</v>
      </c>
      <c r="H157" s="22">
        <v>678</v>
      </c>
      <c r="I157" s="23">
        <f t="shared" si="39"/>
        <v>21973.979999999996</v>
      </c>
      <c r="J157" s="22">
        <v>917</v>
      </c>
      <c r="K157" s="22">
        <f t="shared" si="40"/>
        <v>30270.17</v>
      </c>
      <c r="L157" s="29">
        <v>747</v>
      </c>
      <c r="M157" s="24">
        <f t="shared" si="41"/>
        <v>26234.639999999999</v>
      </c>
      <c r="N157" s="30">
        <v>1018</v>
      </c>
      <c r="O157" s="23">
        <f t="shared" si="42"/>
        <v>38938.5</v>
      </c>
      <c r="P157" s="22">
        <v>1072</v>
      </c>
      <c r="Q157" s="22">
        <f t="shared" si="43"/>
        <v>45024</v>
      </c>
      <c r="R157" s="25">
        <v>1096</v>
      </c>
      <c r="S157" s="25">
        <f t="shared" si="44"/>
        <v>42415.200000000004</v>
      </c>
      <c r="T157" s="25">
        <v>1183</v>
      </c>
      <c r="U157" s="25">
        <f t="shared" si="45"/>
        <v>39867.100000000006</v>
      </c>
      <c r="V157" s="23">
        <v>973</v>
      </c>
      <c r="W157" s="23">
        <f t="shared" si="46"/>
        <v>31914.399999999998</v>
      </c>
      <c r="X157" s="23">
        <v>1413</v>
      </c>
      <c r="Y157" s="23">
        <f t="shared" si="47"/>
        <v>49666.95</v>
      </c>
      <c r="Z157" s="23">
        <v>1153</v>
      </c>
      <c r="AA157" s="23">
        <f t="shared" si="48"/>
        <v>39962.979999999996</v>
      </c>
      <c r="AB157" s="23">
        <v>849</v>
      </c>
      <c r="AC157" s="23">
        <f t="shared" si="49"/>
        <v>30606.449999999997</v>
      </c>
      <c r="AD157" s="23">
        <v>1103</v>
      </c>
      <c r="AE157" s="23">
        <f t="shared" si="50"/>
        <v>38649.120000000003</v>
      </c>
      <c r="AF157" s="26">
        <v>1354</v>
      </c>
      <c r="AG157" s="26">
        <f t="shared" si="51"/>
        <v>46279.72</v>
      </c>
      <c r="AH157" s="23">
        <v>1126</v>
      </c>
      <c r="AI157" s="23">
        <f t="shared" si="52"/>
        <v>37495.799999999996</v>
      </c>
      <c r="AJ157" s="23">
        <v>1210</v>
      </c>
      <c r="AK157" s="23">
        <f t="shared" si="53"/>
        <v>43499.5</v>
      </c>
      <c r="AL157" s="26">
        <v>1270</v>
      </c>
      <c r="AM157" s="26">
        <f t="shared" si="54"/>
        <v>46570.9</v>
      </c>
      <c r="AN157" s="12">
        <f t="shared" si="55"/>
        <v>18052</v>
      </c>
      <c r="AO157" s="22">
        <f t="shared" si="56"/>
        <v>637066.21000000008</v>
      </c>
    </row>
    <row r="158" spans="1:41" x14ac:dyDescent="0.5">
      <c r="A158" s="19">
        <v>154</v>
      </c>
      <c r="B158" s="20" t="s">
        <v>267</v>
      </c>
      <c r="C158" s="21" t="s">
        <v>305</v>
      </c>
      <c r="D158" s="16">
        <v>494</v>
      </c>
      <c r="E158" s="16">
        <v>4</v>
      </c>
      <c r="F158" s="22">
        <v>308</v>
      </c>
      <c r="G158" s="22">
        <f t="shared" si="38"/>
        <v>9584.9600000000009</v>
      </c>
      <c r="H158" s="22"/>
      <c r="I158" s="23">
        <f t="shared" si="39"/>
        <v>0</v>
      </c>
      <c r="J158" s="22"/>
      <c r="K158" s="22">
        <f t="shared" si="40"/>
        <v>0</v>
      </c>
      <c r="L158" s="22"/>
      <c r="M158" s="24">
        <f t="shared" si="41"/>
        <v>0</v>
      </c>
      <c r="N158" s="23"/>
      <c r="O158" s="23">
        <f t="shared" si="42"/>
        <v>0</v>
      </c>
      <c r="P158" s="22">
        <v>252</v>
      </c>
      <c r="Q158" s="22">
        <f t="shared" si="43"/>
        <v>10584</v>
      </c>
      <c r="R158" s="25">
        <v>903</v>
      </c>
      <c r="S158" s="25">
        <f t="shared" si="44"/>
        <v>34946.100000000006</v>
      </c>
      <c r="T158" s="25">
        <v>650</v>
      </c>
      <c r="U158" s="25">
        <f t="shared" si="45"/>
        <v>21905.000000000004</v>
      </c>
      <c r="V158" s="23">
        <v>885</v>
      </c>
      <c r="W158" s="23">
        <f t="shared" si="46"/>
        <v>29027.999999999996</v>
      </c>
      <c r="X158" s="23">
        <v>273</v>
      </c>
      <c r="Y158" s="23">
        <f t="shared" si="47"/>
        <v>9595.9499999999989</v>
      </c>
      <c r="Z158" s="23"/>
      <c r="AA158" s="23">
        <f t="shared" si="48"/>
        <v>0</v>
      </c>
      <c r="AB158" s="23"/>
      <c r="AC158" s="23">
        <f t="shared" si="49"/>
        <v>0</v>
      </c>
      <c r="AD158" s="23"/>
      <c r="AE158" s="23">
        <f t="shared" si="50"/>
        <v>0</v>
      </c>
      <c r="AF158" s="26">
        <v>1244</v>
      </c>
      <c r="AG158" s="26">
        <f t="shared" si="51"/>
        <v>42519.92</v>
      </c>
      <c r="AH158" s="23"/>
      <c r="AI158" s="23">
        <f t="shared" si="52"/>
        <v>0</v>
      </c>
      <c r="AJ158" s="23"/>
      <c r="AK158" s="23">
        <f t="shared" si="53"/>
        <v>0</v>
      </c>
      <c r="AL158" s="26">
        <v>448</v>
      </c>
      <c r="AM158" s="26">
        <f t="shared" si="54"/>
        <v>16428.16</v>
      </c>
      <c r="AN158" s="12">
        <f t="shared" si="55"/>
        <v>4963</v>
      </c>
      <c r="AO158" s="22">
        <f t="shared" si="56"/>
        <v>174592.09</v>
      </c>
    </row>
    <row r="159" spans="1:41" s="31" customFormat="1" x14ac:dyDescent="0.5">
      <c r="A159" s="19">
        <v>155</v>
      </c>
      <c r="B159" s="20" t="s">
        <v>306</v>
      </c>
      <c r="C159" s="21" t="s">
        <v>307</v>
      </c>
      <c r="D159" s="16">
        <v>495</v>
      </c>
      <c r="E159" s="16">
        <v>4</v>
      </c>
      <c r="F159" s="22">
        <v>576</v>
      </c>
      <c r="G159" s="22">
        <f t="shared" si="38"/>
        <v>17925.12</v>
      </c>
      <c r="H159" s="22"/>
      <c r="I159" s="23">
        <f t="shared" si="39"/>
        <v>0</v>
      </c>
      <c r="J159" s="22"/>
      <c r="K159" s="22">
        <f t="shared" si="40"/>
        <v>0</v>
      </c>
      <c r="L159" s="22"/>
      <c r="M159" s="24">
        <f t="shared" si="41"/>
        <v>0</v>
      </c>
      <c r="N159" s="23"/>
      <c r="O159" s="23">
        <f t="shared" si="42"/>
        <v>0</v>
      </c>
      <c r="P159" s="22">
        <v>245</v>
      </c>
      <c r="Q159" s="22">
        <f t="shared" si="43"/>
        <v>10290</v>
      </c>
      <c r="R159" s="25">
        <v>1205</v>
      </c>
      <c r="S159" s="25">
        <f t="shared" si="44"/>
        <v>46633.5</v>
      </c>
      <c r="T159" s="25">
        <v>1335</v>
      </c>
      <c r="U159" s="25">
        <f t="shared" si="45"/>
        <v>44989.500000000007</v>
      </c>
      <c r="V159" s="23">
        <v>1065</v>
      </c>
      <c r="W159" s="23">
        <f t="shared" si="46"/>
        <v>34932</v>
      </c>
      <c r="X159" s="23">
        <v>947</v>
      </c>
      <c r="Y159" s="23">
        <f t="shared" si="47"/>
        <v>33287.049999999996</v>
      </c>
      <c r="Z159" s="23">
        <v>1385</v>
      </c>
      <c r="AA159" s="23">
        <f t="shared" si="48"/>
        <v>48004.1</v>
      </c>
      <c r="AB159" s="23">
        <v>698</v>
      </c>
      <c r="AC159" s="23">
        <f t="shared" si="49"/>
        <v>25162.899999999998</v>
      </c>
      <c r="AD159" s="23">
        <v>1621</v>
      </c>
      <c r="AE159" s="23">
        <f t="shared" si="50"/>
        <v>56799.839999999997</v>
      </c>
      <c r="AF159" s="26">
        <v>592</v>
      </c>
      <c r="AG159" s="26">
        <f t="shared" si="51"/>
        <v>20234.560000000001</v>
      </c>
      <c r="AH159" s="23">
        <v>1408</v>
      </c>
      <c r="AI159" s="23">
        <f t="shared" si="52"/>
        <v>46886.399999999994</v>
      </c>
      <c r="AJ159" s="23">
        <v>910</v>
      </c>
      <c r="AK159" s="23">
        <f t="shared" si="53"/>
        <v>32714.500000000004</v>
      </c>
      <c r="AL159" s="26">
        <v>903</v>
      </c>
      <c r="AM159" s="26">
        <f t="shared" si="54"/>
        <v>33113.01</v>
      </c>
      <c r="AN159" s="12">
        <f t="shared" si="55"/>
        <v>12890</v>
      </c>
      <c r="AO159" s="22">
        <f t="shared" si="56"/>
        <v>450972.48</v>
      </c>
    </row>
    <row r="160" spans="1:41" x14ac:dyDescent="0.5">
      <c r="A160" s="19">
        <v>156</v>
      </c>
      <c r="B160" s="27" t="s">
        <v>308</v>
      </c>
      <c r="C160" s="28" t="s">
        <v>309</v>
      </c>
      <c r="D160" s="16">
        <v>549</v>
      </c>
      <c r="E160" s="16">
        <v>4</v>
      </c>
      <c r="F160" s="22"/>
      <c r="G160" s="22">
        <f t="shared" si="38"/>
        <v>0</v>
      </c>
      <c r="H160" s="22"/>
      <c r="I160" s="23">
        <f t="shared" si="39"/>
        <v>0</v>
      </c>
      <c r="J160" s="22"/>
      <c r="K160" s="22">
        <f t="shared" si="40"/>
        <v>0</v>
      </c>
      <c r="L160" s="29"/>
      <c r="M160" s="24">
        <f t="shared" si="41"/>
        <v>0</v>
      </c>
      <c r="N160" s="30"/>
      <c r="O160" s="23">
        <f t="shared" si="42"/>
        <v>0</v>
      </c>
      <c r="P160" s="22">
        <v>238</v>
      </c>
      <c r="Q160" s="22">
        <f t="shared" si="43"/>
        <v>9996</v>
      </c>
      <c r="R160" s="25">
        <v>437</v>
      </c>
      <c r="S160" s="25">
        <f t="shared" si="44"/>
        <v>16911.900000000001</v>
      </c>
      <c r="T160" s="25">
        <v>331</v>
      </c>
      <c r="U160" s="25">
        <f t="shared" si="45"/>
        <v>11154.7</v>
      </c>
      <c r="V160" s="23">
        <v>396</v>
      </c>
      <c r="W160" s="23">
        <f t="shared" si="46"/>
        <v>12988.8</v>
      </c>
      <c r="X160" s="23">
        <v>355</v>
      </c>
      <c r="Y160" s="23">
        <f t="shared" si="47"/>
        <v>12478.25</v>
      </c>
      <c r="Z160" s="23">
        <v>332</v>
      </c>
      <c r="AA160" s="23">
        <f t="shared" si="48"/>
        <v>11507.119999999999</v>
      </c>
      <c r="AB160" s="23">
        <v>337</v>
      </c>
      <c r="AC160" s="23">
        <f t="shared" si="49"/>
        <v>12148.849999999999</v>
      </c>
      <c r="AD160" s="23">
        <v>309</v>
      </c>
      <c r="AE160" s="23">
        <f t="shared" si="50"/>
        <v>10827.36</v>
      </c>
      <c r="AF160" s="26">
        <v>344</v>
      </c>
      <c r="AG160" s="26">
        <f t="shared" si="51"/>
        <v>11757.92</v>
      </c>
      <c r="AH160" s="23"/>
      <c r="AI160" s="23">
        <f t="shared" si="52"/>
        <v>0</v>
      </c>
      <c r="AJ160" s="23"/>
      <c r="AK160" s="23">
        <f t="shared" si="53"/>
        <v>0</v>
      </c>
      <c r="AL160" s="23"/>
      <c r="AM160" s="26">
        <f t="shared" si="54"/>
        <v>0</v>
      </c>
      <c r="AN160" s="12">
        <f t="shared" si="55"/>
        <v>3079</v>
      </c>
      <c r="AO160" s="22">
        <f t="shared" si="56"/>
        <v>109770.9</v>
      </c>
    </row>
    <row r="161" spans="1:41" s="31" customFormat="1" x14ac:dyDescent="0.5">
      <c r="A161" s="19">
        <v>157</v>
      </c>
      <c r="B161" s="20" t="s">
        <v>310</v>
      </c>
      <c r="C161" s="21" t="s">
        <v>311</v>
      </c>
      <c r="D161" s="16">
        <v>554</v>
      </c>
      <c r="E161" s="16">
        <v>4</v>
      </c>
      <c r="F161" s="22">
        <v>1407</v>
      </c>
      <c r="G161" s="22">
        <f t="shared" si="38"/>
        <v>43785.840000000004</v>
      </c>
      <c r="H161" s="22">
        <v>330</v>
      </c>
      <c r="I161" s="23">
        <f t="shared" si="39"/>
        <v>10695.3</v>
      </c>
      <c r="J161" s="22">
        <v>300</v>
      </c>
      <c r="K161" s="22">
        <f t="shared" si="40"/>
        <v>9903</v>
      </c>
      <c r="L161" s="22"/>
      <c r="M161" s="24">
        <f t="shared" si="41"/>
        <v>0</v>
      </c>
      <c r="N161" s="23">
        <v>641</v>
      </c>
      <c r="O161" s="23">
        <f t="shared" si="42"/>
        <v>24518.25</v>
      </c>
      <c r="P161" s="22">
        <v>1772</v>
      </c>
      <c r="Q161" s="22">
        <f t="shared" si="43"/>
        <v>74424</v>
      </c>
      <c r="R161" s="25">
        <v>1427</v>
      </c>
      <c r="S161" s="25">
        <f t="shared" si="44"/>
        <v>55224.9</v>
      </c>
      <c r="T161" s="25">
        <v>1573</v>
      </c>
      <c r="U161" s="25">
        <f t="shared" si="45"/>
        <v>53010.100000000006</v>
      </c>
      <c r="V161" s="23">
        <v>1683</v>
      </c>
      <c r="W161" s="23">
        <f t="shared" si="46"/>
        <v>55202.399999999994</v>
      </c>
      <c r="X161" s="23">
        <v>1996</v>
      </c>
      <c r="Y161" s="23">
        <f t="shared" si="47"/>
        <v>70159.399999999994</v>
      </c>
      <c r="Z161" s="23">
        <v>978</v>
      </c>
      <c r="AA161" s="23">
        <f t="shared" si="48"/>
        <v>33897.479999999996</v>
      </c>
      <c r="AB161" s="23">
        <v>1514</v>
      </c>
      <c r="AC161" s="23">
        <f t="shared" si="49"/>
        <v>54579.7</v>
      </c>
      <c r="AD161" s="23"/>
      <c r="AE161" s="23">
        <f t="shared" si="50"/>
        <v>0</v>
      </c>
      <c r="AF161" s="26">
        <v>1995</v>
      </c>
      <c r="AG161" s="26">
        <f t="shared" si="51"/>
        <v>68189.100000000006</v>
      </c>
      <c r="AH161" s="23">
        <v>1861</v>
      </c>
      <c r="AI161" s="23">
        <f t="shared" si="52"/>
        <v>61971.299999999996</v>
      </c>
      <c r="AJ161" s="23">
        <v>1943</v>
      </c>
      <c r="AK161" s="23">
        <f t="shared" si="53"/>
        <v>69850.850000000006</v>
      </c>
      <c r="AL161" s="26">
        <v>1586</v>
      </c>
      <c r="AM161" s="26">
        <f t="shared" si="54"/>
        <v>58158.62</v>
      </c>
      <c r="AN161" s="12">
        <f t="shared" si="55"/>
        <v>21006</v>
      </c>
      <c r="AO161" s="22">
        <f t="shared" si="56"/>
        <v>743570.24000000011</v>
      </c>
    </row>
    <row r="162" spans="1:41" s="31" customFormat="1" x14ac:dyDescent="0.5">
      <c r="A162" s="19">
        <v>158</v>
      </c>
      <c r="B162" s="27" t="s">
        <v>312</v>
      </c>
      <c r="C162" s="28" t="s">
        <v>313</v>
      </c>
      <c r="D162" s="16">
        <v>579</v>
      </c>
      <c r="E162" s="16">
        <v>4</v>
      </c>
      <c r="F162" s="22"/>
      <c r="G162" s="22">
        <f t="shared" si="38"/>
        <v>0</v>
      </c>
      <c r="H162" s="22"/>
      <c r="I162" s="23">
        <f t="shared" si="39"/>
        <v>0</v>
      </c>
      <c r="J162" s="22"/>
      <c r="K162" s="22">
        <f t="shared" si="40"/>
        <v>0</v>
      </c>
      <c r="L162" s="22"/>
      <c r="M162" s="24">
        <f t="shared" si="41"/>
        <v>0</v>
      </c>
      <c r="N162" s="23"/>
      <c r="O162" s="23">
        <f t="shared" si="42"/>
        <v>0</v>
      </c>
      <c r="P162" s="22"/>
      <c r="Q162" s="22">
        <f t="shared" si="43"/>
        <v>0</v>
      </c>
      <c r="R162" s="25"/>
      <c r="S162" s="25">
        <f t="shared" si="44"/>
        <v>0</v>
      </c>
      <c r="T162" s="25"/>
      <c r="U162" s="25">
        <f t="shared" si="45"/>
        <v>0</v>
      </c>
      <c r="V162" s="23"/>
      <c r="W162" s="23">
        <f t="shared" si="46"/>
        <v>0</v>
      </c>
      <c r="X162" s="23"/>
      <c r="Y162" s="23">
        <f t="shared" si="47"/>
        <v>0</v>
      </c>
      <c r="Z162" s="23"/>
      <c r="AA162" s="23">
        <f t="shared" si="48"/>
        <v>0</v>
      </c>
      <c r="AB162" s="23">
        <v>218</v>
      </c>
      <c r="AC162" s="23">
        <f t="shared" si="49"/>
        <v>7858.9</v>
      </c>
      <c r="AD162" s="23"/>
      <c r="AE162" s="23">
        <f t="shared" si="50"/>
        <v>0</v>
      </c>
      <c r="AF162" s="26"/>
      <c r="AG162" s="26">
        <f t="shared" si="51"/>
        <v>0</v>
      </c>
      <c r="AH162" s="23"/>
      <c r="AI162" s="23">
        <f t="shared" si="52"/>
        <v>0</v>
      </c>
      <c r="AJ162" s="23"/>
      <c r="AK162" s="23">
        <f t="shared" si="53"/>
        <v>0</v>
      </c>
      <c r="AL162" s="23"/>
      <c r="AM162" s="26">
        <f t="shared" si="54"/>
        <v>0</v>
      </c>
      <c r="AN162" s="12">
        <f t="shared" si="55"/>
        <v>218</v>
      </c>
      <c r="AO162" s="22">
        <f t="shared" si="56"/>
        <v>7858.9</v>
      </c>
    </row>
    <row r="163" spans="1:41" s="31" customFormat="1" x14ac:dyDescent="0.5">
      <c r="A163" s="19">
        <v>159</v>
      </c>
      <c r="B163" s="27" t="s">
        <v>314</v>
      </c>
      <c r="C163" s="28" t="s">
        <v>315</v>
      </c>
      <c r="D163" s="16">
        <v>580</v>
      </c>
      <c r="E163" s="16">
        <v>4</v>
      </c>
      <c r="F163" s="22"/>
      <c r="G163" s="22">
        <f t="shared" si="38"/>
        <v>0</v>
      </c>
      <c r="H163" s="22">
        <v>226</v>
      </c>
      <c r="I163" s="23">
        <f t="shared" si="39"/>
        <v>7324.6599999999989</v>
      </c>
      <c r="J163" s="22"/>
      <c r="K163" s="22">
        <f t="shared" si="40"/>
        <v>0</v>
      </c>
      <c r="L163" s="22"/>
      <c r="M163" s="24">
        <f t="shared" si="41"/>
        <v>0</v>
      </c>
      <c r="N163" s="23"/>
      <c r="O163" s="23">
        <f t="shared" si="42"/>
        <v>0</v>
      </c>
      <c r="P163" s="22"/>
      <c r="Q163" s="22">
        <f t="shared" si="43"/>
        <v>0</v>
      </c>
      <c r="R163" s="25">
        <v>1077</v>
      </c>
      <c r="S163" s="25">
        <f t="shared" si="44"/>
        <v>41679.9</v>
      </c>
      <c r="T163" s="25">
        <v>295</v>
      </c>
      <c r="U163" s="25">
        <f t="shared" si="45"/>
        <v>9941.5</v>
      </c>
      <c r="V163" s="23">
        <v>166</v>
      </c>
      <c r="W163" s="23">
        <f t="shared" si="46"/>
        <v>5444.7999999999993</v>
      </c>
      <c r="X163" s="23">
        <v>148</v>
      </c>
      <c r="Y163" s="23">
        <f t="shared" si="47"/>
        <v>5202.2</v>
      </c>
      <c r="Z163" s="23">
        <v>202</v>
      </c>
      <c r="AA163" s="23">
        <f t="shared" si="48"/>
        <v>7001.32</v>
      </c>
      <c r="AB163" s="23">
        <v>150</v>
      </c>
      <c r="AC163" s="23">
        <f t="shared" si="49"/>
        <v>5407.5</v>
      </c>
      <c r="AD163" s="23">
        <v>160</v>
      </c>
      <c r="AE163" s="23">
        <f t="shared" si="50"/>
        <v>5606.4</v>
      </c>
      <c r="AF163" s="26">
        <v>207</v>
      </c>
      <c r="AG163" s="26">
        <f t="shared" si="51"/>
        <v>7075.26</v>
      </c>
      <c r="AH163" s="23">
        <v>224</v>
      </c>
      <c r="AI163" s="23">
        <f t="shared" si="52"/>
        <v>7459.1999999999989</v>
      </c>
      <c r="AJ163" s="23">
        <v>481</v>
      </c>
      <c r="AK163" s="23">
        <f t="shared" si="53"/>
        <v>17291.95</v>
      </c>
      <c r="AL163" s="23">
        <v>669</v>
      </c>
      <c r="AM163" s="26">
        <f t="shared" si="54"/>
        <v>24532.23</v>
      </c>
      <c r="AN163" s="12">
        <f t="shared" si="55"/>
        <v>4005</v>
      </c>
      <c r="AO163" s="22">
        <f t="shared" si="56"/>
        <v>143966.91999999998</v>
      </c>
    </row>
    <row r="164" spans="1:41" s="31" customFormat="1" x14ac:dyDescent="0.5">
      <c r="A164" s="19">
        <v>160</v>
      </c>
      <c r="B164" s="27" t="s">
        <v>316</v>
      </c>
      <c r="C164" s="28" t="s">
        <v>317</v>
      </c>
      <c r="D164" s="16">
        <v>585</v>
      </c>
      <c r="E164" s="16">
        <v>4</v>
      </c>
      <c r="F164" s="22"/>
      <c r="G164" s="22">
        <f t="shared" si="38"/>
        <v>0</v>
      </c>
      <c r="H164" s="22"/>
      <c r="I164" s="23">
        <f t="shared" si="39"/>
        <v>0</v>
      </c>
      <c r="J164" s="22"/>
      <c r="K164" s="22">
        <f t="shared" si="40"/>
        <v>0</v>
      </c>
      <c r="L164" s="22"/>
      <c r="M164" s="24">
        <f t="shared" si="41"/>
        <v>0</v>
      </c>
      <c r="N164" s="23"/>
      <c r="O164" s="23">
        <f t="shared" si="42"/>
        <v>0</v>
      </c>
      <c r="P164" s="22"/>
      <c r="Q164" s="22">
        <f t="shared" si="43"/>
        <v>0</v>
      </c>
      <c r="R164" s="25"/>
      <c r="S164" s="25">
        <f t="shared" si="44"/>
        <v>0</v>
      </c>
      <c r="T164" s="25"/>
      <c r="U164" s="25">
        <f t="shared" si="45"/>
        <v>0</v>
      </c>
      <c r="V164" s="23"/>
      <c r="W164" s="23">
        <f t="shared" si="46"/>
        <v>0</v>
      </c>
      <c r="X164" s="23"/>
      <c r="Y164" s="23">
        <f t="shared" si="47"/>
        <v>0</v>
      </c>
      <c r="Z164" s="23"/>
      <c r="AA164" s="23">
        <f t="shared" si="48"/>
        <v>0</v>
      </c>
      <c r="AB164" s="23"/>
      <c r="AC164" s="23">
        <f t="shared" si="49"/>
        <v>0</v>
      </c>
      <c r="AD164" s="23"/>
      <c r="AE164" s="23">
        <f t="shared" si="50"/>
        <v>0</v>
      </c>
      <c r="AF164" s="26"/>
      <c r="AG164" s="26">
        <f t="shared" si="51"/>
        <v>0</v>
      </c>
      <c r="AH164" s="23"/>
      <c r="AI164" s="23">
        <f t="shared" si="52"/>
        <v>0</v>
      </c>
      <c r="AJ164" s="23"/>
      <c r="AK164" s="23">
        <f t="shared" si="53"/>
        <v>0</v>
      </c>
      <c r="AL164" s="23"/>
      <c r="AM164" s="26">
        <f t="shared" si="54"/>
        <v>0</v>
      </c>
      <c r="AN164" s="12">
        <f t="shared" si="55"/>
        <v>0</v>
      </c>
      <c r="AO164" s="22">
        <f t="shared" si="56"/>
        <v>0</v>
      </c>
    </row>
    <row r="165" spans="1:41" s="31" customFormat="1" x14ac:dyDescent="0.5">
      <c r="A165" s="19">
        <v>161</v>
      </c>
      <c r="B165" s="27" t="s">
        <v>76</v>
      </c>
      <c r="C165" s="28" t="s">
        <v>318</v>
      </c>
      <c r="D165" s="16">
        <v>592</v>
      </c>
      <c r="E165" s="16">
        <v>4</v>
      </c>
      <c r="F165" s="22"/>
      <c r="G165" s="22">
        <f t="shared" si="38"/>
        <v>0</v>
      </c>
      <c r="H165" s="22"/>
      <c r="I165" s="23">
        <f t="shared" si="39"/>
        <v>0</v>
      </c>
      <c r="J165" s="22"/>
      <c r="K165" s="22">
        <f t="shared" si="40"/>
        <v>0</v>
      </c>
      <c r="L165" s="22"/>
      <c r="M165" s="24">
        <f t="shared" si="41"/>
        <v>0</v>
      </c>
      <c r="N165" s="23"/>
      <c r="O165" s="23">
        <f t="shared" si="42"/>
        <v>0</v>
      </c>
      <c r="P165" s="22"/>
      <c r="Q165" s="22">
        <f t="shared" si="43"/>
        <v>0</v>
      </c>
      <c r="R165" s="25"/>
      <c r="S165" s="25">
        <f t="shared" si="44"/>
        <v>0</v>
      </c>
      <c r="T165" s="25"/>
      <c r="U165" s="25">
        <f t="shared" si="45"/>
        <v>0</v>
      </c>
      <c r="V165" s="23"/>
      <c r="W165" s="23">
        <f t="shared" si="46"/>
        <v>0</v>
      </c>
      <c r="X165" s="23"/>
      <c r="Y165" s="23">
        <f t="shared" si="47"/>
        <v>0</v>
      </c>
      <c r="Z165" s="23"/>
      <c r="AA165" s="23">
        <f t="shared" si="48"/>
        <v>0</v>
      </c>
      <c r="AB165" s="23"/>
      <c r="AC165" s="23">
        <f t="shared" si="49"/>
        <v>0</v>
      </c>
      <c r="AD165" s="23"/>
      <c r="AE165" s="23">
        <f t="shared" si="50"/>
        <v>0</v>
      </c>
      <c r="AF165" s="26"/>
      <c r="AG165" s="26">
        <f t="shared" si="51"/>
        <v>0</v>
      </c>
      <c r="AH165" s="23"/>
      <c r="AI165" s="23">
        <f t="shared" si="52"/>
        <v>0</v>
      </c>
      <c r="AJ165" s="23"/>
      <c r="AK165" s="23">
        <f t="shared" si="53"/>
        <v>0</v>
      </c>
      <c r="AL165" s="23"/>
      <c r="AM165" s="26">
        <f t="shared" si="54"/>
        <v>0</v>
      </c>
      <c r="AN165" s="12">
        <f t="shared" si="55"/>
        <v>0</v>
      </c>
      <c r="AO165" s="22">
        <f t="shared" si="56"/>
        <v>0</v>
      </c>
    </row>
    <row r="166" spans="1:41" x14ac:dyDescent="0.5">
      <c r="A166" s="19">
        <v>162</v>
      </c>
      <c r="B166" s="27" t="s">
        <v>319</v>
      </c>
      <c r="C166" s="28" t="s">
        <v>320</v>
      </c>
      <c r="D166" s="16">
        <v>627</v>
      </c>
      <c r="E166" s="16">
        <v>4</v>
      </c>
      <c r="F166" s="22"/>
      <c r="G166" s="22">
        <f t="shared" si="38"/>
        <v>0</v>
      </c>
      <c r="H166" s="22"/>
      <c r="I166" s="23">
        <f t="shared" si="39"/>
        <v>0</v>
      </c>
      <c r="J166" s="22"/>
      <c r="K166" s="22">
        <f t="shared" si="40"/>
        <v>0</v>
      </c>
      <c r="L166" s="29"/>
      <c r="M166" s="24">
        <f t="shared" si="41"/>
        <v>0</v>
      </c>
      <c r="N166" s="30"/>
      <c r="O166" s="23">
        <f t="shared" si="42"/>
        <v>0</v>
      </c>
      <c r="P166" s="22">
        <v>308</v>
      </c>
      <c r="Q166" s="22">
        <f t="shared" si="43"/>
        <v>12936</v>
      </c>
      <c r="R166" s="25">
        <v>991</v>
      </c>
      <c r="S166" s="25">
        <f t="shared" si="44"/>
        <v>38351.700000000004</v>
      </c>
      <c r="T166" s="25">
        <v>1045</v>
      </c>
      <c r="U166" s="25">
        <f t="shared" si="45"/>
        <v>35216.5</v>
      </c>
      <c r="V166" s="23">
        <v>1260</v>
      </c>
      <c r="W166" s="23">
        <f t="shared" si="46"/>
        <v>41328</v>
      </c>
      <c r="X166" s="23">
        <v>1192</v>
      </c>
      <c r="Y166" s="23">
        <f t="shared" si="47"/>
        <v>41898.799999999996</v>
      </c>
      <c r="Z166" s="23">
        <v>353</v>
      </c>
      <c r="AA166" s="23">
        <f t="shared" si="48"/>
        <v>12234.98</v>
      </c>
      <c r="AB166" s="23"/>
      <c r="AC166" s="23">
        <f t="shared" si="49"/>
        <v>0</v>
      </c>
      <c r="AD166" s="23">
        <v>1027</v>
      </c>
      <c r="AE166" s="23">
        <f t="shared" si="50"/>
        <v>35986.080000000002</v>
      </c>
      <c r="AF166" s="26">
        <v>1139</v>
      </c>
      <c r="AG166" s="26">
        <f t="shared" si="51"/>
        <v>38931.019999999997</v>
      </c>
      <c r="AH166" s="23">
        <v>426</v>
      </c>
      <c r="AI166" s="23">
        <f t="shared" si="52"/>
        <v>14185.8</v>
      </c>
      <c r="AJ166" s="23">
        <v>1174</v>
      </c>
      <c r="AK166" s="23">
        <f t="shared" si="53"/>
        <v>42205.3</v>
      </c>
      <c r="AL166" s="23"/>
      <c r="AM166" s="26">
        <f t="shared" si="54"/>
        <v>0</v>
      </c>
      <c r="AN166" s="12">
        <f t="shared" si="55"/>
        <v>8915</v>
      </c>
      <c r="AO166" s="22">
        <f t="shared" si="56"/>
        <v>313274.18</v>
      </c>
    </row>
    <row r="167" spans="1:41" s="31" customFormat="1" x14ac:dyDescent="0.5">
      <c r="A167" s="19">
        <v>163</v>
      </c>
      <c r="B167" s="20" t="s">
        <v>321</v>
      </c>
      <c r="C167" s="21" t="s">
        <v>322</v>
      </c>
      <c r="D167" s="16">
        <v>636</v>
      </c>
      <c r="E167" s="16">
        <v>4</v>
      </c>
      <c r="F167" s="22"/>
      <c r="G167" s="22">
        <f t="shared" si="38"/>
        <v>0</v>
      </c>
      <c r="H167" s="22"/>
      <c r="I167" s="23">
        <f t="shared" si="39"/>
        <v>0</v>
      </c>
      <c r="J167" s="22"/>
      <c r="K167" s="22">
        <f t="shared" si="40"/>
        <v>0</v>
      </c>
      <c r="L167" s="22"/>
      <c r="M167" s="24">
        <f t="shared" si="41"/>
        <v>0</v>
      </c>
      <c r="N167" s="23"/>
      <c r="O167" s="23">
        <f t="shared" si="42"/>
        <v>0</v>
      </c>
      <c r="P167" s="22"/>
      <c r="Q167" s="22">
        <f t="shared" si="43"/>
        <v>0</v>
      </c>
      <c r="R167" s="25"/>
      <c r="S167" s="25">
        <f t="shared" si="44"/>
        <v>0</v>
      </c>
      <c r="T167" s="25"/>
      <c r="U167" s="25">
        <f t="shared" si="45"/>
        <v>0</v>
      </c>
      <c r="V167" s="23"/>
      <c r="W167" s="23">
        <f t="shared" si="46"/>
        <v>0</v>
      </c>
      <c r="X167" s="23"/>
      <c r="Y167" s="23">
        <f t="shared" si="47"/>
        <v>0</v>
      </c>
      <c r="Z167" s="23"/>
      <c r="AA167" s="23">
        <f t="shared" si="48"/>
        <v>0</v>
      </c>
      <c r="AB167" s="23"/>
      <c r="AC167" s="23">
        <f t="shared" si="49"/>
        <v>0</v>
      </c>
      <c r="AD167" s="23"/>
      <c r="AE167" s="23">
        <f t="shared" si="50"/>
        <v>0</v>
      </c>
      <c r="AF167" s="26"/>
      <c r="AG167" s="26">
        <f t="shared" si="51"/>
        <v>0</v>
      </c>
      <c r="AH167" s="23"/>
      <c r="AI167" s="23">
        <f t="shared" si="52"/>
        <v>0</v>
      </c>
      <c r="AJ167" s="23"/>
      <c r="AK167" s="23">
        <f t="shared" si="53"/>
        <v>0</v>
      </c>
      <c r="AL167" s="26"/>
      <c r="AM167" s="26">
        <f t="shared" si="54"/>
        <v>0</v>
      </c>
      <c r="AN167" s="12">
        <f t="shared" si="55"/>
        <v>0</v>
      </c>
      <c r="AO167" s="22">
        <f t="shared" si="56"/>
        <v>0</v>
      </c>
    </row>
    <row r="168" spans="1:41" x14ac:dyDescent="0.5">
      <c r="A168" s="19">
        <v>164</v>
      </c>
      <c r="B168" s="27" t="s">
        <v>323</v>
      </c>
      <c r="C168" s="28" t="s">
        <v>324</v>
      </c>
      <c r="D168" s="16">
        <v>642</v>
      </c>
      <c r="E168" s="16">
        <v>4</v>
      </c>
      <c r="F168" s="22">
        <v>203</v>
      </c>
      <c r="G168" s="22">
        <f t="shared" si="38"/>
        <v>6317.3600000000006</v>
      </c>
      <c r="H168" s="22">
        <v>274</v>
      </c>
      <c r="I168" s="23">
        <f t="shared" si="39"/>
        <v>8880.3399999999983</v>
      </c>
      <c r="J168" s="22"/>
      <c r="K168" s="22">
        <f t="shared" si="40"/>
        <v>0</v>
      </c>
      <c r="L168" s="22"/>
      <c r="M168" s="24">
        <f t="shared" si="41"/>
        <v>0</v>
      </c>
      <c r="N168" s="23"/>
      <c r="O168" s="23">
        <f t="shared" si="42"/>
        <v>0</v>
      </c>
      <c r="P168" s="22">
        <v>493</v>
      </c>
      <c r="Q168" s="22">
        <f t="shared" si="43"/>
        <v>20706</v>
      </c>
      <c r="R168" s="25">
        <v>1040</v>
      </c>
      <c r="S168" s="25">
        <f t="shared" si="44"/>
        <v>40248</v>
      </c>
      <c r="T168" s="25">
        <v>1097</v>
      </c>
      <c r="U168" s="25">
        <f t="shared" si="45"/>
        <v>36968.9</v>
      </c>
      <c r="V168" s="23">
        <v>905</v>
      </c>
      <c r="W168" s="23">
        <f t="shared" si="46"/>
        <v>29683.999999999996</v>
      </c>
      <c r="X168" s="23"/>
      <c r="Y168" s="23">
        <f t="shared" si="47"/>
        <v>0</v>
      </c>
      <c r="Z168" s="23">
        <v>904</v>
      </c>
      <c r="AA168" s="23">
        <f t="shared" si="48"/>
        <v>31332.639999999996</v>
      </c>
      <c r="AB168" s="23">
        <v>493</v>
      </c>
      <c r="AC168" s="23">
        <f t="shared" si="49"/>
        <v>17772.649999999998</v>
      </c>
      <c r="AD168" s="23">
        <v>1182</v>
      </c>
      <c r="AE168" s="23">
        <f t="shared" si="50"/>
        <v>41417.279999999999</v>
      </c>
      <c r="AF168" s="26">
        <v>637</v>
      </c>
      <c r="AG168" s="26">
        <f t="shared" si="51"/>
        <v>21772.66</v>
      </c>
      <c r="AH168" s="23">
        <v>552</v>
      </c>
      <c r="AI168" s="23">
        <f t="shared" si="52"/>
        <v>18381.599999999999</v>
      </c>
      <c r="AJ168" s="23">
        <v>673</v>
      </c>
      <c r="AK168" s="23">
        <f t="shared" si="53"/>
        <v>24194.350000000002</v>
      </c>
      <c r="AL168" s="23">
        <v>986</v>
      </c>
      <c r="AM168" s="26">
        <f t="shared" si="54"/>
        <v>36156.620000000003</v>
      </c>
      <c r="AN168" s="12">
        <f t="shared" si="55"/>
        <v>9439</v>
      </c>
      <c r="AO168" s="22">
        <f t="shared" si="56"/>
        <v>333832.39999999997</v>
      </c>
    </row>
    <row r="169" spans="1:41" s="31" customFormat="1" x14ac:dyDescent="0.5">
      <c r="A169" s="19">
        <v>165</v>
      </c>
      <c r="B169" s="20" t="s">
        <v>325</v>
      </c>
      <c r="C169" s="21" t="s">
        <v>326</v>
      </c>
      <c r="D169" s="16">
        <v>663</v>
      </c>
      <c r="E169" s="16">
        <v>4</v>
      </c>
      <c r="F169" s="22">
        <v>469</v>
      </c>
      <c r="G169" s="22">
        <f t="shared" si="38"/>
        <v>14595.28</v>
      </c>
      <c r="H169" s="22">
        <v>375</v>
      </c>
      <c r="I169" s="23">
        <f t="shared" si="39"/>
        <v>12153.749999999998</v>
      </c>
      <c r="J169" s="22"/>
      <c r="K169" s="22">
        <f t="shared" si="40"/>
        <v>0</v>
      </c>
      <c r="L169" s="22">
        <v>307</v>
      </c>
      <c r="M169" s="24">
        <f t="shared" si="41"/>
        <v>10781.839999999998</v>
      </c>
      <c r="N169" s="23">
        <v>344</v>
      </c>
      <c r="O169" s="23">
        <f t="shared" si="42"/>
        <v>13158</v>
      </c>
      <c r="P169" s="22">
        <v>657</v>
      </c>
      <c r="Q169" s="22">
        <f t="shared" si="43"/>
        <v>27594</v>
      </c>
      <c r="R169" s="25">
        <v>720</v>
      </c>
      <c r="S169" s="25">
        <f t="shared" si="44"/>
        <v>27864.000000000004</v>
      </c>
      <c r="T169" s="25">
        <v>782</v>
      </c>
      <c r="U169" s="25">
        <f t="shared" si="45"/>
        <v>26353.4</v>
      </c>
      <c r="V169" s="23">
        <v>769</v>
      </c>
      <c r="W169" s="23">
        <f t="shared" si="46"/>
        <v>25223.199999999997</v>
      </c>
      <c r="X169" s="23">
        <v>628</v>
      </c>
      <c r="Y169" s="23">
        <f t="shared" si="47"/>
        <v>22074.2</v>
      </c>
      <c r="Z169" s="23">
        <v>585</v>
      </c>
      <c r="AA169" s="23">
        <f t="shared" si="48"/>
        <v>20276.099999999999</v>
      </c>
      <c r="AB169" s="23">
        <v>289</v>
      </c>
      <c r="AC169" s="23">
        <f t="shared" si="49"/>
        <v>10418.449999999999</v>
      </c>
      <c r="AD169" s="23">
        <v>708</v>
      </c>
      <c r="AE169" s="23">
        <f t="shared" si="50"/>
        <v>24808.32</v>
      </c>
      <c r="AF169" s="26">
        <v>703</v>
      </c>
      <c r="AG169" s="26">
        <f t="shared" si="51"/>
        <v>24028.54</v>
      </c>
      <c r="AH169" s="23">
        <v>675</v>
      </c>
      <c r="AI169" s="23">
        <f t="shared" si="52"/>
        <v>22477.499999999996</v>
      </c>
      <c r="AJ169" s="23">
        <v>825</v>
      </c>
      <c r="AK169" s="23">
        <f t="shared" si="53"/>
        <v>29658.750000000004</v>
      </c>
      <c r="AL169" s="26">
        <v>676</v>
      </c>
      <c r="AM169" s="26">
        <f t="shared" si="54"/>
        <v>24788.920000000002</v>
      </c>
      <c r="AN169" s="12">
        <f t="shared" si="55"/>
        <v>9512</v>
      </c>
      <c r="AO169" s="22">
        <f t="shared" si="56"/>
        <v>336254.25</v>
      </c>
    </row>
    <row r="170" spans="1:41" s="31" customFormat="1" x14ac:dyDescent="0.5">
      <c r="A170" s="19">
        <v>166</v>
      </c>
      <c r="B170" s="27" t="s">
        <v>327</v>
      </c>
      <c r="C170" s="28" t="s">
        <v>328</v>
      </c>
      <c r="D170" s="16">
        <v>690</v>
      </c>
      <c r="E170" s="16">
        <v>4</v>
      </c>
      <c r="F170" s="22"/>
      <c r="G170" s="22">
        <f t="shared" si="38"/>
        <v>0</v>
      </c>
      <c r="H170" s="22"/>
      <c r="I170" s="23">
        <f t="shared" si="39"/>
        <v>0</v>
      </c>
      <c r="J170" s="22"/>
      <c r="K170" s="22">
        <f t="shared" si="40"/>
        <v>0</v>
      </c>
      <c r="L170" s="29"/>
      <c r="M170" s="24">
        <f t="shared" si="41"/>
        <v>0</v>
      </c>
      <c r="N170" s="30"/>
      <c r="O170" s="23">
        <f t="shared" si="42"/>
        <v>0</v>
      </c>
      <c r="P170" s="22"/>
      <c r="Q170" s="22">
        <f t="shared" si="43"/>
        <v>0</v>
      </c>
      <c r="R170" s="25"/>
      <c r="S170" s="25">
        <f t="shared" si="44"/>
        <v>0</v>
      </c>
      <c r="T170" s="25"/>
      <c r="U170" s="25">
        <f t="shared" si="45"/>
        <v>0</v>
      </c>
      <c r="V170" s="23"/>
      <c r="W170" s="23">
        <f t="shared" si="46"/>
        <v>0</v>
      </c>
      <c r="X170" s="23"/>
      <c r="Y170" s="23">
        <f t="shared" si="47"/>
        <v>0</v>
      </c>
      <c r="Z170" s="23"/>
      <c r="AA170" s="23">
        <f t="shared" si="48"/>
        <v>0</v>
      </c>
      <c r="AB170" s="23"/>
      <c r="AC170" s="23">
        <f t="shared" si="49"/>
        <v>0</v>
      </c>
      <c r="AD170" s="23"/>
      <c r="AE170" s="23">
        <f t="shared" si="50"/>
        <v>0</v>
      </c>
      <c r="AF170" s="26"/>
      <c r="AG170" s="26">
        <f t="shared" si="51"/>
        <v>0</v>
      </c>
      <c r="AH170" s="23"/>
      <c r="AI170" s="23">
        <f t="shared" si="52"/>
        <v>0</v>
      </c>
      <c r="AJ170" s="23"/>
      <c r="AK170" s="23">
        <f t="shared" si="53"/>
        <v>0</v>
      </c>
      <c r="AL170" s="23"/>
      <c r="AM170" s="26">
        <f t="shared" si="54"/>
        <v>0</v>
      </c>
      <c r="AN170" s="12">
        <f t="shared" si="55"/>
        <v>0</v>
      </c>
      <c r="AO170" s="22">
        <f t="shared" si="56"/>
        <v>0</v>
      </c>
    </row>
    <row r="171" spans="1:41" s="31" customFormat="1" x14ac:dyDescent="0.5">
      <c r="A171" s="19">
        <v>167</v>
      </c>
      <c r="B171" s="27" t="s">
        <v>329</v>
      </c>
      <c r="C171" s="28" t="s">
        <v>330</v>
      </c>
      <c r="D171" s="16">
        <v>765</v>
      </c>
      <c r="E171" s="16">
        <v>4</v>
      </c>
      <c r="F171" s="22"/>
      <c r="G171" s="22">
        <f t="shared" si="38"/>
        <v>0</v>
      </c>
      <c r="H171" s="22"/>
      <c r="I171" s="23">
        <f t="shared" si="39"/>
        <v>0</v>
      </c>
      <c r="J171" s="22"/>
      <c r="K171" s="22">
        <f t="shared" si="40"/>
        <v>0</v>
      </c>
      <c r="L171" s="22"/>
      <c r="M171" s="24">
        <f t="shared" si="41"/>
        <v>0</v>
      </c>
      <c r="N171" s="23"/>
      <c r="O171" s="23">
        <f t="shared" si="42"/>
        <v>0</v>
      </c>
      <c r="P171" s="22"/>
      <c r="Q171" s="22">
        <f t="shared" si="43"/>
        <v>0</v>
      </c>
      <c r="R171" s="25"/>
      <c r="S171" s="25">
        <f t="shared" si="44"/>
        <v>0</v>
      </c>
      <c r="T171" s="25"/>
      <c r="U171" s="25">
        <f t="shared" si="45"/>
        <v>0</v>
      </c>
      <c r="V171" s="23"/>
      <c r="W171" s="23">
        <f t="shared" si="46"/>
        <v>0</v>
      </c>
      <c r="X171" s="23"/>
      <c r="Y171" s="23">
        <f t="shared" si="47"/>
        <v>0</v>
      </c>
      <c r="Z171" s="23"/>
      <c r="AA171" s="23">
        <f t="shared" si="48"/>
        <v>0</v>
      </c>
      <c r="AB171" s="23"/>
      <c r="AC171" s="23">
        <f t="shared" si="49"/>
        <v>0</v>
      </c>
      <c r="AD171" s="23"/>
      <c r="AE171" s="23">
        <f t="shared" si="50"/>
        <v>0</v>
      </c>
      <c r="AF171" s="26"/>
      <c r="AG171" s="26">
        <f t="shared" si="51"/>
        <v>0</v>
      </c>
      <c r="AH171" s="23"/>
      <c r="AI171" s="23">
        <f t="shared" si="52"/>
        <v>0</v>
      </c>
      <c r="AJ171" s="23"/>
      <c r="AK171" s="23">
        <f t="shared" si="53"/>
        <v>0</v>
      </c>
      <c r="AL171" s="23"/>
      <c r="AM171" s="26">
        <f t="shared" si="54"/>
        <v>0</v>
      </c>
      <c r="AN171" s="12">
        <f t="shared" si="55"/>
        <v>0</v>
      </c>
      <c r="AO171" s="22">
        <f t="shared" si="56"/>
        <v>0</v>
      </c>
    </row>
    <row r="172" spans="1:41" x14ac:dyDescent="0.5">
      <c r="A172" s="19">
        <v>168</v>
      </c>
      <c r="B172" s="27" t="s">
        <v>331</v>
      </c>
      <c r="C172" s="28" t="s">
        <v>332</v>
      </c>
      <c r="D172" s="16">
        <v>821</v>
      </c>
      <c r="E172" s="16">
        <v>4</v>
      </c>
      <c r="F172" s="22"/>
      <c r="G172" s="22">
        <f t="shared" si="38"/>
        <v>0</v>
      </c>
      <c r="H172" s="22"/>
      <c r="I172" s="23">
        <f t="shared" si="39"/>
        <v>0</v>
      </c>
      <c r="J172" s="22"/>
      <c r="K172" s="22">
        <f t="shared" si="40"/>
        <v>0</v>
      </c>
      <c r="L172" s="22"/>
      <c r="M172" s="24">
        <f t="shared" si="41"/>
        <v>0</v>
      </c>
      <c r="N172" s="23">
        <v>1601</v>
      </c>
      <c r="O172" s="23">
        <f t="shared" si="42"/>
        <v>61238.25</v>
      </c>
      <c r="P172" s="22">
        <v>1354</v>
      </c>
      <c r="Q172" s="22">
        <f t="shared" si="43"/>
        <v>56868</v>
      </c>
      <c r="R172" s="25">
        <v>1391</v>
      </c>
      <c r="S172" s="25">
        <f t="shared" si="44"/>
        <v>53831.700000000004</v>
      </c>
      <c r="T172" s="25">
        <v>1493</v>
      </c>
      <c r="U172" s="25">
        <f t="shared" si="45"/>
        <v>50314.100000000006</v>
      </c>
      <c r="V172" s="23">
        <v>1408</v>
      </c>
      <c r="W172" s="23">
        <f t="shared" si="46"/>
        <v>46182.399999999994</v>
      </c>
      <c r="X172" s="23">
        <v>1782</v>
      </c>
      <c r="Y172" s="23">
        <f t="shared" si="47"/>
        <v>62637.299999999996</v>
      </c>
      <c r="Z172" s="23"/>
      <c r="AA172" s="23">
        <f t="shared" si="48"/>
        <v>0</v>
      </c>
      <c r="AB172" s="23"/>
      <c r="AC172" s="23">
        <f t="shared" si="49"/>
        <v>0</v>
      </c>
      <c r="AD172" s="23">
        <v>1968</v>
      </c>
      <c r="AE172" s="23">
        <f t="shared" si="50"/>
        <v>68958.720000000001</v>
      </c>
      <c r="AF172" s="26"/>
      <c r="AG172" s="26">
        <f t="shared" si="51"/>
        <v>0</v>
      </c>
      <c r="AH172" s="23"/>
      <c r="AI172" s="23">
        <f t="shared" si="52"/>
        <v>0</v>
      </c>
      <c r="AJ172" s="23"/>
      <c r="AK172" s="23">
        <f t="shared" si="53"/>
        <v>0</v>
      </c>
      <c r="AL172" s="23"/>
      <c r="AM172" s="26">
        <f t="shared" si="54"/>
        <v>0</v>
      </c>
      <c r="AN172" s="12">
        <f t="shared" si="55"/>
        <v>10997</v>
      </c>
      <c r="AO172" s="22">
        <f t="shared" si="56"/>
        <v>400030.47</v>
      </c>
    </row>
    <row r="173" spans="1:41" s="31" customFormat="1" x14ac:dyDescent="0.5">
      <c r="A173" s="19">
        <v>169</v>
      </c>
      <c r="B173" s="20" t="s">
        <v>333</v>
      </c>
      <c r="C173" s="21" t="s">
        <v>334</v>
      </c>
      <c r="D173" s="16">
        <v>891</v>
      </c>
      <c r="E173" s="16">
        <v>4</v>
      </c>
      <c r="F173" s="22">
        <v>581</v>
      </c>
      <c r="G173" s="22">
        <f t="shared" si="38"/>
        <v>18080.72</v>
      </c>
      <c r="H173" s="22">
        <v>545</v>
      </c>
      <c r="I173" s="23">
        <f t="shared" si="39"/>
        <v>17663.449999999997</v>
      </c>
      <c r="J173" s="22">
        <v>507</v>
      </c>
      <c r="K173" s="22">
        <f t="shared" si="40"/>
        <v>16736.07</v>
      </c>
      <c r="L173" s="22"/>
      <c r="M173" s="24">
        <f t="shared" si="41"/>
        <v>0</v>
      </c>
      <c r="N173" s="23">
        <v>638</v>
      </c>
      <c r="O173" s="23">
        <f t="shared" si="42"/>
        <v>24403.5</v>
      </c>
      <c r="P173" s="22">
        <v>682</v>
      </c>
      <c r="Q173" s="22">
        <f t="shared" si="43"/>
        <v>28644</v>
      </c>
      <c r="R173" s="25">
        <v>492</v>
      </c>
      <c r="S173" s="25">
        <f t="shared" si="44"/>
        <v>19040.400000000001</v>
      </c>
      <c r="T173" s="25"/>
      <c r="U173" s="25">
        <f t="shared" si="45"/>
        <v>0</v>
      </c>
      <c r="V173" s="23">
        <v>739</v>
      </c>
      <c r="W173" s="23">
        <f t="shared" si="46"/>
        <v>24239.199999999997</v>
      </c>
      <c r="X173" s="23">
        <v>683</v>
      </c>
      <c r="Y173" s="23">
        <f t="shared" si="47"/>
        <v>24007.45</v>
      </c>
      <c r="Z173" s="23">
        <v>652</v>
      </c>
      <c r="AA173" s="23">
        <f t="shared" si="48"/>
        <v>22598.319999999996</v>
      </c>
      <c r="AB173" s="23"/>
      <c r="AC173" s="23">
        <f t="shared" si="49"/>
        <v>0</v>
      </c>
      <c r="AD173" s="23">
        <v>886</v>
      </c>
      <c r="AE173" s="23">
        <f t="shared" si="50"/>
        <v>31045.439999999999</v>
      </c>
      <c r="AF173" s="26">
        <v>787</v>
      </c>
      <c r="AG173" s="26">
        <f t="shared" si="51"/>
        <v>26899.66</v>
      </c>
      <c r="AH173" s="23">
        <v>721</v>
      </c>
      <c r="AI173" s="23">
        <f t="shared" si="52"/>
        <v>24009.3</v>
      </c>
      <c r="AJ173" s="23">
        <v>843</v>
      </c>
      <c r="AK173" s="23">
        <f t="shared" si="53"/>
        <v>30305.850000000002</v>
      </c>
      <c r="AL173" s="26">
        <v>841</v>
      </c>
      <c r="AM173" s="26">
        <f t="shared" si="54"/>
        <v>30839.47</v>
      </c>
      <c r="AN173" s="12">
        <f t="shared" si="55"/>
        <v>9597</v>
      </c>
      <c r="AO173" s="22">
        <f t="shared" si="56"/>
        <v>338512.82999999996</v>
      </c>
    </row>
    <row r="174" spans="1:41" x14ac:dyDescent="0.5">
      <c r="A174" s="19">
        <v>170</v>
      </c>
      <c r="B174" s="27" t="s">
        <v>335</v>
      </c>
      <c r="C174" s="28" t="s">
        <v>336</v>
      </c>
      <c r="D174" s="16">
        <v>910</v>
      </c>
      <c r="E174" s="16">
        <v>4</v>
      </c>
      <c r="F174" s="22">
        <v>1024</v>
      </c>
      <c r="G174" s="22">
        <f t="shared" si="38"/>
        <v>31866.880000000001</v>
      </c>
      <c r="H174" s="22">
        <v>560</v>
      </c>
      <c r="I174" s="23">
        <f t="shared" si="39"/>
        <v>18149.599999999999</v>
      </c>
      <c r="J174" s="22">
        <v>849</v>
      </c>
      <c r="K174" s="22">
        <f t="shared" si="40"/>
        <v>28025.489999999998</v>
      </c>
      <c r="L174" s="22"/>
      <c r="M174" s="24">
        <f t="shared" si="41"/>
        <v>0</v>
      </c>
      <c r="N174" s="23">
        <v>933</v>
      </c>
      <c r="O174" s="23">
        <f t="shared" si="42"/>
        <v>35687.25</v>
      </c>
      <c r="P174" s="22">
        <v>331</v>
      </c>
      <c r="Q174" s="22">
        <f t="shared" si="43"/>
        <v>13902</v>
      </c>
      <c r="R174" s="25"/>
      <c r="S174" s="25">
        <f t="shared" si="44"/>
        <v>0</v>
      </c>
      <c r="T174" s="25">
        <v>1145</v>
      </c>
      <c r="U174" s="25">
        <f t="shared" si="45"/>
        <v>38586.5</v>
      </c>
      <c r="V174" s="23">
        <v>1120</v>
      </c>
      <c r="W174" s="23">
        <f t="shared" si="46"/>
        <v>36736</v>
      </c>
      <c r="X174" s="23">
        <v>1450</v>
      </c>
      <c r="Y174" s="23">
        <f t="shared" si="47"/>
        <v>50967.5</v>
      </c>
      <c r="Z174" s="23">
        <v>710</v>
      </c>
      <c r="AA174" s="23">
        <f t="shared" si="48"/>
        <v>24608.6</v>
      </c>
      <c r="AB174" s="23">
        <v>945</v>
      </c>
      <c r="AC174" s="23">
        <f t="shared" si="49"/>
        <v>34067.25</v>
      </c>
      <c r="AD174" s="23">
        <v>1526</v>
      </c>
      <c r="AE174" s="23">
        <f t="shared" si="50"/>
        <v>53471.040000000001</v>
      </c>
      <c r="AF174" s="26">
        <v>1587</v>
      </c>
      <c r="AG174" s="26">
        <f t="shared" si="51"/>
        <v>54243.659999999996</v>
      </c>
      <c r="AH174" s="23">
        <v>1185</v>
      </c>
      <c r="AI174" s="23">
        <f t="shared" si="52"/>
        <v>39460.5</v>
      </c>
      <c r="AJ174" s="23">
        <v>1423</v>
      </c>
      <c r="AK174" s="23">
        <f t="shared" si="53"/>
        <v>51156.850000000006</v>
      </c>
      <c r="AL174" s="23">
        <v>1527</v>
      </c>
      <c r="AM174" s="26">
        <f t="shared" si="54"/>
        <v>55995.090000000004</v>
      </c>
      <c r="AN174" s="12">
        <f t="shared" si="55"/>
        <v>16315</v>
      </c>
      <c r="AO174" s="22">
        <f t="shared" si="56"/>
        <v>566924.21</v>
      </c>
    </row>
    <row r="175" spans="1:41" x14ac:dyDescent="0.5">
      <c r="A175" s="19">
        <v>171</v>
      </c>
      <c r="B175" s="20" t="s">
        <v>337</v>
      </c>
      <c r="C175" s="21" t="s">
        <v>338</v>
      </c>
      <c r="D175" s="16">
        <v>932</v>
      </c>
      <c r="E175" s="16">
        <v>4</v>
      </c>
      <c r="F175" s="22">
        <v>1211</v>
      </c>
      <c r="G175" s="22">
        <f t="shared" si="38"/>
        <v>37686.32</v>
      </c>
      <c r="H175" s="22">
        <v>939</v>
      </c>
      <c r="I175" s="23">
        <f t="shared" si="39"/>
        <v>30432.989999999998</v>
      </c>
      <c r="J175" s="22">
        <v>763</v>
      </c>
      <c r="K175" s="22">
        <f t="shared" si="40"/>
        <v>25186.629999999997</v>
      </c>
      <c r="L175" s="22">
        <v>668</v>
      </c>
      <c r="M175" s="24">
        <f t="shared" si="41"/>
        <v>23460.16</v>
      </c>
      <c r="N175" s="23">
        <v>705</v>
      </c>
      <c r="O175" s="23">
        <f t="shared" si="42"/>
        <v>26966.25</v>
      </c>
      <c r="P175" s="22">
        <v>872</v>
      </c>
      <c r="Q175" s="22">
        <f t="shared" si="43"/>
        <v>36624</v>
      </c>
      <c r="R175" s="25">
        <v>871</v>
      </c>
      <c r="S175" s="25">
        <f t="shared" si="44"/>
        <v>33707.700000000004</v>
      </c>
      <c r="T175" s="25">
        <v>1073</v>
      </c>
      <c r="U175" s="25">
        <f t="shared" si="45"/>
        <v>36160.100000000006</v>
      </c>
      <c r="V175" s="23">
        <v>983</v>
      </c>
      <c r="W175" s="23">
        <f t="shared" si="46"/>
        <v>32242.399999999998</v>
      </c>
      <c r="X175" s="23">
        <v>1307</v>
      </c>
      <c r="Y175" s="23">
        <f t="shared" si="47"/>
        <v>45941.049999999996</v>
      </c>
      <c r="Z175" s="23">
        <v>985</v>
      </c>
      <c r="AA175" s="23">
        <f t="shared" si="48"/>
        <v>34140.1</v>
      </c>
      <c r="AB175" s="23">
        <v>1003</v>
      </c>
      <c r="AC175" s="23">
        <f t="shared" si="49"/>
        <v>36158.149999999994</v>
      </c>
      <c r="AD175" s="23">
        <v>1248</v>
      </c>
      <c r="AE175" s="23">
        <f t="shared" si="50"/>
        <v>43729.919999999998</v>
      </c>
      <c r="AF175" s="26">
        <v>1528</v>
      </c>
      <c r="AG175" s="26">
        <f t="shared" si="51"/>
        <v>52227.040000000001</v>
      </c>
      <c r="AH175" s="23">
        <v>1200</v>
      </c>
      <c r="AI175" s="23">
        <f t="shared" si="52"/>
        <v>39960</v>
      </c>
      <c r="AJ175" s="23">
        <v>1453</v>
      </c>
      <c r="AK175" s="23">
        <f t="shared" si="53"/>
        <v>52235.350000000006</v>
      </c>
      <c r="AL175" s="26">
        <v>1206</v>
      </c>
      <c r="AM175" s="26">
        <f t="shared" si="54"/>
        <v>44224.020000000004</v>
      </c>
      <c r="AN175" s="12">
        <f t="shared" si="55"/>
        <v>18015</v>
      </c>
      <c r="AO175" s="22">
        <f t="shared" si="56"/>
        <v>631082.17999999993</v>
      </c>
    </row>
    <row r="176" spans="1:41" s="31" customFormat="1" x14ac:dyDescent="0.5">
      <c r="A176" s="19">
        <v>172</v>
      </c>
      <c r="B176" s="27" t="s">
        <v>339</v>
      </c>
      <c r="C176" s="28" t="s">
        <v>302</v>
      </c>
      <c r="D176" s="16">
        <v>936</v>
      </c>
      <c r="E176" s="16">
        <v>4</v>
      </c>
      <c r="F176" s="22"/>
      <c r="G176" s="22">
        <f t="shared" si="38"/>
        <v>0</v>
      </c>
      <c r="H176" s="22">
        <v>225</v>
      </c>
      <c r="I176" s="23">
        <f t="shared" si="39"/>
        <v>7292.2499999999991</v>
      </c>
      <c r="J176" s="22"/>
      <c r="K176" s="22">
        <f t="shared" si="40"/>
        <v>0</v>
      </c>
      <c r="L176" s="22"/>
      <c r="M176" s="24">
        <f t="shared" si="41"/>
        <v>0</v>
      </c>
      <c r="N176" s="23"/>
      <c r="O176" s="23">
        <f t="shared" si="42"/>
        <v>0</v>
      </c>
      <c r="P176" s="22">
        <v>289</v>
      </c>
      <c r="Q176" s="22">
        <f t="shared" si="43"/>
        <v>12138</v>
      </c>
      <c r="R176" s="25"/>
      <c r="S176" s="25">
        <f t="shared" si="44"/>
        <v>0</v>
      </c>
      <c r="T176" s="25"/>
      <c r="U176" s="25">
        <f t="shared" si="45"/>
        <v>0</v>
      </c>
      <c r="V176" s="23"/>
      <c r="W176" s="23">
        <f t="shared" si="46"/>
        <v>0</v>
      </c>
      <c r="X176" s="23"/>
      <c r="Y176" s="23">
        <f t="shared" si="47"/>
        <v>0</v>
      </c>
      <c r="Z176" s="23"/>
      <c r="AA176" s="23">
        <f t="shared" si="48"/>
        <v>0</v>
      </c>
      <c r="AB176" s="23"/>
      <c r="AC176" s="23">
        <f t="shared" si="49"/>
        <v>0</v>
      </c>
      <c r="AD176" s="23"/>
      <c r="AE176" s="23">
        <f t="shared" si="50"/>
        <v>0</v>
      </c>
      <c r="AF176" s="26"/>
      <c r="AG176" s="26">
        <f t="shared" si="51"/>
        <v>0</v>
      </c>
      <c r="AH176" s="23"/>
      <c r="AI176" s="23">
        <f t="shared" si="52"/>
        <v>0</v>
      </c>
      <c r="AJ176" s="23"/>
      <c r="AK176" s="23">
        <f t="shared" si="53"/>
        <v>0</v>
      </c>
      <c r="AL176" s="23"/>
      <c r="AM176" s="26">
        <f t="shared" si="54"/>
        <v>0</v>
      </c>
      <c r="AN176" s="12">
        <f t="shared" si="55"/>
        <v>514</v>
      </c>
      <c r="AO176" s="22">
        <f t="shared" si="56"/>
        <v>19430.25</v>
      </c>
    </row>
    <row r="177" spans="1:41" s="31" customFormat="1" x14ac:dyDescent="0.5">
      <c r="A177" s="19">
        <v>173</v>
      </c>
      <c r="B177" s="20" t="s">
        <v>340</v>
      </c>
      <c r="C177" s="21" t="s">
        <v>341</v>
      </c>
      <c r="D177" s="16">
        <v>966</v>
      </c>
      <c r="E177" s="16">
        <v>4</v>
      </c>
      <c r="F177" s="22">
        <v>494</v>
      </c>
      <c r="G177" s="22">
        <f t="shared" si="38"/>
        <v>15373.28</v>
      </c>
      <c r="H177" s="22"/>
      <c r="I177" s="23">
        <f t="shared" si="39"/>
        <v>0</v>
      </c>
      <c r="J177" s="22">
        <v>208</v>
      </c>
      <c r="K177" s="22">
        <f t="shared" si="40"/>
        <v>6866.08</v>
      </c>
      <c r="L177" s="22">
        <v>216</v>
      </c>
      <c r="M177" s="24">
        <f t="shared" si="41"/>
        <v>7585.9199999999992</v>
      </c>
      <c r="N177" s="23">
        <v>146</v>
      </c>
      <c r="O177" s="23">
        <f t="shared" si="42"/>
        <v>5584.5</v>
      </c>
      <c r="P177" s="22">
        <v>442</v>
      </c>
      <c r="Q177" s="22">
        <f t="shared" si="43"/>
        <v>18564</v>
      </c>
      <c r="R177" s="25">
        <v>583</v>
      </c>
      <c r="S177" s="25">
        <f t="shared" si="44"/>
        <v>22562.100000000002</v>
      </c>
      <c r="T177" s="25">
        <v>512</v>
      </c>
      <c r="U177" s="25">
        <f t="shared" si="45"/>
        <v>17254.400000000001</v>
      </c>
      <c r="V177" s="23">
        <v>434</v>
      </c>
      <c r="W177" s="23">
        <f t="shared" si="46"/>
        <v>14235.199999999999</v>
      </c>
      <c r="X177" s="23">
        <v>859</v>
      </c>
      <c r="Y177" s="23">
        <f t="shared" si="47"/>
        <v>30193.85</v>
      </c>
      <c r="Z177" s="23">
        <v>523</v>
      </c>
      <c r="AA177" s="23">
        <f t="shared" si="48"/>
        <v>18127.179999999997</v>
      </c>
      <c r="AB177" s="23">
        <v>341</v>
      </c>
      <c r="AC177" s="23">
        <f t="shared" si="49"/>
        <v>12293.05</v>
      </c>
      <c r="AD177" s="23">
        <v>626</v>
      </c>
      <c r="AE177" s="23">
        <f t="shared" si="50"/>
        <v>21935.040000000001</v>
      </c>
      <c r="AF177" s="26"/>
      <c r="AG177" s="26">
        <f t="shared" si="51"/>
        <v>0</v>
      </c>
      <c r="AH177" s="23">
        <v>962</v>
      </c>
      <c r="AI177" s="23">
        <f t="shared" si="52"/>
        <v>32034.6</v>
      </c>
      <c r="AJ177" s="23">
        <v>554</v>
      </c>
      <c r="AK177" s="23">
        <f t="shared" si="53"/>
        <v>19916.300000000003</v>
      </c>
      <c r="AL177" s="26">
        <v>1115</v>
      </c>
      <c r="AM177" s="26">
        <f t="shared" si="54"/>
        <v>40887.050000000003</v>
      </c>
      <c r="AN177" s="12">
        <f t="shared" si="55"/>
        <v>8015</v>
      </c>
      <c r="AO177" s="22">
        <f t="shared" si="56"/>
        <v>283412.55</v>
      </c>
    </row>
    <row r="178" spans="1:41" s="31" customFormat="1" x14ac:dyDescent="0.5">
      <c r="A178" s="19">
        <v>174</v>
      </c>
      <c r="B178" s="27" t="s">
        <v>342</v>
      </c>
      <c r="C178" s="28" t="s">
        <v>343</v>
      </c>
      <c r="D178" s="16">
        <v>977</v>
      </c>
      <c r="E178" s="16">
        <v>4</v>
      </c>
      <c r="F178" s="22">
        <v>701</v>
      </c>
      <c r="G178" s="22">
        <f t="shared" si="38"/>
        <v>21815.119999999999</v>
      </c>
      <c r="H178" s="22">
        <v>463</v>
      </c>
      <c r="I178" s="23">
        <f t="shared" si="39"/>
        <v>15005.829999999998</v>
      </c>
      <c r="J178" s="22"/>
      <c r="K178" s="22">
        <f t="shared" si="40"/>
        <v>0</v>
      </c>
      <c r="L178" s="22"/>
      <c r="M178" s="24">
        <f t="shared" si="41"/>
        <v>0</v>
      </c>
      <c r="N178" s="23"/>
      <c r="O178" s="23">
        <f t="shared" si="42"/>
        <v>0</v>
      </c>
      <c r="P178" s="22">
        <v>789</v>
      </c>
      <c r="Q178" s="22">
        <f t="shared" si="43"/>
        <v>33138</v>
      </c>
      <c r="R178" s="25">
        <v>435</v>
      </c>
      <c r="S178" s="25">
        <f t="shared" si="44"/>
        <v>16834.5</v>
      </c>
      <c r="T178" s="25">
        <v>532</v>
      </c>
      <c r="U178" s="25">
        <f t="shared" si="45"/>
        <v>17928.400000000001</v>
      </c>
      <c r="V178" s="23">
        <v>569</v>
      </c>
      <c r="W178" s="23">
        <f t="shared" si="46"/>
        <v>18663.199999999997</v>
      </c>
      <c r="X178" s="23">
        <v>561</v>
      </c>
      <c r="Y178" s="23">
        <f t="shared" si="47"/>
        <v>19719.149999999998</v>
      </c>
      <c r="Z178" s="23">
        <v>360</v>
      </c>
      <c r="AA178" s="23">
        <f t="shared" si="48"/>
        <v>12477.599999999999</v>
      </c>
      <c r="AB178" s="23"/>
      <c r="AC178" s="23">
        <f t="shared" si="49"/>
        <v>0</v>
      </c>
      <c r="AD178" s="23">
        <v>539</v>
      </c>
      <c r="AE178" s="23">
        <f t="shared" si="50"/>
        <v>18886.560000000001</v>
      </c>
      <c r="AF178" s="26">
        <v>775</v>
      </c>
      <c r="AG178" s="26">
        <f t="shared" si="51"/>
        <v>26489.5</v>
      </c>
      <c r="AH178" s="23">
        <v>604</v>
      </c>
      <c r="AI178" s="23">
        <f t="shared" si="52"/>
        <v>20113.199999999997</v>
      </c>
      <c r="AJ178" s="23">
        <v>720</v>
      </c>
      <c r="AK178" s="23">
        <f t="shared" si="53"/>
        <v>25884.000000000004</v>
      </c>
      <c r="AL178" s="23">
        <v>712</v>
      </c>
      <c r="AM178" s="26">
        <f t="shared" si="54"/>
        <v>26109.040000000001</v>
      </c>
      <c r="AN178" s="12">
        <f t="shared" si="55"/>
        <v>7760</v>
      </c>
      <c r="AO178" s="22">
        <f t="shared" si="56"/>
        <v>273064.09999999998</v>
      </c>
    </row>
    <row r="179" spans="1:41" s="31" customFormat="1" x14ac:dyDescent="0.5">
      <c r="A179" s="19">
        <v>175</v>
      </c>
      <c r="B179" s="27" t="s">
        <v>344</v>
      </c>
      <c r="C179" s="28" t="s">
        <v>294</v>
      </c>
      <c r="D179" s="16">
        <v>1020</v>
      </c>
      <c r="E179" s="16">
        <v>4</v>
      </c>
      <c r="F179" s="22"/>
      <c r="G179" s="22">
        <f t="shared" si="38"/>
        <v>0</v>
      </c>
      <c r="H179" s="22"/>
      <c r="I179" s="23">
        <f t="shared" si="39"/>
        <v>0</v>
      </c>
      <c r="J179" s="22"/>
      <c r="K179" s="22">
        <f t="shared" si="40"/>
        <v>0</v>
      </c>
      <c r="L179" s="22"/>
      <c r="M179" s="24">
        <f t="shared" si="41"/>
        <v>0</v>
      </c>
      <c r="N179" s="23"/>
      <c r="O179" s="23">
        <f t="shared" si="42"/>
        <v>0</v>
      </c>
      <c r="P179" s="22"/>
      <c r="Q179" s="22">
        <f t="shared" si="43"/>
        <v>0</v>
      </c>
      <c r="R179" s="25"/>
      <c r="S179" s="25">
        <f t="shared" si="44"/>
        <v>0</v>
      </c>
      <c r="T179" s="25"/>
      <c r="U179" s="25">
        <f t="shared" si="45"/>
        <v>0</v>
      </c>
      <c r="V179" s="23">
        <v>237</v>
      </c>
      <c r="W179" s="23">
        <f t="shared" si="46"/>
        <v>7773.5999999999995</v>
      </c>
      <c r="X179" s="23">
        <v>163</v>
      </c>
      <c r="Y179" s="23">
        <f t="shared" si="47"/>
        <v>5729.45</v>
      </c>
      <c r="Z179" s="23"/>
      <c r="AA179" s="23">
        <f t="shared" si="48"/>
        <v>0</v>
      </c>
      <c r="AB179" s="23"/>
      <c r="AC179" s="23">
        <f t="shared" si="49"/>
        <v>0</v>
      </c>
      <c r="AD179" s="23">
        <v>215</v>
      </c>
      <c r="AE179" s="23">
        <f t="shared" si="50"/>
        <v>7533.5999999999995</v>
      </c>
      <c r="AF179" s="26">
        <v>187</v>
      </c>
      <c r="AG179" s="26">
        <f t="shared" si="51"/>
        <v>6391.66</v>
      </c>
      <c r="AH179" s="23"/>
      <c r="AI179" s="23">
        <f t="shared" si="52"/>
        <v>0</v>
      </c>
      <c r="AJ179" s="23"/>
      <c r="AK179" s="23">
        <f t="shared" si="53"/>
        <v>0</v>
      </c>
      <c r="AL179" s="23">
        <v>334</v>
      </c>
      <c r="AM179" s="26">
        <f t="shared" si="54"/>
        <v>12247.78</v>
      </c>
      <c r="AN179" s="12">
        <f t="shared" si="55"/>
        <v>1136</v>
      </c>
      <c r="AO179" s="22">
        <f t="shared" si="56"/>
        <v>39676.089999999997</v>
      </c>
    </row>
    <row r="180" spans="1:41" s="31" customFormat="1" x14ac:dyDescent="0.5">
      <c r="A180" s="19">
        <v>176</v>
      </c>
      <c r="B180" s="27" t="s">
        <v>345</v>
      </c>
      <c r="C180" s="28" t="s">
        <v>346</v>
      </c>
      <c r="D180" s="16">
        <v>1042</v>
      </c>
      <c r="E180" s="16">
        <v>4</v>
      </c>
      <c r="F180" s="22">
        <v>344</v>
      </c>
      <c r="G180" s="22">
        <f t="shared" si="38"/>
        <v>10705.28</v>
      </c>
      <c r="H180" s="22">
        <v>208</v>
      </c>
      <c r="I180" s="23">
        <f t="shared" si="39"/>
        <v>6741.2799999999988</v>
      </c>
      <c r="J180" s="22"/>
      <c r="K180" s="22">
        <f t="shared" si="40"/>
        <v>0</v>
      </c>
      <c r="L180" s="22"/>
      <c r="M180" s="24">
        <f t="shared" si="41"/>
        <v>0</v>
      </c>
      <c r="N180" s="23">
        <v>88</v>
      </c>
      <c r="O180" s="23">
        <f t="shared" si="42"/>
        <v>3366</v>
      </c>
      <c r="P180" s="22">
        <v>356</v>
      </c>
      <c r="Q180" s="22">
        <f t="shared" si="43"/>
        <v>14952</v>
      </c>
      <c r="R180" s="25">
        <v>295</v>
      </c>
      <c r="S180" s="25">
        <f t="shared" si="44"/>
        <v>11416.5</v>
      </c>
      <c r="T180" s="25">
        <v>381</v>
      </c>
      <c r="U180" s="25">
        <f t="shared" si="45"/>
        <v>12839.7</v>
      </c>
      <c r="V180" s="23">
        <v>283</v>
      </c>
      <c r="W180" s="23">
        <f t="shared" si="46"/>
        <v>9282.4</v>
      </c>
      <c r="X180" s="23">
        <v>423</v>
      </c>
      <c r="Y180" s="23">
        <f t="shared" si="47"/>
        <v>14868.449999999999</v>
      </c>
      <c r="Z180" s="23">
        <v>542</v>
      </c>
      <c r="AA180" s="23">
        <f t="shared" si="48"/>
        <v>18785.719999999998</v>
      </c>
      <c r="AB180" s="23"/>
      <c r="AC180" s="23">
        <f t="shared" si="49"/>
        <v>0</v>
      </c>
      <c r="AD180" s="23">
        <v>896</v>
      </c>
      <c r="AE180" s="23">
        <f t="shared" si="50"/>
        <v>31395.84</v>
      </c>
      <c r="AF180" s="26">
        <v>668</v>
      </c>
      <c r="AG180" s="26">
        <f t="shared" si="51"/>
        <v>22832.240000000002</v>
      </c>
      <c r="AH180" s="23">
        <v>373</v>
      </c>
      <c r="AI180" s="23">
        <f t="shared" si="52"/>
        <v>12420.9</v>
      </c>
      <c r="AJ180" s="23">
        <v>431</v>
      </c>
      <c r="AK180" s="23">
        <f t="shared" si="53"/>
        <v>15494.45</v>
      </c>
      <c r="AL180" s="23">
        <v>437</v>
      </c>
      <c r="AM180" s="26">
        <f t="shared" si="54"/>
        <v>16024.79</v>
      </c>
      <c r="AN180" s="12">
        <f t="shared" si="55"/>
        <v>5725</v>
      </c>
      <c r="AO180" s="22">
        <f t="shared" si="56"/>
        <v>201125.55</v>
      </c>
    </row>
    <row r="181" spans="1:41" s="31" customFormat="1" x14ac:dyDescent="0.5">
      <c r="A181" s="19">
        <v>177</v>
      </c>
      <c r="B181" s="27" t="s">
        <v>347</v>
      </c>
      <c r="C181" s="28" t="s">
        <v>90</v>
      </c>
      <c r="D181" s="16">
        <v>1044</v>
      </c>
      <c r="E181" s="16">
        <v>4</v>
      </c>
      <c r="F181" s="22">
        <v>1730</v>
      </c>
      <c r="G181" s="22">
        <f t="shared" si="38"/>
        <v>53837.599999999999</v>
      </c>
      <c r="H181" s="22">
        <v>1104</v>
      </c>
      <c r="I181" s="23">
        <f t="shared" si="39"/>
        <v>35780.639999999999</v>
      </c>
      <c r="J181" s="22">
        <v>1016</v>
      </c>
      <c r="K181" s="22">
        <f t="shared" si="40"/>
        <v>33538.159999999996</v>
      </c>
      <c r="L181" s="22">
        <v>1188</v>
      </c>
      <c r="M181" s="24">
        <f t="shared" si="41"/>
        <v>41722.559999999998</v>
      </c>
      <c r="N181" s="23">
        <v>827</v>
      </c>
      <c r="O181" s="23">
        <f t="shared" si="42"/>
        <v>31632.75</v>
      </c>
      <c r="P181" s="22">
        <v>1139</v>
      </c>
      <c r="Q181" s="22">
        <f t="shared" si="43"/>
        <v>47838</v>
      </c>
      <c r="R181" s="25">
        <v>884</v>
      </c>
      <c r="S181" s="25">
        <f t="shared" si="44"/>
        <v>34210.800000000003</v>
      </c>
      <c r="T181" s="25">
        <v>779</v>
      </c>
      <c r="U181" s="25">
        <f t="shared" si="45"/>
        <v>26252.300000000003</v>
      </c>
      <c r="V181" s="23">
        <v>1729</v>
      </c>
      <c r="W181" s="23">
        <f t="shared" si="46"/>
        <v>56711.199999999997</v>
      </c>
      <c r="X181" s="23"/>
      <c r="Y181" s="23">
        <f t="shared" si="47"/>
        <v>0</v>
      </c>
      <c r="Z181" s="23">
        <v>1451</v>
      </c>
      <c r="AA181" s="23">
        <f t="shared" si="48"/>
        <v>50291.659999999996</v>
      </c>
      <c r="AB181" s="23">
        <v>1301</v>
      </c>
      <c r="AC181" s="23">
        <f t="shared" si="49"/>
        <v>46901.049999999996</v>
      </c>
      <c r="AD181" s="23">
        <v>1703</v>
      </c>
      <c r="AE181" s="23">
        <f t="shared" si="50"/>
        <v>59673.119999999995</v>
      </c>
      <c r="AF181" s="26">
        <v>1680</v>
      </c>
      <c r="AG181" s="26">
        <f t="shared" si="51"/>
        <v>57422.400000000001</v>
      </c>
      <c r="AH181" s="23">
        <v>859</v>
      </c>
      <c r="AI181" s="23">
        <f t="shared" si="52"/>
        <v>28604.699999999997</v>
      </c>
      <c r="AJ181" s="23">
        <v>1259</v>
      </c>
      <c r="AK181" s="23">
        <f t="shared" si="53"/>
        <v>45261.05</v>
      </c>
      <c r="AL181" s="23">
        <v>514</v>
      </c>
      <c r="AM181" s="26">
        <f t="shared" si="54"/>
        <v>18848.38</v>
      </c>
      <c r="AN181" s="12">
        <f t="shared" si="55"/>
        <v>19163</v>
      </c>
      <c r="AO181" s="22">
        <f t="shared" si="56"/>
        <v>668526.37</v>
      </c>
    </row>
    <row r="182" spans="1:41" s="31" customFormat="1" x14ac:dyDescent="0.5">
      <c r="A182" s="19">
        <v>178</v>
      </c>
      <c r="B182" s="27" t="s">
        <v>348</v>
      </c>
      <c r="C182" s="28" t="s">
        <v>349</v>
      </c>
      <c r="D182" s="16">
        <v>1070</v>
      </c>
      <c r="E182" s="16">
        <v>4</v>
      </c>
      <c r="F182" s="22"/>
      <c r="G182" s="22">
        <f t="shared" si="38"/>
        <v>0</v>
      </c>
      <c r="H182" s="22"/>
      <c r="I182" s="23">
        <f t="shared" si="39"/>
        <v>0</v>
      </c>
      <c r="J182" s="22"/>
      <c r="K182" s="22">
        <f t="shared" si="40"/>
        <v>0</v>
      </c>
      <c r="L182" s="22">
        <v>413</v>
      </c>
      <c r="M182" s="24">
        <f t="shared" si="41"/>
        <v>14504.56</v>
      </c>
      <c r="N182" s="23"/>
      <c r="O182" s="23">
        <f t="shared" si="42"/>
        <v>0</v>
      </c>
      <c r="P182" s="22"/>
      <c r="Q182" s="22">
        <f t="shared" si="43"/>
        <v>0</v>
      </c>
      <c r="R182" s="25">
        <v>227</v>
      </c>
      <c r="S182" s="25">
        <f t="shared" si="44"/>
        <v>8784.9000000000015</v>
      </c>
      <c r="T182" s="25">
        <v>674</v>
      </c>
      <c r="U182" s="25">
        <f t="shared" si="45"/>
        <v>22713.800000000003</v>
      </c>
      <c r="V182" s="23">
        <v>341</v>
      </c>
      <c r="W182" s="23">
        <f t="shared" si="46"/>
        <v>11184.8</v>
      </c>
      <c r="X182" s="23">
        <v>803</v>
      </c>
      <c r="Y182" s="23">
        <f t="shared" si="47"/>
        <v>28225.449999999997</v>
      </c>
      <c r="Z182" s="23">
        <v>345</v>
      </c>
      <c r="AA182" s="23">
        <f t="shared" si="48"/>
        <v>11957.699999999999</v>
      </c>
      <c r="AB182" s="23">
        <v>775</v>
      </c>
      <c r="AC182" s="23">
        <f t="shared" si="49"/>
        <v>27938.749999999996</v>
      </c>
      <c r="AD182" s="23">
        <v>281</v>
      </c>
      <c r="AE182" s="23">
        <f t="shared" si="50"/>
        <v>9846.24</v>
      </c>
      <c r="AF182" s="26">
        <v>736</v>
      </c>
      <c r="AG182" s="26">
        <f t="shared" si="51"/>
        <v>25156.48</v>
      </c>
      <c r="AH182" s="23">
        <v>294</v>
      </c>
      <c r="AI182" s="23">
        <f t="shared" si="52"/>
        <v>9790.1999999999989</v>
      </c>
      <c r="AJ182" s="23">
        <v>575</v>
      </c>
      <c r="AK182" s="23">
        <f t="shared" si="53"/>
        <v>20671.25</v>
      </c>
      <c r="AL182" s="23">
        <v>268</v>
      </c>
      <c r="AM182" s="26">
        <f t="shared" si="54"/>
        <v>9827.5600000000013</v>
      </c>
      <c r="AN182" s="12">
        <f t="shared" si="55"/>
        <v>5732</v>
      </c>
      <c r="AO182" s="22">
        <f t="shared" si="56"/>
        <v>200601.69</v>
      </c>
    </row>
    <row r="183" spans="1:41" s="31" customFormat="1" x14ac:dyDescent="0.5">
      <c r="A183" s="19">
        <v>179</v>
      </c>
      <c r="B183" s="27" t="s">
        <v>350</v>
      </c>
      <c r="C183" s="28" t="s">
        <v>351</v>
      </c>
      <c r="D183" s="16">
        <v>1108</v>
      </c>
      <c r="E183" s="16">
        <v>4</v>
      </c>
      <c r="F183" s="22"/>
      <c r="G183" s="22">
        <f t="shared" si="38"/>
        <v>0</v>
      </c>
      <c r="H183" s="22"/>
      <c r="I183" s="23">
        <f t="shared" si="39"/>
        <v>0</v>
      </c>
      <c r="J183" s="22"/>
      <c r="K183" s="22">
        <f t="shared" si="40"/>
        <v>0</v>
      </c>
      <c r="L183" s="22"/>
      <c r="M183" s="24">
        <f t="shared" si="41"/>
        <v>0</v>
      </c>
      <c r="N183" s="23"/>
      <c r="O183" s="23">
        <f t="shared" si="42"/>
        <v>0</v>
      </c>
      <c r="P183" s="22"/>
      <c r="Q183" s="22">
        <f t="shared" si="43"/>
        <v>0</v>
      </c>
      <c r="R183" s="25">
        <v>1051</v>
      </c>
      <c r="S183" s="25">
        <f t="shared" si="44"/>
        <v>40673.700000000004</v>
      </c>
      <c r="T183" s="25">
        <v>1313</v>
      </c>
      <c r="U183" s="25">
        <f t="shared" si="45"/>
        <v>44248.100000000006</v>
      </c>
      <c r="V183" s="23">
        <v>1467</v>
      </c>
      <c r="W183" s="23">
        <f t="shared" si="46"/>
        <v>48117.599999999999</v>
      </c>
      <c r="X183" s="23">
        <v>1504</v>
      </c>
      <c r="Y183" s="23">
        <f t="shared" si="47"/>
        <v>52865.599999999999</v>
      </c>
      <c r="Z183" s="23">
        <v>986</v>
      </c>
      <c r="AA183" s="23">
        <f t="shared" si="48"/>
        <v>34174.759999999995</v>
      </c>
      <c r="AB183" s="23"/>
      <c r="AC183" s="23">
        <f t="shared" si="49"/>
        <v>0</v>
      </c>
      <c r="AD183" s="23"/>
      <c r="AE183" s="23">
        <f t="shared" si="50"/>
        <v>0</v>
      </c>
      <c r="AF183" s="26">
        <v>1070</v>
      </c>
      <c r="AG183" s="26">
        <f t="shared" si="51"/>
        <v>36572.6</v>
      </c>
      <c r="AH183" s="23">
        <v>1084</v>
      </c>
      <c r="AI183" s="23">
        <f t="shared" si="52"/>
        <v>36097.199999999997</v>
      </c>
      <c r="AJ183" s="23">
        <v>1170</v>
      </c>
      <c r="AK183" s="23">
        <f t="shared" si="53"/>
        <v>42061.5</v>
      </c>
      <c r="AL183" s="23">
        <v>1835</v>
      </c>
      <c r="AM183" s="26">
        <f t="shared" si="54"/>
        <v>67289.45</v>
      </c>
      <c r="AN183" s="12">
        <f t="shared" si="55"/>
        <v>11480</v>
      </c>
      <c r="AO183" s="22">
        <f t="shared" si="56"/>
        <v>402100.51</v>
      </c>
    </row>
    <row r="184" spans="1:41" s="31" customFormat="1" x14ac:dyDescent="0.5">
      <c r="A184" s="19">
        <v>180</v>
      </c>
      <c r="B184" s="27" t="s">
        <v>352</v>
      </c>
      <c r="C184" s="28" t="s">
        <v>353</v>
      </c>
      <c r="D184" s="16">
        <v>1113</v>
      </c>
      <c r="E184" s="16">
        <v>4</v>
      </c>
      <c r="F184" s="22"/>
      <c r="G184" s="22">
        <f t="shared" si="38"/>
        <v>0</v>
      </c>
      <c r="H184" s="22">
        <v>797</v>
      </c>
      <c r="I184" s="23">
        <f>H184*32.41</f>
        <v>25830.769999999997</v>
      </c>
      <c r="J184" s="22">
        <v>402</v>
      </c>
      <c r="K184" s="22">
        <f>J184*33.01</f>
        <v>13270.019999999999</v>
      </c>
      <c r="L184" s="29"/>
      <c r="M184" s="24">
        <f t="shared" si="41"/>
        <v>0</v>
      </c>
      <c r="N184" s="30">
        <v>1433</v>
      </c>
      <c r="O184" s="23">
        <f t="shared" si="42"/>
        <v>54812.25</v>
      </c>
      <c r="P184" s="22">
        <v>1227</v>
      </c>
      <c r="Q184" s="22">
        <f t="shared" si="43"/>
        <v>51534</v>
      </c>
      <c r="R184" s="25">
        <v>255</v>
      </c>
      <c r="S184" s="25">
        <f t="shared" si="44"/>
        <v>9868.5</v>
      </c>
      <c r="T184" s="25">
        <v>1439</v>
      </c>
      <c r="U184" s="25">
        <f t="shared" si="45"/>
        <v>48494.3</v>
      </c>
      <c r="V184" s="23">
        <v>1355</v>
      </c>
      <c r="W184" s="23">
        <f t="shared" si="46"/>
        <v>44443.999999999993</v>
      </c>
      <c r="X184" s="23">
        <v>1910</v>
      </c>
      <c r="Y184" s="23">
        <f t="shared" si="47"/>
        <v>67136.5</v>
      </c>
      <c r="Z184" s="23">
        <v>942</v>
      </c>
      <c r="AA184" s="23">
        <f t="shared" si="48"/>
        <v>32649.719999999998</v>
      </c>
      <c r="AB184" s="23"/>
      <c r="AC184" s="23">
        <f t="shared" si="49"/>
        <v>0</v>
      </c>
      <c r="AD184" s="23">
        <v>1765</v>
      </c>
      <c r="AE184" s="23">
        <f t="shared" si="50"/>
        <v>61845.599999999999</v>
      </c>
      <c r="AF184" s="26">
        <v>1590</v>
      </c>
      <c r="AG184" s="26">
        <f t="shared" si="51"/>
        <v>54346.2</v>
      </c>
      <c r="AH184" s="23">
        <v>1593</v>
      </c>
      <c r="AI184" s="23">
        <f t="shared" si="52"/>
        <v>53046.899999999994</v>
      </c>
      <c r="AJ184" s="23">
        <v>2586</v>
      </c>
      <c r="AK184" s="23">
        <f t="shared" si="53"/>
        <v>92966.700000000012</v>
      </c>
      <c r="AL184" s="23">
        <v>2480</v>
      </c>
      <c r="AM184" s="26">
        <f t="shared" si="54"/>
        <v>90941.6</v>
      </c>
      <c r="AN184" s="12">
        <f t="shared" si="55"/>
        <v>19774</v>
      </c>
      <c r="AO184" s="22">
        <f t="shared" si="56"/>
        <v>701187.05999999994</v>
      </c>
    </row>
    <row r="185" spans="1:41" s="31" customFormat="1" x14ac:dyDescent="0.5">
      <c r="A185" s="19">
        <v>181</v>
      </c>
      <c r="B185" s="27" t="s">
        <v>354</v>
      </c>
      <c r="C185" s="28" t="s">
        <v>355</v>
      </c>
      <c r="D185" s="16">
        <v>215</v>
      </c>
      <c r="E185" s="16">
        <v>5</v>
      </c>
      <c r="F185" s="22">
        <v>411</v>
      </c>
      <c r="G185" s="22">
        <f t="shared" si="38"/>
        <v>12790.32</v>
      </c>
      <c r="H185" s="22">
        <v>245</v>
      </c>
      <c r="I185" s="23">
        <f t="shared" si="39"/>
        <v>7940.4499999999989</v>
      </c>
      <c r="J185" s="22"/>
      <c r="K185" s="22">
        <f t="shared" si="40"/>
        <v>0</v>
      </c>
      <c r="L185" s="22"/>
      <c r="M185" s="24">
        <f t="shared" si="41"/>
        <v>0</v>
      </c>
      <c r="N185" s="23"/>
      <c r="O185" s="23">
        <f t="shared" si="42"/>
        <v>0</v>
      </c>
      <c r="P185" s="22"/>
      <c r="Q185" s="22">
        <f t="shared" si="43"/>
        <v>0</v>
      </c>
      <c r="R185" s="25">
        <v>359</v>
      </c>
      <c r="S185" s="25">
        <f t="shared" si="44"/>
        <v>13893.300000000001</v>
      </c>
      <c r="T185" s="25">
        <v>233</v>
      </c>
      <c r="U185" s="25">
        <f t="shared" si="45"/>
        <v>7852.1</v>
      </c>
      <c r="V185" s="23">
        <v>290</v>
      </c>
      <c r="W185" s="23">
        <f t="shared" si="46"/>
        <v>9512</v>
      </c>
      <c r="X185" s="23">
        <v>262</v>
      </c>
      <c r="Y185" s="23">
        <f t="shared" si="47"/>
        <v>9209.2999999999993</v>
      </c>
      <c r="Z185" s="23"/>
      <c r="AA185" s="23">
        <f t="shared" si="48"/>
        <v>0</v>
      </c>
      <c r="AB185" s="23"/>
      <c r="AC185" s="23">
        <f t="shared" si="49"/>
        <v>0</v>
      </c>
      <c r="AD185" s="23"/>
      <c r="AE185" s="23">
        <f t="shared" si="50"/>
        <v>0</v>
      </c>
      <c r="AF185" s="26">
        <v>561</v>
      </c>
      <c r="AG185" s="26">
        <f t="shared" si="51"/>
        <v>19174.98</v>
      </c>
      <c r="AH185" s="23">
        <v>416</v>
      </c>
      <c r="AI185" s="23">
        <f t="shared" si="52"/>
        <v>13852.8</v>
      </c>
      <c r="AJ185" s="23">
        <v>440</v>
      </c>
      <c r="AK185" s="23">
        <f t="shared" si="53"/>
        <v>15818.000000000002</v>
      </c>
      <c r="AL185" s="23"/>
      <c r="AM185" s="26">
        <f t="shared" si="54"/>
        <v>0</v>
      </c>
      <c r="AN185" s="12">
        <f t="shared" si="55"/>
        <v>3217</v>
      </c>
      <c r="AO185" s="22">
        <f t="shared" si="56"/>
        <v>110043.25</v>
      </c>
    </row>
    <row r="186" spans="1:41" s="31" customFormat="1" x14ac:dyDescent="0.5">
      <c r="A186" s="19">
        <v>182</v>
      </c>
      <c r="B186" s="27" t="s">
        <v>356</v>
      </c>
      <c r="C186" s="28" t="s">
        <v>357</v>
      </c>
      <c r="D186" s="16">
        <v>491</v>
      </c>
      <c r="E186" s="16">
        <v>5</v>
      </c>
      <c r="F186" s="22"/>
      <c r="G186" s="22">
        <f t="shared" si="38"/>
        <v>0</v>
      </c>
      <c r="H186" s="22"/>
      <c r="I186" s="23">
        <f t="shared" si="39"/>
        <v>0</v>
      </c>
      <c r="J186" s="22"/>
      <c r="K186" s="22">
        <f t="shared" si="40"/>
        <v>0</v>
      </c>
      <c r="L186" s="22"/>
      <c r="M186" s="24">
        <f t="shared" si="41"/>
        <v>0</v>
      </c>
      <c r="N186" s="23"/>
      <c r="O186" s="23">
        <f t="shared" si="42"/>
        <v>0</v>
      </c>
      <c r="P186" s="22"/>
      <c r="Q186" s="22">
        <f t="shared" si="43"/>
        <v>0</v>
      </c>
      <c r="R186" s="25"/>
      <c r="S186" s="25">
        <f t="shared" si="44"/>
        <v>0</v>
      </c>
      <c r="T186" s="25"/>
      <c r="U186" s="25">
        <f t="shared" si="45"/>
        <v>0</v>
      </c>
      <c r="V186" s="23"/>
      <c r="W186" s="23">
        <f t="shared" si="46"/>
        <v>0</v>
      </c>
      <c r="X186" s="23"/>
      <c r="Y186" s="23">
        <f t="shared" si="47"/>
        <v>0</v>
      </c>
      <c r="Z186" s="23"/>
      <c r="AA186" s="23">
        <f t="shared" si="48"/>
        <v>0</v>
      </c>
      <c r="AB186" s="23"/>
      <c r="AC186" s="23">
        <f t="shared" si="49"/>
        <v>0</v>
      </c>
      <c r="AD186" s="23"/>
      <c r="AE186" s="23">
        <f t="shared" si="50"/>
        <v>0</v>
      </c>
      <c r="AF186" s="26"/>
      <c r="AG186" s="26">
        <f t="shared" si="51"/>
        <v>0</v>
      </c>
      <c r="AH186" s="23"/>
      <c r="AI186" s="23">
        <f t="shared" si="52"/>
        <v>0</v>
      </c>
      <c r="AJ186" s="23"/>
      <c r="AK186" s="23">
        <f t="shared" si="53"/>
        <v>0</v>
      </c>
      <c r="AL186" s="23"/>
      <c r="AM186" s="26">
        <f t="shared" si="54"/>
        <v>0</v>
      </c>
      <c r="AN186" s="12">
        <f t="shared" si="55"/>
        <v>0</v>
      </c>
      <c r="AO186" s="22">
        <f t="shared" si="56"/>
        <v>0</v>
      </c>
    </row>
    <row r="187" spans="1:41" s="31" customFormat="1" x14ac:dyDescent="0.5">
      <c r="A187" s="19">
        <v>183</v>
      </c>
      <c r="B187" s="27" t="s">
        <v>358</v>
      </c>
      <c r="C187" s="28" t="s">
        <v>60</v>
      </c>
      <c r="D187" s="16">
        <v>610</v>
      </c>
      <c r="E187" s="16">
        <v>5</v>
      </c>
      <c r="F187" s="22"/>
      <c r="G187" s="22">
        <f t="shared" si="38"/>
        <v>0</v>
      </c>
      <c r="H187" s="22"/>
      <c r="I187" s="23">
        <f t="shared" si="39"/>
        <v>0</v>
      </c>
      <c r="J187" s="22"/>
      <c r="K187" s="22">
        <f t="shared" si="40"/>
        <v>0</v>
      </c>
      <c r="L187" s="22"/>
      <c r="M187" s="24">
        <f t="shared" si="41"/>
        <v>0</v>
      </c>
      <c r="N187" s="23"/>
      <c r="O187" s="23">
        <f t="shared" si="42"/>
        <v>0</v>
      </c>
      <c r="P187" s="22"/>
      <c r="Q187" s="22">
        <f t="shared" si="43"/>
        <v>0</v>
      </c>
      <c r="R187" s="25"/>
      <c r="S187" s="25">
        <f t="shared" si="44"/>
        <v>0</v>
      </c>
      <c r="T187" s="25"/>
      <c r="U187" s="25">
        <f t="shared" si="45"/>
        <v>0</v>
      </c>
      <c r="V187" s="23"/>
      <c r="W187" s="23">
        <f t="shared" si="46"/>
        <v>0</v>
      </c>
      <c r="X187" s="23"/>
      <c r="Y187" s="23">
        <f t="shared" si="47"/>
        <v>0</v>
      </c>
      <c r="Z187" s="23"/>
      <c r="AA187" s="23">
        <f t="shared" si="48"/>
        <v>0</v>
      </c>
      <c r="AB187" s="23"/>
      <c r="AC187" s="23">
        <f t="shared" si="49"/>
        <v>0</v>
      </c>
      <c r="AD187" s="23"/>
      <c r="AE187" s="23">
        <f t="shared" si="50"/>
        <v>0</v>
      </c>
      <c r="AF187" s="26"/>
      <c r="AG187" s="26">
        <f t="shared" si="51"/>
        <v>0</v>
      </c>
      <c r="AH187" s="23"/>
      <c r="AI187" s="23">
        <f t="shared" si="52"/>
        <v>0</v>
      </c>
      <c r="AJ187" s="23"/>
      <c r="AK187" s="23">
        <f t="shared" si="53"/>
        <v>0</v>
      </c>
      <c r="AL187" s="23"/>
      <c r="AM187" s="26">
        <f t="shared" si="54"/>
        <v>0</v>
      </c>
      <c r="AN187" s="12">
        <f t="shared" si="55"/>
        <v>0</v>
      </c>
      <c r="AO187" s="22">
        <f t="shared" si="56"/>
        <v>0</v>
      </c>
    </row>
    <row r="188" spans="1:41" s="31" customFormat="1" x14ac:dyDescent="0.5">
      <c r="A188" s="19">
        <v>184</v>
      </c>
      <c r="B188" s="27" t="s">
        <v>359</v>
      </c>
      <c r="C188" s="28" t="s">
        <v>360</v>
      </c>
      <c r="D188" s="16">
        <v>633</v>
      </c>
      <c r="E188" s="16">
        <v>5</v>
      </c>
      <c r="F188" s="22">
        <v>602</v>
      </c>
      <c r="G188" s="22">
        <f t="shared" si="38"/>
        <v>18734.240000000002</v>
      </c>
      <c r="H188" s="22">
        <v>414</v>
      </c>
      <c r="I188" s="23">
        <f t="shared" si="39"/>
        <v>13417.739999999998</v>
      </c>
      <c r="J188" s="22"/>
      <c r="K188" s="22">
        <f t="shared" si="40"/>
        <v>0</v>
      </c>
      <c r="L188" s="22"/>
      <c r="M188" s="24">
        <f t="shared" si="41"/>
        <v>0</v>
      </c>
      <c r="N188" s="23"/>
      <c r="O188" s="23">
        <f t="shared" si="42"/>
        <v>0</v>
      </c>
      <c r="P188" s="22">
        <v>259</v>
      </c>
      <c r="Q188" s="22">
        <f t="shared" si="43"/>
        <v>10878</v>
      </c>
      <c r="R188" s="25">
        <v>560</v>
      </c>
      <c r="S188" s="25">
        <f t="shared" si="44"/>
        <v>21672</v>
      </c>
      <c r="T188" s="25">
        <v>519</v>
      </c>
      <c r="U188" s="25">
        <f t="shared" si="45"/>
        <v>17490.300000000003</v>
      </c>
      <c r="V188" s="23">
        <v>693</v>
      </c>
      <c r="W188" s="23">
        <f t="shared" si="46"/>
        <v>22730.399999999998</v>
      </c>
      <c r="X188" s="23">
        <v>657</v>
      </c>
      <c r="Y188" s="23">
        <f t="shared" si="47"/>
        <v>23093.55</v>
      </c>
      <c r="Z188" s="23"/>
      <c r="AA188" s="23">
        <f t="shared" si="48"/>
        <v>0</v>
      </c>
      <c r="AB188" s="23"/>
      <c r="AC188" s="23">
        <f t="shared" si="49"/>
        <v>0</v>
      </c>
      <c r="AD188" s="23"/>
      <c r="AE188" s="23">
        <f t="shared" si="50"/>
        <v>0</v>
      </c>
      <c r="AF188" s="26"/>
      <c r="AG188" s="26">
        <f t="shared" si="51"/>
        <v>0</v>
      </c>
      <c r="AH188" s="23"/>
      <c r="AI188" s="23">
        <f t="shared" si="52"/>
        <v>0</v>
      </c>
      <c r="AJ188" s="23"/>
      <c r="AK188" s="23">
        <f t="shared" si="53"/>
        <v>0</v>
      </c>
      <c r="AL188" s="23"/>
      <c r="AM188" s="26">
        <f t="shared" si="54"/>
        <v>0</v>
      </c>
      <c r="AN188" s="12">
        <f t="shared" si="55"/>
        <v>3704</v>
      </c>
      <c r="AO188" s="22">
        <f t="shared" si="56"/>
        <v>128016.23</v>
      </c>
    </row>
    <row r="189" spans="1:41" s="31" customFormat="1" x14ac:dyDescent="0.5">
      <c r="A189" s="19">
        <v>185</v>
      </c>
      <c r="B189" s="27" t="s">
        <v>361</v>
      </c>
      <c r="C189" s="28" t="s">
        <v>362</v>
      </c>
      <c r="D189" s="16">
        <v>662</v>
      </c>
      <c r="E189" s="16">
        <v>5</v>
      </c>
      <c r="F189" s="22">
        <v>329</v>
      </c>
      <c r="G189" s="22">
        <f t="shared" si="38"/>
        <v>10238.48</v>
      </c>
      <c r="H189" s="22">
        <v>158</v>
      </c>
      <c r="I189" s="23">
        <f t="shared" si="39"/>
        <v>5120.78</v>
      </c>
      <c r="J189" s="22"/>
      <c r="K189" s="22">
        <f t="shared" si="40"/>
        <v>0</v>
      </c>
      <c r="L189" s="22">
        <v>247</v>
      </c>
      <c r="M189" s="24">
        <f t="shared" si="41"/>
        <v>8674.64</v>
      </c>
      <c r="N189" s="23"/>
      <c r="O189" s="23">
        <f t="shared" si="42"/>
        <v>0</v>
      </c>
      <c r="P189" s="22"/>
      <c r="Q189" s="22">
        <f t="shared" si="43"/>
        <v>0</v>
      </c>
      <c r="R189" s="25">
        <v>417</v>
      </c>
      <c r="S189" s="25">
        <f t="shared" si="44"/>
        <v>16137.900000000001</v>
      </c>
      <c r="T189" s="25">
        <v>360</v>
      </c>
      <c r="U189" s="25">
        <f t="shared" si="45"/>
        <v>12132.000000000002</v>
      </c>
      <c r="V189" s="23">
        <v>300</v>
      </c>
      <c r="W189" s="23">
        <f t="shared" si="46"/>
        <v>9840</v>
      </c>
      <c r="X189" s="23">
        <v>506</v>
      </c>
      <c r="Y189" s="23">
        <f t="shared" si="47"/>
        <v>17785.899999999998</v>
      </c>
      <c r="Z189" s="23">
        <v>407</v>
      </c>
      <c r="AA189" s="23">
        <f t="shared" si="48"/>
        <v>14106.619999999999</v>
      </c>
      <c r="AB189" s="23">
        <v>333</v>
      </c>
      <c r="AC189" s="23">
        <f t="shared" si="49"/>
        <v>12004.65</v>
      </c>
      <c r="AD189" s="23">
        <v>370</v>
      </c>
      <c r="AE189" s="23">
        <f t="shared" si="50"/>
        <v>12964.8</v>
      </c>
      <c r="AF189" s="26">
        <v>438</v>
      </c>
      <c r="AG189" s="26">
        <f t="shared" si="51"/>
        <v>14970.84</v>
      </c>
      <c r="AH189" s="23">
        <v>324</v>
      </c>
      <c r="AI189" s="23">
        <f t="shared" si="52"/>
        <v>10789.199999999999</v>
      </c>
      <c r="AJ189" s="23">
        <v>394</v>
      </c>
      <c r="AK189" s="23">
        <f t="shared" si="53"/>
        <v>14164.300000000001</v>
      </c>
      <c r="AL189" s="23">
        <v>321</v>
      </c>
      <c r="AM189" s="26">
        <f t="shared" si="54"/>
        <v>11771.07</v>
      </c>
      <c r="AN189" s="12">
        <f t="shared" si="55"/>
        <v>4904</v>
      </c>
      <c r="AO189" s="22">
        <f t="shared" si="56"/>
        <v>170701.18</v>
      </c>
    </row>
    <row r="190" spans="1:41" s="31" customFormat="1" x14ac:dyDescent="0.5">
      <c r="A190" s="19">
        <v>186</v>
      </c>
      <c r="B190" s="27" t="s">
        <v>363</v>
      </c>
      <c r="C190" s="28" t="s">
        <v>364</v>
      </c>
      <c r="D190" s="16">
        <v>709</v>
      </c>
      <c r="E190" s="16">
        <v>5</v>
      </c>
      <c r="F190" s="22"/>
      <c r="G190" s="22">
        <f t="shared" si="38"/>
        <v>0</v>
      </c>
      <c r="H190" s="22"/>
      <c r="I190" s="23">
        <f t="shared" si="39"/>
        <v>0</v>
      </c>
      <c r="J190" s="22"/>
      <c r="K190" s="22">
        <f t="shared" si="40"/>
        <v>0</v>
      </c>
      <c r="L190" s="22"/>
      <c r="M190" s="24">
        <f t="shared" si="41"/>
        <v>0</v>
      </c>
      <c r="N190" s="23"/>
      <c r="O190" s="23">
        <f t="shared" si="42"/>
        <v>0</v>
      </c>
      <c r="P190" s="22"/>
      <c r="Q190" s="22">
        <f t="shared" si="43"/>
        <v>0</v>
      </c>
      <c r="R190" s="25"/>
      <c r="S190" s="25">
        <f t="shared" si="44"/>
        <v>0</v>
      </c>
      <c r="T190" s="25"/>
      <c r="U190" s="25">
        <f t="shared" si="45"/>
        <v>0</v>
      </c>
      <c r="V190" s="23"/>
      <c r="W190" s="23">
        <f t="shared" si="46"/>
        <v>0</v>
      </c>
      <c r="X190" s="23"/>
      <c r="Y190" s="23">
        <f t="shared" si="47"/>
        <v>0</v>
      </c>
      <c r="Z190" s="23"/>
      <c r="AA190" s="23">
        <f t="shared" si="48"/>
        <v>0</v>
      </c>
      <c r="AB190" s="23"/>
      <c r="AC190" s="23">
        <f t="shared" si="49"/>
        <v>0</v>
      </c>
      <c r="AD190" s="23"/>
      <c r="AE190" s="23">
        <f t="shared" si="50"/>
        <v>0</v>
      </c>
      <c r="AF190" s="26"/>
      <c r="AG190" s="26">
        <f t="shared" si="51"/>
        <v>0</v>
      </c>
      <c r="AH190" s="23"/>
      <c r="AI190" s="23">
        <f t="shared" si="52"/>
        <v>0</v>
      </c>
      <c r="AJ190" s="23"/>
      <c r="AK190" s="23">
        <f t="shared" si="53"/>
        <v>0</v>
      </c>
      <c r="AL190" s="23"/>
      <c r="AM190" s="26">
        <f t="shared" si="54"/>
        <v>0</v>
      </c>
      <c r="AN190" s="12">
        <f t="shared" si="55"/>
        <v>0</v>
      </c>
      <c r="AO190" s="22">
        <f t="shared" si="56"/>
        <v>0</v>
      </c>
    </row>
    <row r="191" spans="1:41" s="31" customFormat="1" x14ac:dyDescent="0.5">
      <c r="A191" s="19">
        <v>187</v>
      </c>
      <c r="B191" s="27" t="s">
        <v>365</v>
      </c>
      <c r="C191" s="28" t="s">
        <v>366</v>
      </c>
      <c r="D191" s="16">
        <v>710</v>
      </c>
      <c r="E191" s="16">
        <v>5</v>
      </c>
      <c r="F191" s="22">
        <v>835</v>
      </c>
      <c r="G191" s="22">
        <f t="shared" si="38"/>
        <v>25985.200000000001</v>
      </c>
      <c r="H191" s="22">
        <v>544</v>
      </c>
      <c r="I191" s="23">
        <f t="shared" si="39"/>
        <v>17631.039999999997</v>
      </c>
      <c r="J191" s="22">
        <v>364</v>
      </c>
      <c r="K191" s="22">
        <f t="shared" si="40"/>
        <v>12015.64</v>
      </c>
      <c r="L191" s="22">
        <v>312</v>
      </c>
      <c r="M191" s="24">
        <f t="shared" si="41"/>
        <v>10957.439999999999</v>
      </c>
      <c r="N191" s="23"/>
      <c r="O191" s="23">
        <f t="shared" si="42"/>
        <v>0</v>
      </c>
      <c r="P191" s="22">
        <v>291</v>
      </c>
      <c r="Q191" s="22">
        <f t="shared" si="43"/>
        <v>12222</v>
      </c>
      <c r="R191" s="25">
        <v>652</v>
      </c>
      <c r="S191" s="25">
        <f t="shared" si="44"/>
        <v>25232.400000000001</v>
      </c>
      <c r="T191" s="25">
        <v>992</v>
      </c>
      <c r="U191" s="25">
        <f t="shared" si="45"/>
        <v>33430.400000000001</v>
      </c>
      <c r="V191" s="23">
        <v>880</v>
      </c>
      <c r="W191" s="23">
        <f t="shared" si="46"/>
        <v>28863.999999999996</v>
      </c>
      <c r="X191" s="23">
        <v>1347</v>
      </c>
      <c r="Y191" s="23">
        <f t="shared" si="47"/>
        <v>47347.049999999996</v>
      </c>
      <c r="Z191" s="23">
        <v>1328</v>
      </c>
      <c r="AA191" s="23">
        <f t="shared" si="48"/>
        <v>46028.479999999996</v>
      </c>
      <c r="AB191" s="23">
        <v>913</v>
      </c>
      <c r="AC191" s="23">
        <f t="shared" si="49"/>
        <v>32913.649999999994</v>
      </c>
      <c r="AD191" s="23">
        <v>1246</v>
      </c>
      <c r="AE191" s="23">
        <f t="shared" si="50"/>
        <v>43659.839999999997</v>
      </c>
      <c r="AF191" s="26">
        <v>1285</v>
      </c>
      <c r="AG191" s="26">
        <f t="shared" si="51"/>
        <v>43921.3</v>
      </c>
      <c r="AH191" s="23">
        <v>1212</v>
      </c>
      <c r="AI191" s="23">
        <f t="shared" si="52"/>
        <v>40359.599999999999</v>
      </c>
      <c r="AJ191" s="23">
        <v>1371</v>
      </c>
      <c r="AK191" s="23">
        <f t="shared" si="53"/>
        <v>49287.450000000004</v>
      </c>
      <c r="AL191" s="23">
        <v>1186</v>
      </c>
      <c r="AM191" s="26">
        <f t="shared" si="54"/>
        <v>43490.62</v>
      </c>
      <c r="AN191" s="12">
        <f t="shared" si="55"/>
        <v>14758</v>
      </c>
      <c r="AO191" s="22">
        <f t="shared" si="56"/>
        <v>513346.10999999987</v>
      </c>
    </row>
    <row r="192" spans="1:41" s="31" customFormat="1" x14ac:dyDescent="0.5">
      <c r="A192" s="19">
        <v>188</v>
      </c>
      <c r="B192" s="27" t="s">
        <v>367</v>
      </c>
      <c r="C192" s="28" t="s">
        <v>368</v>
      </c>
      <c r="D192" s="16">
        <v>721</v>
      </c>
      <c r="E192" s="16">
        <v>5</v>
      </c>
      <c r="F192" s="22"/>
      <c r="G192" s="22">
        <f t="shared" si="38"/>
        <v>0</v>
      </c>
      <c r="H192" s="22"/>
      <c r="I192" s="23">
        <f t="shared" si="39"/>
        <v>0</v>
      </c>
      <c r="J192" s="22"/>
      <c r="K192" s="22">
        <f t="shared" si="40"/>
        <v>0</v>
      </c>
      <c r="L192" s="22"/>
      <c r="M192" s="24">
        <f t="shared" si="41"/>
        <v>0</v>
      </c>
      <c r="N192" s="23"/>
      <c r="O192" s="23">
        <f t="shared" si="42"/>
        <v>0</v>
      </c>
      <c r="P192" s="22"/>
      <c r="Q192" s="22">
        <f t="shared" si="43"/>
        <v>0</v>
      </c>
      <c r="R192" s="25"/>
      <c r="S192" s="25">
        <f t="shared" si="44"/>
        <v>0</v>
      </c>
      <c r="T192" s="25"/>
      <c r="U192" s="25">
        <f t="shared" si="45"/>
        <v>0</v>
      </c>
      <c r="V192" s="23"/>
      <c r="W192" s="23">
        <f t="shared" si="46"/>
        <v>0</v>
      </c>
      <c r="X192" s="23"/>
      <c r="Y192" s="23">
        <f t="shared" si="47"/>
        <v>0</v>
      </c>
      <c r="Z192" s="23"/>
      <c r="AA192" s="23">
        <f t="shared" si="48"/>
        <v>0</v>
      </c>
      <c r="AB192" s="23"/>
      <c r="AC192" s="23">
        <f t="shared" si="49"/>
        <v>0</v>
      </c>
      <c r="AD192" s="23"/>
      <c r="AE192" s="23">
        <f t="shared" si="50"/>
        <v>0</v>
      </c>
      <c r="AF192" s="26"/>
      <c r="AG192" s="26">
        <f t="shared" si="51"/>
        <v>0</v>
      </c>
      <c r="AH192" s="23"/>
      <c r="AI192" s="23">
        <f t="shared" si="52"/>
        <v>0</v>
      </c>
      <c r="AJ192" s="23"/>
      <c r="AK192" s="23">
        <f t="shared" si="53"/>
        <v>0</v>
      </c>
      <c r="AL192" s="23"/>
      <c r="AM192" s="26">
        <f t="shared" si="54"/>
        <v>0</v>
      </c>
      <c r="AN192" s="12">
        <f t="shared" si="55"/>
        <v>0</v>
      </c>
      <c r="AO192" s="22">
        <f t="shared" si="56"/>
        <v>0</v>
      </c>
    </row>
    <row r="193" spans="1:41" s="31" customFormat="1" x14ac:dyDescent="0.5">
      <c r="A193" s="19">
        <v>189</v>
      </c>
      <c r="B193" s="27" t="s">
        <v>369</v>
      </c>
      <c r="C193" s="28" t="s">
        <v>370</v>
      </c>
      <c r="D193" s="16">
        <v>748</v>
      </c>
      <c r="E193" s="16">
        <v>5</v>
      </c>
      <c r="F193" s="22"/>
      <c r="G193" s="22">
        <f t="shared" si="38"/>
        <v>0</v>
      </c>
      <c r="H193" s="22"/>
      <c r="I193" s="23">
        <f t="shared" si="39"/>
        <v>0</v>
      </c>
      <c r="J193" s="22"/>
      <c r="K193" s="22">
        <f t="shared" si="40"/>
        <v>0</v>
      </c>
      <c r="L193" s="22"/>
      <c r="M193" s="24">
        <f t="shared" si="41"/>
        <v>0</v>
      </c>
      <c r="N193" s="23"/>
      <c r="O193" s="23">
        <f t="shared" si="42"/>
        <v>0</v>
      </c>
      <c r="P193" s="22"/>
      <c r="Q193" s="22">
        <f t="shared" si="43"/>
        <v>0</v>
      </c>
      <c r="R193" s="25"/>
      <c r="S193" s="25">
        <f t="shared" si="44"/>
        <v>0</v>
      </c>
      <c r="T193" s="25"/>
      <c r="U193" s="25">
        <f t="shared" si="45"/>
        <v>0</v>
      </c>
      <c r="V193" s="23"/>
      <c r="W193" s="23">
        <f t="shared" si="46"/>
        <v>0</v>
      </c>
      <c r="X193" s="23"/>
      <c r="Y193" s="23">
        <f t="shared" si="47"/>
        <v>0</v>
      </c>
      <c r="Z193" s="23"/>
      <c r="AA193" s="23">
        <f t="shared" si="48"/>
        <v>0</v>
      </c>
      <c r="AB193" s="23"/>
      <c r="AC193" s="23">
        <f t="shared" si="49"/>
        <v>0</v>
      </c>
      <c r="AD193" s="23"/>
      <c r="AE193" s="23">
        <f t="shared" si="50"/>
        <v>0</v>
      </c>
      <c r="AF193" s="26"/>
      <c r="AG193" s="26">
        <f t="shared" si="51"/>
        <v>0</v>
      </c>
      <c r="AH193" s="23"/>
      <c r="AI193" s="23">
        <f t="shared" si="52"/>
        <v>0</v>
      </c>
      <c r="AJ193" s="23"/>
      <c r="AK193" s="23">
        <f t="shared" si="53"/>
        <v>0</v>
      </c>
      <c r="AL193" s="23"/>
      <c r="AM193" s="26">
        <f t="shared" si="54"/>
        <v>0</v>
      </c>
      <c r="AN193" s="12">
        <f t="shared" si="55"/>
        <v>0</v>
      </c>
      <c r="AO193" s="22">
        <f t="shared" si="56"/>
        <v>0</v>
      </c>
    </row>
    <row r="194" spans="1:41" x14ac:dyDescent="0.5">
      <c r="A194" s="19">
        <v>190</v>
      </c>
      <c r="B194" s="27" t="s">
        <v>371</v>
      </c>
      <c r="C194" s="28" t="s">
        <v>372</v>
      </c>
      <c r="D194" s="16">
        <v>768</v>
      </c>
      <c r="E194" s="16">
        <v>5</v>
      </c>
      <c r="F194" s="22"/>
      <c r="G194" s="22">
        <f t="shared" si="38"/>
        <v>0</v>
      </c>
      <c r="H194" s="22"/>
      <c r="I194" s="23">
        <f t="shared" si="39"/>
        <v>0</v>
      </c>
      <c r="J194" s="22"/>
      <c r="K194" s="22">
        <f t="shared" si="40"/>
        <v>0</v>
      </c>
      <c r="L194" s="22"/>
      <c r="M194" s="24">
        <f t="shared" si="41"/>
        <v>0</v>
      </c>
      <c r="N194" s="23"/>
      <c r="O194" s="23">
        <f t="shared" si="42"/>
        <v>0</v>
      </c>
      <c r="P194" s="22"/>
      <c r="Q194" s="22">
        <f t="shared" si="43"/>
        <v>0</v>
      </c>
      <c r="R194" s="25"/>
      <c r="S194" s="25">
        <f t="shared" si="44"/>
        <v>0</v>
      </c>
      <c r="T194" s="25"/>
      <c r="U194" s="25">
        <f t="shared" si="45"/>
        <v>0</v>
      </c>
      <c r="V194" s="23"/>
      <c r="W194" s="23">
        <f t="shared" si="46"/>
        <v>0</v>
      </c>
      <c r="X194" s="23"/>
      <c r="Y194" s="23">
        <f t="shared" si="47"/>
        <v>0</v>
      </c>
      <c r="Z194" s="23"/>
      <c r="AA194" s="23">
        <f t="shared" si="48"/>
        <v>0</v>
      </c>
      <c r="AB194" s="23"/>
      <c r="AC194" s="23">
        <f t="shared" si="49"/>
        <v>0</v>
      </c>
      <c r="AD194" s="23"/>
      <c r="AE194" s="23">
        <f t="shared" si="50"/>
        <v>0</v>
      </c>
      <c r="AF194" s="26"/>
      <c r="AG194" s="26">
        <f t="shared" si="51"/>
        <v>0</v>
      </c>
      <c r="AH194" s="23"/>
      <c r="AI194" s="23">
        <f t="shared" si="52"/>
        <v>0</v>
      </c>
      <c r="AJ194" s="23"/>
      <c r="AK194" s="23">
        <f t="shared" si="53"/>
        <v>0</v>
      </c>
      <c r="AL194" s="23"/>
      <c r="AM194" s="26">
        <f t="shared" si="54"/>
        <v>0</v>
      </c>
      <c r="AN194" s="12">
        <f t="shared" si="55"/>
        <v>0</v>
      </c>
      <c r="AO194" s="22">
        <f t="shared" si="56"/>
        <v>0</v>
      </c>
    </row>
    <row r="195" spans="1:41" s="31" customFormat="1" x14ac:dyDescent="0.5">
      <c r="A195" s="19">
        <v>191</v>
      </c>
      <c r="B195" s="20" t="s">
        <v>373</v>
      </c>
      <c r="C195" s="21" t="s">
        <v>374</v>
      </c>
      <c r="D195" s="16">
        <v>784</v>
      </c>
      <c r="E195" s="16">
        <v>5</v>
      </c>
      <c r="F195" s="22">
        <v>2301</v>
      </c>
      <c r="G195" s="22">
        <f t="shared" si="38"/>
        <v>71607.12</v>
      </c>
      <c r="H195" s="22">
        <v>1633</v>
      </c>
      <c r="I195" s="23">
        <f t="shared" si="39"/>
        <v>52925.529999999992</v>
      </c>
      <c r="J195" s="22">
        <v>1013</v>
      </c>
      <c r="K195" s="22">
        <f t="shared" si="40"/>
        <v>33439.129999999997</v>
      </c>
      <c r="L195" s="22">
        <v>544</v>
      </c>
      <c r="M195" s="24">
        <f t="shared" si="41"/>
        <v>19105.28</v>
      </c>
      <c r="N195" s="23">
        <v>782</v>
      </c>
      <c r="O195" s="23">
        <f t="shared" si="42"/>
        <v>29911.5</v>
      </c>
      <c r="P195" s="22">
        <v>1153</v>
      </c>
      <c r="Q195" s="22">
        <f t="shared" si="43"/>
        <v>48426</v>
      </c>
      <c r="R195" s="25">
        <v>1576</v>
      </c>
      <c r="S195" s="25">
        <f t="shared" si="44"/>
        <v>60991.200000000004</v>
      </c>
      <c r="T195" s="25">
        <v>2829</v>
      </c>
      <c r="U195" s="25">
        <f t="shared" si="45"/>
        <v>95337.3</v>
      </c>
      <c r="V195" s="23">
        <v>2499</v>
      </c>
      <c r="W195" s="23">
        <f t="shared" si="46"/>
        <v>81967.199999999997</v>
      </c>
      <c r="X195" s="23">
        <v>3024</v>
      </c>
      <c r="Y195" s="23">
        <f t="shared" si="47"/>
        <v>106293.59999999999</v>
      </c>
      <c r="Z195" s="23">
        <v>2481</v>
      </c>
      <c r="AA195" s="23">
        <f t="shared" si="48"/>
        <v>85991.459999999992</v>
      </c>
      <c r="AB195" s="23">
        <v>1700</v>
      </c>
      <c r="AC195" s="23">
        <f t="shared" si="49"/>
        <v>61284.999999999993</v>
      </c>
      <c r="AD195" s="23">
        <v>2792</v>
      </c>
      <c r="AE195" s="23">
        <f t="shared" si="50"/>
        <v>97831.679999999993</v>
      </c>
      <c r="AF195" s="26">
        <v>3026</v>
      </c>
      <c r="AG195" s="26">
        <f t="shared" si="51"/>
        <v>103428.68</v>
      </c>
      <c r="AH195" s="23">
        <v>2463</v>
      </c>
      <c r="AI195" s="23">
        <f t="shared" si="52"/>
        <v>82017.899999999994</v>
      </c>
      <c r="AJ195" s="23">
        <v>2781</v>
      </c>
      <c r="AK195" s="23">
        <f t="shared" si="53"/>
        <v>99976.950000000012</v>
      </c>
      <c r="AL195" s="26"/>
      <c r="AM195" s="26">
        <f t="shared" si="54"/>
        <v>0</v>
      </c>
      <c r="AN195" s="12">
        <f t="shared" si="55"/>
        <v>32597</v>
      </c>
      <c r="AO195" s="22">
        <f t="shared" si="56"/>
        <v>1130535.53</v>
      </c>
    </row>
    <row r="196" spans="1:41" s="31" customFormat="1" x14ac:dyDescent="0.5">
      <c r="A196" s="19">
        <v>192</v>
      </c>
      <c r="B196" s="27" t="s">
        <v>375</v>
      </c>
      <c r="C196" s="28" t="s">
        <v>376</v>
      </c>
      <c r="D196" s="16">
        <v>788</v>
      </c>
      <c r="E196" s="16">
        <v>5</v>
      </c>
      <c r="F196" s="22"/>
      <c r="G196" s="22">
        <f t="shared" si="38"/>
        <v>0</v>
      </c>
      <c r="H196" s="22"/>
      <c r="I196" s="23">
        <f t="shared" si="39"/>
        <v>0</v>
      </c>
      <c r="J196" s="22"/>
      <c r="K196" s="22">
        <f t="shared" si="40"/>
        <v>0</v>
      </c>
      <c r="L196" s="22"/>
      <c r="M196" s="24">
        <f t="shared" si="41"/>
        <v>0</v>
      </c>
      <c r="N196" s="23"/>
      <c r="O196" s="23">
        <f t="shared" si="42"/>
        <v>0</v>
      </c>
      <c r="P196" s="22"/>
      <c r="Q196" s="22">
        <f t="shared" si="43"/>
        <v>0</v>
      </c>
      <c r="R196" s="25"/>
      <c r="S196" s="25">
        <f t="shared" si="44"/>
        <v>0</v>
      </c>
      <c r="T196" s="25"/>
      <c r="U196" s="25">
        <f t="shared" si="45"/>
        <v>0</v>
      </c>
      <c r="V196" s="23"/>
      <c r="W196" s="23">
        <f t="shared" si="46"/>
        <v>0</v>
      </c>
      <c r="X196" s="23"/>
      <c r="Y196" s="23">
        <f t="shared" si="47"/>
        <v>0</v>
      </c>
      <c r="Z196" s="23"/>
      <c r="AA196" s="23">
        <f t="shared" si="48"/>
        <v>0</v>
      </c>
      <c r="AB196" s="23"/>
      <c r="AC196" s="23">
        <f t="shared" si="49"/>
        <v>0</v>
      </c>
      <c r="AD196" s="23"/>
      <c r="AE196" s="23">
        <f t="shared" si="50"/>
        <v>0</v>
      </c>
      <c r="AF196" s="26"/>
      <c r="AG196" s="26">
        <f t="shared" si="51"/>
        <v>0</v>
      </c>
      <c r="AH196" s="23"/>
      <c r="AI196" s="23">
        <f t="shared" si="52"/>
        <v>0</v>
      </c>
      <c r="AJ196" s="23"/>
      <c r="AK196" s="23">
        <f t="shared" si="53"/>
        <v>0</v>
      </c>
      <c r="AL196" s="23"/>
      <c r="AM196" s="26">
        <f t="shared" si="54"/>
        <v>0</v>
      </c>
      <c r="AN196" s="12">
        <f t="shared" si="55"/>
        <v>0</v>
      </c>
      <c r="AO196" s="22">
        <f t="shared" si="56"/>
        <v>0</v>
      </c>
    </row>
    <row r="197" spans="1:41" x14ac:dyDescent="0.5">
      <c r="A197" s="19">
        <v>193</v>
      </c>
      <c r="B197" s="27" t="s">
        <v>377</v>
      </c>
      <c r="C197" s="28" t="s">
        <v>378</v>
      </c>
      <c r="D197" s="16">
        <v>792</v>
      </c>
      <c r="E197" s="16">
        <v>5</v>
      </c>
      <c r="F197" s="22"/>
      <c r="G197" s="22">
        <f t="shared" si="38"/>
        <v>0</v>
      </c>
      <c r="H197" s="22"/>
      <c r="I197" s="23">
        <f t="shared" si="39"/>
        <v>0</v>
      </c>
      <c r="J197" s="22"/>
      <c r="K197" s="22">
        <f t="shared" si="40"/>
        <v>0</v>
      </c>
      <c r="L197" s="22"/>
      <c r="M197" s="24">
        <f t="shared" si="41"/>
        <v>0</v>
      </c>
      <c r="N197" s="23"/>
      <c r="O197" s="23">
        <f t="shared" si="42"/>
        <v>0</v>
      </c>
      <c r="P197" s="22"/>
      <c r="Q197" s="22">
        <f t="shared" si="43"/>
        <v>0</v>
      </c>
      <c r="R197" s="25"/>
      <c r="S197" s="25">
        <f t="shared" si="44"/>
        <v>0</v>
      </c>
      <c r="T197" s="25"/>
      <c r="U197" s="25">
        <f t="shared" si="45"/>
        <v>0</v>
      </c>
      <c r="V197" s="23"/>
      <c r="W197" s="23">
        <f t="shared" si="46"/>
        <v>0</v>
      </c>
      <c r="X197" s="23"/>
      <c r="Y197" s="23">
        <f t="shared" si="47"/>
        <v>0</v>
      </c>
      <c r="Z197" s="23"/>
      <c r="AA197" s="23">
        <f t="shared" si="48"/>
        <v>0</v>
      </c>
      <c r="AB197" s="23"/>
      <c r="AC197" s="23">
        <f t="shared" si="49"/>
        <v>0</v>
      </c>
      <c r="AD197" s="23"/>
      <c r="AE197" s="23">
        <f t="shared" si="50"/>
        <v>0</v>
      </c>
      <c r="AF197" s="26"/>
      <c r="AG197" s="26">
        <f t="shared" si="51"/>
        <v>0</v>
      </c>
      <c r="AH197" s="23"/>
      <c r="AI197" s="23">
        <f t="shared" si="52"/>
        <v>0</v>
      </c>
      <c r="AJ197" s="23"/>
      <c r="AK197" s="23">
        <f t="shared" si="53"/>
        <v>0</v>
      </c>
      <c r="AL197" s="23"/>
      <c r="AM197" s="26">
        <f t="shared" si="54"/>
        <v>0</v>
      </c>
      <c r="AN197" s="12">
        <f t="shared" si="55"/>
        <v>0</v>
      </c>
      <c r="AO197" s="22">
        <f t="shared" si="56"/>
        <v>0</v>
      </c>
    </row>
    <row r="198" spans="1:41" s="31" customFormat="1" x14ac:dyDescent="0.5">
      <c r="A198" s="19">
        <v>194</v>
      </c>
      <c r="B198" s="20" t="s">
        <v>379</v>
      </c>
      <c r="C198" s="21" t="s">
        <v>380</v>
      </c>
      <c r="D198" s="16">
        <v>789</v>
      </c>
      <c r="E198" s="16">
        <v>5</v>
      </c>
      <c r="F198" s="22">
        <v>1071</v>
      </c>
      <c r="G198" s="22">
        <f t="shared" si="38"/>
        <v>33329.520000000004</v>
      </c>
      <c r="H198" s="22">
        <v>329</v>
      </c>
      <c r="I198" s="23">
        <f t="shared" si="39"/>
        <v>10662.89</v>
      </c>
      <c r="J198" s="22"/>
      <c r="K198" s="22">
        <f t="shared" si="40"/>
        <v>0</v>
      </c>
      <c r="L198" s="22"/>
      <c r="M198" s="24">
        <f t="shared" si="41"/>
        <v>0</v>
      </c>
      <c r="N198" s="23"/>
      <c r="O198" s="23">
        <f t="shared" si="42"/>
        <v>0</v>
      </c>
      <c r="P198" s="22"/>
      <c r="Q198" s="22">
        <f t="shared" si="43"/>
        <v>0</v>
      </c>
      <c r="R198" s="25">
        <v>903</v>
      </c>
      <c r="S198" s="25">
        <f t="shared" si="44"/>
        <v>34946.100000000006</v>
      </c>
      <c r="T198" s="25">
        <v>1073</v>
      </c>
      <c r="U198" s="25">
        <f t="shared" ref="U198:U261" si="57">T198*33.7</f>
        <v>36160.100000000006</v>
      </c>
      <c r="V198" s="23">
        <v>1157</v>
      </c>
      <c r="W198" s="23">
        <f t="shared" ref="W198:W261" si="58">V198*32.8</f>
        <v>37949.599999999999</v>
      </c>
      <c r="X198" s="23">
        <v>1452</v>
      </c>
      <c r="Y198" s="23">
        <f t="shared" ref="Y198:Y261" si="59">X198*35.15</f>
        <v>51037.799999999996</v>
      </c>
      <c r="Z198" s="23">
        <v>1219</v>
      </c>
      <c r="AA198" s="23">
        <f t="shared" ref="AA198:AA261" si="60">Z198*34.66</f>
        <v>42250.539999999994</v>
      </c>
      <c r="AB198" s="23">
        <v>1052</v>
      </c>
      <c r="AC198" s="23">
        <f t="shared" ref="AC198:AC261" si="61">AB198*36.05</f>
        <v>37924.6</v>
      </c>
      <c r="AD198" s="23">
        <v>1483</v>
      </c>
      <c r="AE198" s="23">
        <f t="shared" ref="AE198:AE261" si="62">AD198*35.04</f>
        <v>51964.32</v>
      </c>
      <c r="AF198" s="26">
        <v>1749</v>
      </c>
      <c r="AG198" s="26">
        <f t="shared" ref="AG198:AG261" si="63">AF198*34.18</f>
        <v>59780.82</v>
      </c>
      <c r="AH198" s="23">
        <v>1356</v>
      </c>
      <c r="AI198" s="23">
        <f t="shared" ref="AI198:AI261" si="64">AH198*33.3</f>
        <v>45154.799999999996</v>
      </c>
      <c r="AJ198" s="23">
        <v>1317</v>
      </c>
      <c r="AK198" s="23">
        <f t="shared" ref="AK198:AK261" si="65">AJ198*35.95</f>
        <v>47346.15</v>
      </c>
      <c r="AL198" s="26">
        <v>1274</v>
      </c>
      <c r="AM198" s="26">
        <f t="shared" ref="AM198:AM261" si="66">AL198*36.67</f>
        <v>46717.58</v>
      </c>
      <c r="AN198" s="12">
        <f t="shared" ref="AN198:AN261" si="67">F198+H198+J198+L198+N198+P198+R198+T198+V198+X198+Z198+AB198+AD198+AF198+AH198+AJ198+AL198</f>
        <v>15435</v>
      </c>
      <c r="AO198" s="22">
        <f t="shared" ref="AO198:AO261" si="68">G198+I198+K198+M198+O198+Q198+S198+U198+W198+Y198+AA198+AC198+AE198+AG198+AI198+AK198+AM198</f>
        <v>535224.81999999995</v>
      </c>
    </row>
    <row r="199" spans="1:41" s="31" customFormat="1" x14ac:dyDescent="0.5">
      <c r="A199" s="19">
        <v>195</v>
      </c>
      <c r="B199" s="27" t="s">
        <v>381</v>
      </c>
      <c r="C199" s="28" t="s">
        <v>382</v>
      </c>
      <c r="D199" s="16">
        <v>799</v>
      </c>
      <c r="E199" s="16">
        <v>5</v>
      </c>
      <c r="F199" s="22">
        <v>1495</v>
      </c>
      <c r="G199" s="22">
        <f t="shared" si="38"/>
        <v>46524.4</v>
      </c>
      <c r="H199" s="22">
        <v>771</v>
      </c>
      <c r="I199" s="23">
        <f t="shared" si="39"/>
        <v>24988.109999999997</v>
      </c>
      <c r="J199" s="22">
        <v>345</v>
      </c>
      <c r="K199" s="22">
        <f t="shared" si="40"/>
        <v>11388.449999999999</v>
      </c>
      <c r="L199" s="22"/>
      <c r="M199" s="24">
        <f t="shared" si="41"/>
        <v>0</v>
      </c>
      <c r="N199" s="23"/>
      <c r="O199" s="23">
        <f t="shared" si="42"/>
        <v>0</v>
      </c>
      <c r="P199" s="22">
        <v>721</v>
      </c>
      <c r="Q199" s="22">
        <f t="shared" si="43"/>
        <v>30282</v>
      </c>
      <c r="R199" s="25">
        <v>1516</v>
      </c>
      <c r="S199" s="25">
        <f t="shared" si="44"/>
        <v>58669.200000000004</v>
      </c>
      <c r="T199" s="25">
        <v>1728</v>
      </c>
      <c r="U199" s="25">
        <f t="shared" si="57"/>
        <v>58233.600000000006</v>
      </c>
      <c r="V199" s="23">
        <v>1880</v>
      </c>
      <c r="W199" s="23">
        <f t="shared" si="58"/>
        <v>61663.999999999993</v>
      </c>
      <c r="X199" s="23">
        <v>1890</v>
      </c>
      <c r="Y199" s="23">
        <f t="shared" si="59"/>
        <v>66433.5</v>
      </c>
      <c r="Z199" s="23">
        <v>1586</v>
      </c>
      <c r="AA199" s="23">
        <f t="shared" si="60"/>
        <v>54970.759999999995</v>
      </c>
      <c r="AB199" s="23">
        <v>1673</v>
      </c>
      <c r="AC199" s="23">
        <f t="shared" si="61"/>
        <v>60311.649999999994</v>
      </c>
      <c r="AD199" s="23">
        <v>1710</v>
      </c>
      <c r="AE199" s="23">
        <f t="shared" si="62"/>
        <v>59918.400000000001</v>
      </c>
      <c r="AF199" s="26">
        <v>2047</v>
      </c>
      <c r="AG199" s="26">
        <f t="shared" si="63"/>
        <v>69966.460000000006</v>
      </c>
      <c r="AH199" s="23">
        <v>1577</v>
      </c>
      <c r="AI199" s="23">
        <f t="shared" si="64"/>
        <v>52514.1</v>
      </c>
      <c r="AJ199" s="23">
        <v>1565</v>
      </c>
      <c r="AK199" s="23">
        <f t="shared" si="65"/>
        <v>56261.750000000007</v>
      </c>
      <c r="AL199" s="23">
        <v>1522</v>
      </c>
      <c r="AM199" s="26">
        <f t="shared" si="66"/>
        <v>55811.740000000005</v>
      </c>
      <c r="AN199" s="12">
        <f t="shared" si="67"/>
        <v>22026</v>
      </c>
      <c r="AO199" s="22">
        <f t="shared" si="68"/>
        <v>767938.12</v>
      </c>
    </row>
    <row r="200" spans="1:41" s="31" customFormat="1" x14ac:dyDescent="0.5">
      <c r="A200" s="19">
        <v>196</v>
      </c>
      <c r="B200" s="27" t="s">
        <v>383</v>
      </c>
      <c r="C200" s="28" t="s">
        <v>384</v>
      </c>
      <c r="D200" s="16">
        <v>841</v>
      </c>
      <c r="E200" s="16">
        <v>5</v>
      </c>
      <c r="F200" s="22">
        <v>1255</v>
      </c>
      <c r="G200" s="22">
        <f t="shared" ref="G200:G264" si="69">F200*31.12</f>
        <v>39055.599999999999</v>
      </c>
      <c r="H200" s="22">
        <v>420</v>
      </c>
      <c r="I200" s="23">
        <f t="shared" ref="I200:I264" si="70">H200*32.41</f>
        <v>13612.199999999999</v>
      </c>
      <c r="J200" s="22"/>
      <c r="K200" s="22">
        <f t="shared" ref="K200:K264" si="71">J200*33.01</f>
        <v>0</v>
      </c>
      <c r="L200" s="22"/>
      <c r="M200" s="24">
        <f t="shared" si="41"/>
        <v>0</v>
      </c>
      <c r="N200" s="23"/>
      <c r="O200" s="23">
        <f t="shared" si="42"/>
        <v>0</v>
      </c>
      <c r="P200" s="22"/>
      <c r="Q200" s="22">
        <f t="shared" si="43"/>
        <v>0</v>
      </c>
      <c r="R200" s="25"/>
      <c r="S200" s="25">
        <f t="shared" si="44"/>
        <v>0</v>
      </c>
      <c r="T200" s="25"/>
      <c r="U200" s="25">
        <f t="shared" si="57"/>
        <v>0</v>
      </c>
      <c r="V200" s="23"/>
      <c r="W200" s="23">
        <f t="shared" si="58"/>
        <v>0</v>
      </c>
      <c r="X200" s="23"/>
      <c r="Y200" s="23">
        <f t="shared" si="59"/>
        <v>0</v>
      </c>
      <c r="Z200" s="23"/>
      <c r="AA200" s="23">
        <f t="shared" si="60"/>
        <v>0</v>
      </c>
      <c r="AB200" s="23"/>
      <c r="AC200" s="23">
        <f t="shared" si="61"/>
        <v>0</v>
      </c>
      <c r="AD200" s="23"/>
      <c r="AE200" s="23">
        <f t="shared" si="62"/>
        <v>0</v>
      </c>
      <c r="AF200" s="26"/>
      <c r="AG200" s="26">
        <f t="shared" si="63"/>
        <v>0</v>
      </c>
      <c r="AH200" s="23"/>
      <c r="AI200" s="23">
        <f t="shared" si="64"/>
        <v>0</v>
      </c>
      <c r="AJ200" s="23"/>
      <c r="AK200" s="23">
        <f t="shared" si="65"/>
        <v>0</v>
      </c>
      <c r="AL200" s="23"/>
      <c r="AM200" s="26">
        <f t="shared" si="66"/>
        <v>0</v>
      </c>
      <c r="AN200" s="12">
        <f t="shared" si="67"/>
        <v>1675</v>
      </c>
      <c r="AO200" s="22">
        <f t="shared" si="68"/>
        <v>52667.799999999996</v>
      </c>
    </row>
    <row r="201" spans="1:41" s="31" customFormat="1" x14ac:dyDescent="0.5">
      <c r="A201" s="19">
        <v>197</v>
      </c>
      <c r="B201" s="27" t="s">
        <v>385</v>
      </c>
      <c r="C201" s="28" t="s">
        <v>386</v>
      </c>
      <c r="D201" s="16">
        <v>842</v>
      </c>
      <c r="E201" s="16">
        <v>5</v>
      </c>
      <c r="F201" s="22" t="s">
        <v>387</v>
      </c>
      <c r="G201" s="22"/>
      <c r="H201" s="22"/>
      <c r="I201" s="23">
        <f t="shared" si="70"/>
        <v>0</v>
      </c>
      <c r="J201" s="22"/>
      <c r="K201" s="22">
        <f t="shared" si="71"/>
        <v>0</v>
      </c>
      <c r="L201" s="22"/>
      <c r="M201" s="24">
        <f t="shared" ref="M201:M265" si="72">L201*35.12</f>
        <v>0</v>
      </c>
      <c r="N201" s="23"/>
      <c r="O201" s="23">
        <f t="shared" ref="O201:O265" si="73">N201*38.25</f>
        <v>0</v>
      </c>
      <c r="P201" s="22"/>
      <c r="Q201" s="22">
        <f t="shared" ref="Q201:Q265" si="74">P201*42</f>
        <v>0</v>
      </c>
      <c r="R201" s="25"/>
      <c r="S201" s="25">
        <f t="shared" ref="S201:S265" si="75">R201*38.7</f>
        <v>0</v>
      </c>
      <c r="T201" s="25"/>
      <c r="U201" s="25">
        <f t="shared" si="57"/>
        <v>0</v>
      </c>
      <c r="V201" s="23"/>
      <c r="W201" s="23">
        <f t="shared" si="58"/>
        <v>0</v>
      </c>
      <c r="X201" s="23"/>
      <c r="Y201" s="23">
        <f t="shared" si="59"/>
        <v>0</v>
      </c>
      <c r="Z201" s="23"/>
      <c r="AA201" s="23">
        <f t="shared" si="60"/>
        <v>0</v>
      </c>
      <c r="AB201" s="23"/>
      <c r="AC201" s="23">
        <f t="shared" si="61"/>
        <v>0</v>
      </c>
      <c r="AD201" s="23"/>
      <c r="AE201" s="23">
        <f t="shared" si="62"/>
        <v>0</v>
      </c>
      <c r="AF201" s="26"/>
      <c r="AG201" s="26">
        <f t="shared" si="63"/>
        <v>0</v>
      </c>
      <c r="AH201" s="23"/>
      <c r="AI201" s="23">
        <f t="shared" si="64"/>
        <v>0</v>
      </c>
      <c r="AJ201" s="23"/>
      <c r="AK201" s="23">
        <f t="shared" si="65"/>
        <v>0</v>
      </c>
      <c r="AL201" s="23"/>
      <c r="AM201" s="26">
        <f t="shared" si="66"/>
        <v>0</v>
      </c>
      <c r="AN201" s="12" t="e">
        <f t="shared" si="67"/>
        <v>#VALUE!</v>
      </c>
      <c r="AO201" s="22">
        <f t="shared" si="68"/>
        <v>0</v>
      </c>
    </row>
    <row r="202" spans="1:41" s="31" customFormat="1" x14ac:dyDescent="0.5">
      <c r="A202" s="19">
        <v>198</v>
      </c>
      <c r="B202" s="27" t="s">
        <v>388</v>
      </c>
      <c r="C202" s="28" t="s">
        <v>389</v>
      </c>
      <c r="D202" s="16">
        <v>843</v>
      </c>
      <c r="E202" s="16">
        <v>5</v>
      </c>
      <c r="F202" s="22">
        <v>1598</v>
      </c>
      <c r="G202" s="22">
        <f t="shared" si="69"/>
        <v>49729.760000000002</v>
      </c>
      <c r="H202" s="22">
        <v>718</v>
      </c>
      <c r="I202" s="23">
        <f t="shared" si="70"/>
        <v>23270.379999999997</v>
      </c>
      <c r="J202" s="22">
        <v>526</v>
      </c>
      <c r="K202" s="22">
        <f t="shared" si="71"/>
        <v>17363.259999999998</v>
      </c>
      <c r="L202" s="29"/>
      <c r="M202" s="24">
        <f t="shared" si="72"/>
        <v>0</v>
      </c>
      <c r="N202" s="30"/>
      <c r="O202" s="23">
        <f t="shared" si="73"/>
        <v>0</v>
      </c>
      <c r="P202" s="22"/>
      <c r="Q202" s="22">
        <f t="shared" si="74"/>
        <v>0</v>
      </c>
      <c r="R202" s="25"/>
      <c r="S202" s="25">
        <f t="shared" si="75"/>
        <v>0</v>
      </c>
      <c r="T202" s="25"/>
      <c r="U202" s="25">
        <f t="shared" si="57"/>
        <v>0</v>
      </c>
      <c r="V202" s="23"/>
      <c r="W202" s="23">
        <f t="shared" si="58"/>
        <v>0</v>
      </c>
      <c r="X202" s="23"/>
      <c r="Y202" s="23">
        <f t="shared" si="59"/>
        <v>0</v>
      </c>
      <c r="Z202" s="23"/>
      <c r="AA202" s="23">
        <f t="shared" si="60"/>
        <v>0</v>
      </c>
      <c r="AB202" s="23"/>
      <c r="AC202" s="23">
        <f t="shared" si="61"/>
        <v>0</v>
      </c>
      <c r="AD202" s="23"/>
      <c r="AE202" s="23">
        <f t="shared" si="62"/>
        <v>0</v>
      </c>
      <c r="AF202" s="26"/>
      <c r="AG202" s="26">
        <f t="shared" si="63"/>
        <v>0</v>
      </c>
      <c r="AH202" s="23"/>
      <c r="AI202" s="23">
        <f t="shared" si="64"/>
        <v>0</v>
      </c>
      <c r="AJ202" s="23"/>
      <c r="AK202" s="23">
        <f t="shared" si="65"/>
        <v>0</v>
      </c>
      <c r="AL202" s="23"/>
      <c r="AM202" s="26">
        <f t="shared" si="66"/>
        <v>0</v>
      </c>
      <c r="AN202" s="12">
        <f t="shared" si="67"/>
        <v>2842</v>
      </c>
      <c r="AO202" s="22">
        <f t="shared" si="68"/>
        <v>90363.4</v>
      </c>
    </row>
    <row r="203" spans="1:41" s="31" customFormat="1" x14ac:dyDescent="0.5">
      <c r="A203" s="19">
        <v>199</v>
      </c>
      <c r="B203" s="27" t="s">
        <v>390</v>
      </c>
      <c r="C203" s="28" t="s">
        <v>391</v>
      </c>
      <c r="D203" s="16">
        <v>856</v>
      </c>
      <c r="E203" s="16">
        <v>5</v>
      </c>
      <c r="F203" s="22"/>
      <c r="G203" s="22">
        <f t="shared" si="69"/>
        <v>0</v>
      </c>
      <c r="H203" s="22"/>
      <c r="I203" s="23">
        <f t="shared" si="70"/>
        <v>0</v>
      </c>
      <c r="J203" s="22"/>
      <c r="K203" s="22">
        <f t="shared" si="71"/>
        <v>0</v>
      </c>
      <c r="L203" s="22"/>
      <c r="M203" s="24">
        <f t="shared" si="72"/>
        <v>0</v>
      </c>
      <c r="N203" s="23"/>
      <c r="O203" s="23">
        <f t="shared" si="73"/>
        <v>0</v>
      </c>
      <c r="P203" s="22"/>
      <c r="Q203" s="22">
        <f t="shared" si="74"/>
        <v>0</v>
      </c>
      <c r="R203" s="25"/>
      <c r="S203" s="25">
        <f t="shared" si="75"/>
        <v>0</v>
      </c>
      <c r="T203" s="25"/>
      <c r="U203" s="25">
        <f t="shared" si="57"/>
        <v>0</v>
      </c>
      <c r="V203" s="23"/>
      <c r="W203" s="23">
        <f t="shared" si="58"/>
        <v>0</v>
      </c>
      <c r="X203" s="23"/>
      <c r="Y203" s="23">
        <f t="shared" si="59"/>
        <v>0</v>
      </c>
      <c r="Z203" s="23"/>
      <c r="AA203" s="23">
        <f t="shared" si="60"/>
        <v>0</v>
      </c>
      <c r="AB203" s="23"/>
      <c r="AC203" s="23">
        <f t="shared" si="61"/>
        <v>0</v>
      </c>
      <c r="AD203" s="23"/>
      <c r="AE203" s="23">
        <f t="shared" si="62"/>
        <v>0</v>
      </c>
      <c r="AF203" s="26"/>
      <c r="AG203" s="26">
        <f t="shared" si="63"/>
        <v>0</v>
      </c>
      <c r="AH203" s="23"/>
      <c r="AI203" s="23">
        <f t="shared" si="64"/>
        <v>0</v>
      </c>
      <c r="AJ203" s="23"/>
      <c r="AK203" s="23">
        <f t="shared" si="65"/>
        <v>0</v>
      </c>
      <c r="AL203" s="23"/>
      <c r="AM203" s="26">
        <f t="shared" si="66"/>
        <v>0</v>
      </c>
      <c r="AN203" s="12">
        <f t="shared" si="67"/>
        <v>0</v>
      </c>
      <c r="AO203" s="22">
        <f t="shared" si="68"/>
        <v>0</v>
      </c>
    </row>
    <row r="204" spans="1:41" s="31" customFormat="1" x14ac:dyDescent="0.5">
      <c r="A204" s="19">
        <v>200</v>
      </c>
      <c r="B204" s="27" t="s">
        <v>392</v>
      </c>
      <c r="C204" s="28" t="s">
        <v>393</v>
      </c>
      <c r="D204" s="16">
        <v>933</v>
      </c>
      <c r="E204" s="16">
        <v>5</v>
      </c>
      <c r="F204" s="22"/>
      <c r="G204" s="22">
        <f t="shared" si="69"/>
        <v>0</v>
      </c>
      <c r="H204" s="22"/>
      <c r="I204" s="23">
        <f t="shared" si="70"/>
        <v>0</v>
      </c>
      <c r="J204" s="22"/>
      <c r="K204" s="22">
        <f t="shared" si="71"/>
        <v>0</v>
      </c>
      <c r="L204" s="22"/>
      <c r="M204" s="24">
        <f t="shared" si="72"/>
        <v>0</v>
      </c>
      <c r="N204" s="23"/>
      <c r="O204" s="23">
        <f t="shared" si="73"/>
        <v>0</v>
      </c>
      <c r="P204" s="22"/>
      <c r="Q204" s="22">
        <f t="shared" si="74"/>
        <v>0</v>
      </c>
      <c r="R204" s="25"/>
      <c r="S204" s="25">
        <f t="shared" si="75"/>
        <v>0</v>
      </c>
      <c r="T204" s="25"/>
      <c r="U204" s="25">
        <f t="shared" si="57"/>
        <v>0</v>
      </c>
      <c r="V204" s="23"/>
      <c r="W204" s="23">
        <f t="shared" si="58"/>
        <v>0</v>
      </c>
      <c r="X204" s="23"/>
      <c r="Y204" s="23">
        <f t="shared" si="59"/>
        <v>0</v>
      </c>
      <c r="Z204" s="23"/>
      <c r="AA204" s="23">
        <f t="shared" si="60"/>
        <v>0</v>
      </c>
      <c r="AB204" s="23"/>
      <c r="AC204" s="23">
        <f t="shared" si="61"/>
        <v>0</v>
      </c>
      <c r="AD204" s="23"/>
      <c r="AE204" s="23">
        <f t="shared" si="62"/>
        <v>0</v>
      </c>
      <c r="AF204" s="26"/>
      <c r="AG204" s="26">
        <f t="shared" si="63"/>
        <v>0</v>
      </c>
      <c r="AH204" s="23"/>
      <c r="AI204" s="23">
        <f t="shared" si="64"/>
        <v>0</v>
      </c>
      <c r="AJ204" s="23"/>
      <c r="AK204" s="23">
        <f t="shared" si="65"/>
        <v>0</v>
      </c>
      <c r="AL204" s="23"/>
      <c r="AM204" s="26">
        <f t="shared" si="66"/>
        <v>0</v>
      </c>
      <c r="AN204" s="12">
        <f t="shared" si="67"/>
        <v>0</v>
      </c>
      <c r="AO204" s="22">
        <f t="shared" si="68"/>
        <v>0</v>
      </c>
    </row>
    <row r="205" spans="1:41" s="31" customFormat="1" x14ac:dyDescent="0.5">
      <c r="A205" s="19">
        <v>201</v>
      </c>
      <c r="B205" s="27" t="s">
        <v>394</v>
      </c>
      <c r="C205" s="28" t="s">
        <v>395</v>
      </c>
      <c r="D205" s="16">
        <v>946</v>
      </c>
      <c r="E205" s="16">
        <v>5</v>
      </c>
      <c r="F205" s="22"/>
      <c r="G205" s="22">
        <f t="shared" si="69"/>
        <v>0</v>
      </c>
      <c r="H205" s="22"/>
      <c r="I205" s="23">
        <f t="shared" si="70"/>
        <v>0</v>
      </c>
      <c r="J205" s="22"/>
      <c r="K205" s="22">
        <f t="shared" si="71"/>
        <v>0</v>
      </c>
      <c r="L205" s="22"/>
      <c r="M205" s="24">
        <f t="shared" si="72"/>
        <v>0</v>
      </c>
      <c r="N205" s="23"/>
      <c r="O205" s="23">
        <f t="shared" si="73"/>
        <v>0</v>
      </c>
      <c r="P205" s="22"/>
      <c r="Q205" s="22">
        <f t="shared" si="74"/>
        <v>0</v>
      </c>
      <c r="R205" s="25"/>
      <c r="S205" s="25">
        <f t="shared" si="75"/>
        <v>0</v>
      </c>
      <c r="T205" s="25"/>
      <c r="U205" s="25">
        <f t="shared" si="57"/>
        <v>0</v>
      </c>
      <c r="V205" s="23"/>
      <c r="W205" s="23">
        <f t="shared" si="58"/>
        <v>0</v>
      </c>
      <c r="X205" s="23"/>
      <c r="Y205" s="23">
        <f t="shared" si="59"/>
        <v>0</v>
      </c>
      <c r="Z205" s="23"/>
      <c r="AA205" s="23">
        <f t="shared" si="60"/>
        <v>0</v>
      </c>
      <c r="AB205" s="23"/>
      <c r="AC205" s="23">
        <f t="shared" si="61"/>
        <v>0</v>
      </c>
      <c r="AD205" s="23"/>
      <c r="AE205" s="23">
        <f t="shared" si="62"/>
        <v>0</v>
      </c>
      <c r="AF205" s="26"/>
      <c r="AG205" s="26">
        <f t="shared" si="63"/>
        <v>0</v>
      </c>
      <c r="AH205" s="23"/>
      <c r="AI205" s="23">
        <f t="shared" si="64"/>
        <v>0</v>
      </c>
      <c r="AJ205" s="23"/>
      <c r="AK205" s="23">
        <f t="shared" si="65"/>
        <v>0</v>
      </c>
      <c r="AL205" s="23"/>
      <c r="AM205" s="26">
        <f t="shared" si="66"/>
        <v>0</v>
      </c>
      <c r="AN205" s="12">
        <f t="shared" si="67"/>
        <v>0</v>
      </c>
      <c r="AO205" s="22">
        <f t="shared" si="68"/>
        <v>0</v>
      </c>
    </row>
    <row r="206" spans="1:41" s="31" customFormat="1" x14ac:dyDescent="0.5">
      <c r="A206" s="19">
        <v>202</v>
      </c>
      <c r="B206" s="27" t="s">
        <v>396</v>
      </c>
      <c r="C206" s="28" t="s">
        <v>397</v>
      </c>
      <c r="D206" s="16">
        <v>964</v>
      </c>
      <c r="E206" s="16">
        <v>5</v>
      </c>
      <c r="F206" s="22"/>
      <c r="G206" s="22">
        <f t="shared" si="69"/>
        <v>0</v>
      </c>
      <c r="H206" s="22"/>
      <c r="I206" s="23">
        <f t="shared" si="70"/>
        <v>0</v>
      </c>
      <c r="J206" s="22"/>
      <c r="K206" s="22">
        <f t="shared" si="71"/>
        <v>0</v>
      </c>
      <c r="L206" s="22"/>
      <c r="M206" s="24">
        <f t="shared" si="72"/>
        <v>0</v>
      </c>
      <c r="N206" s="23"/>
      <c r="O206" s="23">
        <f t="shared" si="73"/>
        <v>0</v>
      </c>
      <c r="P206" s="22"/>
      <c r="Q206" s="22">
        <f t="shared" si="74"/>
        <v>0</v>
      </c>
      <c r="R206" s="25"/>
      <c r="S206" s="25">
        <f t="shared" si="75"/>
        <v>0</v>
      </c>
      <c r="T206" s="25"/>
      <c r="U206" s="25">
        <f t="shared" si="57"/>
        <v>0</v>
      </c>
      <c r="V206" s="23"/>
      <c r="W206" s="23">
        <f t="shared" si="58"/>
        <v>0</v>
      </c>
      <c r="X206" s="23"/>
      <c r="Y206" s="23">
        <f t="shared" si="59"/>
        <v>0</v>
      </c>
      <c r="Z206" s="23"/>
      <c r="AA206" s="23">
        <f t="shared" si="60"/>
        <v>0</v>
      </c>
      <c r="AB206" s="23"/>
      <c r="AC206" s="23">
        <f t="shared" si="61"/>
        <v>0</v>
      </c>
      <c r="AD206" s="23"/>
      <c r="AE206" s="23">
        <f t="shared" si="62"/>
        <v>0</v>
      </c>
      <c r="AF206" s="26"/>
      <c r="AG206" s="26">
        <f t="shared" si="63"/>
        <v>0</v>
      </c>
      <c r="AH206" s="23"/>
      <c r="AI206" s="23">
        <f t="shared" si="64"/>
        <v>0</v>
      </c>
      <c r="AJ206" s="23"/>
      <c r="AK206" s="23">
        <f t="shared" si="65"/>
        <v>0</v>
      </c>
      <c r="AL206" s="23"/>
      <c r="AM206" s="26">
        <f t="shared" si="66"/>
        <v>0</v>
      </c>
      <c r="AN206" s="12">
        <f t="shared" si="67"/>
        <v>0</v>
      </c>
      <c r="AO206" s="22">
        <f t="shared" si="68"/>
        <v>0</v>
      </c>
    </row>
    <row r="207" spans="1:41" s="31" customFormat="1" x14ac:dyDescent="0.5">
      <c r="A207" s="19">
        <v>203</v>
      </c>
      <c r="B207" s="27" t="s">
        <v>398</v>
      </c>
      <c r="C207" s="28" t="s">
        <v>382</v>
      </c>
      <c r="D207" s="16">
        <v>974</v>
      </c>
      <c r="E207" s="16">
        <v>5</v>
      </c>
      <c r="F207" s="22">
        <v>1556</v>
      </c>
      <c r="G207" s="22">
        <f t="shared" si="69"/>
        <v>48422.720000000001</v>
      </c>
      <c r="H207" s="22">
        <v>391</v>
      </c>
      <c r="I207" s="23">
        <f t="shared" si="70"/>
        <v>12672.31</v>
      </c>
      <c r="J207" s="22"/>
      <c r="K207" s="22">
        <f t="shared" si="71"/>
        <v>0</v>
      </c>
      <c r="L207" s="22"/>
      <c r="M207" s="24">
        <f t="shared" si="72"/>
        <v>0</v>
      </c>
      <c r="N207" s="23"/>
      <c r="O207" s="23">
        <f t="shared" si="73"/>
        <v>0</v>
      </c>
      <c r="P207" s="22"/>
      <c r="Q207" s="22">
        <f t="shared" si="74"/>
        <v>0</v>
      </c>
      <c r="R207" s="25"/>
      <c r="S207" s="25">
        <f t="shared" si="75"/>
        <v>0</v>
      </c>
      <c r="T207" s="25">
        <v>683</v>
      </c>
      <c r="U207" s="25">
        <f t="shared" si="57"/>
        <v>23017.100000000002</v>
      </c>
      <c r="V207" s="23">
        <v>1260</v>
      </c>
      <c r="W207" s="23">
        <f t="shared" si="58"/>
        <v>41328</v>
      </c>
      <c r="X207" s="23"/>
      <c r="Y207" s="23">
        <f t="shared" si="59"/>
        <v>0</v>
      </c>
      <c r="Z207" s="23"/>
      <c r="AA207" s="23">
        <f t="shared" si="60"/>
        <v>0</v>
      </c>
      <c r="AB207" s="23">
        <v>801</v>
      </c>
      <c r="AC207" s="23">
        <f t="shared" si="61"/>
        <v>28876.05</v>
      </c>
      <c r="AD207" s="23">
        <v>1315</v>
      </c>
      <c r="AE207" s="23">
        <f t="shared" si="62"/>
        <v>46077.599999999999</v>
      </c>
      <c r="AF207" s="26">
        <v>1573</v>
      </c>
      <c r="AG207" s="26">
        <f t="shared" si="63"/>
        <v>53765.14</v>
      </c>
      <c r="AH207" s="23">
        <v>1294</v>
      </c>
      <c r="AI207" s="23">
        <f t="shared" si="64"/>
        <v>43090.2</v>
      </c>
      <c r="AJ207" s="23">
        <v>1332</v>
      </c>
      <c r="AK207" s="23">
        <f t="shared" si="65"/>
        <v>47885.4</v>
      </c>
      <c r="AL207" s="23">
        <v>502</v>
      </c>
      <c r="AM207" s="26">
        <f t="shared" si="66"/>
        <v>18408.34</v>
      </c>
      <c r="AN207" s="12">
        <f t="shared" si="67"/>
        <v>10707</v>
      </c>
      <c r="AO207" s="22">
        <f t="shared" si="68"/>
        <v>363542.86000000004</v>
      </c>
    </row>
    <row r="208" spans="1:41" x14ac:dyDescent="0.5">
      <c r="A208" s="19">
        <v>204</v>
      </c>
      <c r="B208" s="27" t="s">
        <v>399</v>
      </c>
      <c r="C208" s="28" t="s">
        <v>400</v>
      </c>
      <c r="D208" s="16">
        <v>982</v>
      </c>
      <c r="E208" s="16">
        <v>5</v>
      </c>
      <c r="F208" s="22"/>
      <c r="G208" s="22">
        <f t="shared" si="69"/>
        <v>0</v>
      </c>
      <c r="H208" s="22"/>
      <c r="I208" s="23">
        <f t="shared" si="70"/>
        <v>0</v>
      </c>
      <c r="J208" s="22"/>
      <c r="K208" s="22">
        <f t="shared" si="71"/>
        <v>0</v>
      </c>
      <c r="L208" s="22"/>
      <c r="M208" s="24">
        <f t="shared" si="72"/>
        <v>0</v>
      </c>
      <c r="N208" s="23"/>
      <c r="O208" s="23">
        <f t="shared" si="73"/>
        <v>0</v>
      </c>
      <c r="P208" s="22"/>
      <c r="Q208" s="22">
        <f t="shared" si="74"/>
        <v>0</v>
      </c>
      <c r="R208" s="25"/>
      <c r="S208" s="25">
        <f t="shared" si="75"/>
        <v>0</v>
      </c>
      <c r="T208" s="25"/>
      <c r="U208" s="25">
        <f t="shared" si="57"/>
        <v>0</v>
      </c>
      <c r="V208" s="23"/>
      <c r="W208" s="23">
        <f t="shared" si="58"/>
        <v>0</v>
      </c>
      <c r="X208" s="23"/>
      <c r="Y208" s="23">
        <f t="shared" si="59"/>
        <v>0</v>
      </c>
      <c r="Z208" s="23"/>
      <c r="AA208" s="23">
        <f t="shared" si="60"/>
        <v>0</v>
      </c>
      <c r="AB208" s="23"/>
      <c r="AC208" s="23">
        <f t="shared" si="61"/>
        <v>0</v>
      </c>
      <c r="AD208" s="23"/>
      <c r="AE208" s="23">
        <f t="shared" si="62"/>
        <v>0</v>
      </c>
      <c r="AF208" s="26"/>
      <c r="AG208" s="26">
        <f t="shared" si="63"/>
        <v>0</v>
      </c>
      <c r="AH208" s="23"/>
      <c r="AI208" s="23">
        <f t="shared" si="64"/>
        <v>0</v>
      </c>
      <c r="AJ208" s="23"/>
      <c r="AK208" s="23">
        <f t="shared" si="65"/>
        <v>0</v>
      </c>
      <c r="AL208" s="23"/>
      <c r="AM208" s="26">
        <f t="shared" si="66"/>
        <v>0</v>
      </c>
      <c r="AN208" s="12">
        <f t="shared" si="67"/>
        <v>0</v>
      </c>
      <c r="AO208" s="22">
        <f t="shared" si="68"/>
        <v>0</v>
      </c>
    </row>
    <row r="209" spans="1:41" x14ac:dyDescent="0.5">
      <c r="A209" s="19">
        <v>205</v>
      </c>
      <c r="B209" s="27" t="s">
        <v>401</v>
      </c>
      <c r="C209" s="28" t="s">
        <v>402</v>
      </c>
      <c r="D209" s="16">
        <v>983</v>
      </c>
      <c r="E209" s="16">
        <v>5</v>
      </c>
      <c r="F209" s="22"/>
      <c r="G209" s="22">
        <f t="shared" si="69"/>
        <v>0</v>
      </c>
      <c r="H209" s="22"/>
      <c r="I209" s="23">
        <f t="shared" si="70"/>
        <v>0</v>
      </c>
      <c r="J209" s="22"/>
      <c r="K209" s="22">
        <f t="shared" si="71"/>
        <v>0</v>
      </c>
      <c r="L209" s="22"/>
      <c r="M209" s="24">
        <f t="shared" si="72"/>
        <v>0</v>
      </c>
      <c r="N209" s="23"/>
      <c r="O209" s="23">
        <f t="shared" si="73"/>
        <v>0</v>
      </c>
      <c r="P209" s="22"/>
      <c r="Q209" s="22">
        <f t="shared" si="74"/>
        <v>0</v>
      </c>
      <c r="R209" s="25"/>
      <c r="S209" s="25">
        <f t="shared" si="75"/>
        <v>0</v>
      </c>
      <c r="T209" s="25"/>
      <c r="U209" s="25">
        <f t="shared" si="57"/>
        <v>0</v>
      </c>
      <c r="V209" s="23"/>
      <c r="W209" s="23">
        <f t="shared" si="58"/>
        <v>0</v>
      </c>
      <c r="X209" s="23"/>
      <c r="Y209" s="23">
        <f t="shared" si="59"/>
        <v>0</v>
      </c>
      <c r="Z209" s="23"/>
      <c r="AA209" s="23">
        <f t="shared" si="60"/>
        <v>0</v>
      </c>
      <c r="AB209" s="23"/>
      <c r="AC209" s="23">
        <f t="shared" si="61"/>
        <v>0</v>
      </c>
      <c r="AD209" s="23"/>
      <c r="AE209" s="23">
        <f t="shared" si="62"/>
        <v>0</v>
      </c>
      <c r="AF209" s="26"/>
      <c r="AG209" s="26">
        <f t="shared" si="63"/>
        <v>0</v>
      </c>
      <c r="AH209" s="23"/>
      <c r="AI209" s="23">
        <f t="shared" si="64"/>
        <v>0</v>
      </c>
      <c r="AJ209" s="23"/>
      <c r="AK209" s="23">
        <f t="shared" si="65"/>
        <v>0</v>
      </c>
      <c r="AL209" s="23"/>
      <c r="AM209" s="26">
        <f t="shared" si="66"/>
        <v>0</v>
      </c>
      <c r="AN209" s="12">
        <f t="shared" si="67"/>
        <v>0</v>
      </c>
      <c r="AO209" s="22">
        <f t="shared" si="68"/>
        <v>0</v>
      </c>
    </row>
    <row r="210" spans="1:41" x14ac:dyDescent="0.5">
      <c r="A210" s="19">
        <v>206</v>
      </c>
      <c r="B210" s="27" t="s">
        <v>403</v>
      </c>
      <c r="C210" s="28" t="s">
        <v>404</v>
      </c>
      <c r="D210" s="16">
        <v>1074</v>
      </c>
      <c r="E210" s="16">
        <v>5</v>
      </c>
      <c r="F210" s="22">
        <v>1359</v>
      </c>
      <c r="G210" s="22">
        <f t="shared" si="69"/>
        <v>42292.08</v>
      </c>
      <c r="H210" s="22">
        <v>467</v>
      </c>
      <c r="I210" s="23">
        <f t="shared" si="70"/>
        <v>15135.469999999998</v>
      </c>
      <c r="J210" s="22">
        <v>456</v>
      </c>
      <c r="K210" s="22">
        <f t="shared" si="71"/>
        <v>15052.56</v>
      </c>
      <c r="L210" s="22">
        <v>346</v>
      </c>
      <c r="M210" s="24">
        <f t="shared" si="72"/>
        <v>12151.519999999999</v>
      </c>
      <c r="N210" s="23"/>
      <c r="O210" s="23">
        <f t="shared" si="73"/>
        <v>0</v>
      </c>
      <c r="P210" s="22">
        <v>1001</v>
      </c>
      <c r="Q210" s="22">
        <f t="shared" si="74"/>
        <v>42042</v>
      </c>
      <c r="R210" s="25">
        <v>1096</v>
      </c>
      <c r="S210" s="25">
        <f t="shared" si="75"/>
        <v>42415.200000000004</v>
      </c>
      <c r="T210" s="25">
        <v>1102</v>
      </c>
      <c r="U210" s="25">
        <f t="shared" si="57"/>
        <v>37137.4</v>
      </c>
      <c r="V210" s="23">
        <v>1131</v>
      </c>
      <c r="W210" s="23">
        <f t="shared" si="58"/>
        <v>37096.799999999996</v>
      </c>
      <c r="X210" s="23"/>
      <c r="Y210" s="23">
        <f t="shared" si="59"/>
        <v>0</v>
      </c>
      <c r="Z210" s="23">
        <v>587</v>
      </c>
      <c r="AA210" s="23">
        <f t="shared" si="60"/>
        <v>20345.419999999998</v>
      </c>
      <c r="AB210" s="23"/>
      <c r="AC210" s="23">
        <f t="shared" si="61"/>
        <v>0</v>
      </c>
      <c r="AD210" s="23">
        <v>794</v>
      </c>
      <c r="AE210" s="23">
        <f t="shared" si="62"/>
        <v>27821.759999999998</v>
      </c>
      <c r="AF210" s="26">
        <v>785</v>
      </c>
      <c r="AG210" s="26">
        <f t="shared" si="63"/>
        <v>26831.3</v>
      </c>
      <c r="AH210" s="23">
        <v>646</v>
      </c>
      <c r="AI210" s="23">
        <f t="shared" si="64"/>
        <v>21511.8</v>
      </c>
      <c r="AJ210" s="23">
        <v>691</v>
      </c>
      <c r="AK210" s="23">
        <f t="shared" si="65"/>
        <v>24841.45</v>
      </c>
      <c r="AL210" s="23">
        <v>320</v>
      </c>
      <c r="AM210" s="26">
        <f t="shared" si="66"/>
        <v>11734.400000000001</v>
      </c>
      <c r="AN210" s="12">
        <f t="shared" si="67"/>
        <v>10781</v>
      </c>
      <c r="AO210" s="22">
        <f t="shared" si="68"/>
        <v>376409.16000000003</v>
      </c>
    </row>
    <row r="211" spans="1:41" s="31" customFormat="1" x14ac:dyDescent="0.5">
      <c r="A211" s="19">
        <v>207</v>
      </c>
      <c r="B211" s="20" t="s">
        <v>405</v>
      </c>
      <c r="C211" s="21" t="s">
        <v>179</v>
      </c>
      <c r="D211" s="16">
        <v>21</v>
      </c>
      <c r="E211" s="16">
        <v>6</v>
      </c>
      <c r="F211" s="22">
        <v>780</v>
      </c>
      <c r="G211" s="22">
        <f t="shared" si="69"/>
        <v>24273.600000000002</v>
      </c>
      <c r="H211" s="22">
        <v>625</v>
      </c>
      <c r="I211" s="23">
        <f t="shared" si="70"/>
        <v>20256.249999999996</v>
      </c>
      <c r="J211" s="22">
        <v>617</v>
      </c>
      <c r="K211" s="22">
        <f t="shared" si="71"/>
        <v>20367.169999999998</v>
      </c>
      <c r="L211" s="22">
        <v>605</v>
      </c>
      <c r="M211" s="24">
        <f t="shared" si="72"/>
        <v>21247.599999999999</v>
      </c>
      <c r="N211" s="23">
        <v>508</v>
      </c>
      <c r="O211" s="23">
        <f t="shared" si="73"/>
        <v>19431</v>
      </c>
      <c r="P211" s="22">
        <v>815</v>
      </c>
      <c r="Q211" s="22">
        <f t="shared" si="74"/>
        <v>34230</v>
      </c>
      <c r="R211" s="25">
        <v>519</v>
      </c>
      <c r="S211" s="25">
        <f t="shared" si="75"/>
        <v>20085.300000000003</v>
      </c>
      <c r="T211" s="25">
        <v>763</v>
      </c>
      <c r="U211" s="25">
        <f t="shared" si="57"/>
        <v>25713.100000000002</v>
      </c>
      <c r="V211" s="23">
        <v>610</v>
      </c>
      <c r="W211" s="23">
        <f t="shared" si="58"/>
        <v>20008</v>
      </c>
      <c r="X211" s="23">
        <v>760</v>
      </c>
      <c r="Y211" s="23">
        <f t="shared" si="59"/>
        <v>26714</v>
      </c>
      <c r="Z211" s="23">
        <v>783</v>
      </c>
      <c r="AA211" s="23">
        <f t="shared" si="60"/>
        <v>27138.78</v>
      </c>
      <c r="AB211" s="23">
        <v>639</v>
      </c>
      <c r="AC211" s="23">
        <f t="shared" si="61"/>
        <v>23035.949999999997</v>
      </c>
      <c r="AD211" s="23">
        <v>731</v>
      </c>
      <c r="AE211" s="23">
        <f t="shared" si="62"/>
        <v>25614.239999999998</v>
      </c>
      <c r="AF211" s="26">
        <v>614</v>
      </c>
      <c r="AG211" s="26">
        <f t="shared" si="63"/>
        <v>20986.52</v>
      </c>
      <c r="AH211" s="23">
        <v>726</v>
      </c>
      <c r="AI211" s="23">
        <f t="shared" si="64"/>
        <v>24175.8</v>
      </c>
      <c r="AJ211" s="23">
        <v>733</v>
      </c>
      <c r="AK211" s="23">
        <f t="shared" si="65"/>
        <v>26351.350000000002</v>
      </c>
      <c r="AL211" s="26">
        <v>907</v>
      </c>
      <c r="AM211" s="26">
        <f t="shared" si="66"/>
        <v>33259.69</v>
      </c>
      <c r="AN211" s="12">
        <f t="shared" si="67"/>
        <v>11735</v>
      </c>
      <c r="AO211" s="22">
        <f t="shared" si="68"/>
        <v>412888.35</v>
      </c>
    </row>
    <row r="212" spans="1:41" x14ac:dyDescent="0.5">
      <c r="A212" s="19">
        <v>208</v>
      </c>
      <c r="B212" s="27" t="s">
        <v>406</v>
      </c>
      <c r="C212" s="28" t="s">
        <v>407</v>
      </c>
      <c r="D212" s="16">
        <v>224</v>
      </c>
      <c r="E212" s="16">
        <v>6</v>
      </c>
      <c r="F212" s="22">
        <v>1092</v>
      </c>
      <c r="G212" s="22">
        <f t="shared" si="69"/>
        <v>33983.040000000001</v>
      </c>
      <c r="H212" s="22">
        <v>386</v>
      </c>
      <c r="I212" s="23">
        <f t="shared" si="70"/>
        <v>12510.259999999998</v>
      </c>
      <c r="J212" s="22">
        <v>674</v>
      </c>
      <c r="K212" s="22">
        <f t="shared" si="71"/>
        <v>22248.739999999998</v>
      </c>
      <c r="L212" s="22">
        <v>723</v>
      </c>
      <c r="M212" s="24">
        <f t="shared" si="72"/>
        <v>25391.759999999998</v>
      </c>
      <c r="N212" s="23">
        <v>675</v>
      </c>
      <c r="O212" s="23">
        <f t="shared" si="73"/>
        <v>25818.75</v>
      </c>
      <c r="P212" s="22">
        <v>1574</v>
      </c>
      <c r="Q212" s="22">
        <f t="shared" si="74"/>
        <v>66108</v>
      </c>
      <c r="R212" s="25">
        <v>710</v>
      </c>
      <c r="S212" s="25">
        <f t="shared" si="75"/>
        <v>27477.000000000004</v>
      </c>
      <c r="T212" s="25">
        <v>1074</v>
      </c>
      <c r="U212" s="25">
        <f t="shared" si="57"/>
        <v>36193.800000000003</v>
      </c>
      <c r="V212" s="23">
        <v>976</v>
      </c>
      <c r="W212" s="23">
        <f t="shared" si="58"/>
        <v>32012.799999999996</v>
      </c>
      <c r="X212" s="23">
        <v>1227</v>
      </c>
      <c r="Y212" s="23">
        <f t="shared" si="59"/>
        <v>43129.049999999996</v>
      </c>
      <c r="Z212" s="23">
        <v>528</v>
      </c>
      <c r="AA212" s="23">
        <f t="shared" si="60"/>
        <v>18300.48</v>
      </c>
      <c r="AB212" s="23">
        <v>746</v>
      </c>
      <c r="AC212" s="23">
        <f t="shared" si="61"/>
        <v>26893.3</v>
      </c>
      <c r="AD212" s="23">
        <v>1059</v>
      </c>
      <c r="AE212" s="23">
        <f t="shared" si="62"/>
        <v>37107.360000000001</v>
      </c>
      <c r="AF212" s="26">
        <v>537</v>
      </c>
      <c r="AG212" s="26">
        <f t="shared" si="63"/>
        <v>18354.66</v>
      </c>
      <c r="AH212" s="23">
        <v>1560</v>
      </c>
      <c r="AI212" s="23">
        <f t="shared" si="64"/>
        <v>51947.999999999993</v>
      </c>
      <c r="AJ212" s="23">
        <v>1197</v>
      </c>
      <c r="AK212" s="23">
        <f t="shared" si="65"/>
        <v>43032.15</v>
      </c>
      <c r="AL212" s="23">
        <v>1406</v>
      </c>
      <c r="AM212" s="26">
        <f t="shared" si="66"/>
        <v>51558.020000000004</v>
      </c>
      <c r="AN212" s="12">
        <f t="shared" si="67"/>
        <v>16144</v>
      </c>
      <c r="AO212" s="22">
        <f t="shared" si="68"/>
        <v>572067.16999999993</v>
      </c>
    </row>
    <row r="213" spans="1:41" x14ac:dyDescent="0.5">
      <c r="A213" s="19">
        <v>209</v>
      </c>
      <c r="B213" s="20" t="s">
        <v>408</v>
      </c>
      <c r="C213" s="21" t="s">
        <v>409</v>
      </c>
      <c r="D213" s="16">
        <v>229</v>
      </c>
      <c r="E213" s="16">
        <v>6</v>
      </c>
      <c r="F213" s="22">
        <v>297</v>
      </c>
      <c r="G213" s="22">
        <f t="shared" si="69"/>
        <v>9242.64</v>
      </c>
      <c r="H213" s="22"/>
      <c r="I213" s="23">
        <f t="shared" si="70"/>
        <v>0</v>
      </c>
      <c r="J213" s="22"/>
      <c r="K213" s="22">
        <f t="shared" si="71"/>
        <v>0</v>
      </c>
      <c r="L213" s="22"/>
      <c r="M213" s="24">
        <f t="shared" si="72"/>
        <v>0</v>
      </c>
      <c r="N213" s="23"/>
      <c r="O213" s="23">
        <f t="shared" si="73"/>
        <v>0</v>
      </c>
      <c r="P213" s="22"/>
      <c r="Q213" s="22">
        <f t="shared" si="74"/>
        <v>0</v>
      </c>
      <c r="R213" s="25">
        <v>434</v>
      </c>
      <c r="S213" s="25">
        <f t="shared" si="75"/>
        <v>16795.800000000003</v>
      </c>
      <c r="T213" s="25">
        <v>343</v>
      </c>
      <c r="U213" s="25">
        <f t="shared" si="57"/>
        <v>11559.1</v>
      </c>
      <c r="V213" s="23">
        <v>456</v>
      </c>
      <c r="W213" s="23">
        <f t="shared" si="58"/>
        <v>14956.8</v>
      </c>
      <c r="X213" s="23">
        <v>410</v>
      </c>
      <c r="Y213" s="23">
        <f t="shared" si="59"/>
        <v>14411.5</v>
      </c>
      <c r="Z213" s="23">
        <v>442</v>
      </c>
      <c r="AA213" s="23">
        <f t="shared" si="60"/>
        <v>15319.72</v>
      </c>
      <c r="AB213" s="23">
        <v>406</v>
      </c>
      <c r="AC213" s="23">
        <f t="shared" si="61"/>
        <v>14636.3</v>
      </c>
      <c r="AD213" s="23">
        <v>371</v>
      </c>
      <c r="AE213" s="23">
        <f t="shared" si="62"/>
        <v>12999.84</v>
      </c>
      <c r="AF213" s="26">
        <v>398</v>
      </c>
      <c r="AG213" s="26">
        <f t="shared" si="63"/>
        <v>13603.64</v>
      </c>
      <c r="AH213" s="23">
        <v>507</v>
      </c>
      <c r="AI213" s="23">
        <f t="shared" si="64"/>
        <v>16883.099999999999</v>
      </c>
      <c r="AJ213" s="23">
        <v>513</v>
      </c>
      <c r="AK213" s="23">
        <f t="shared" si="65"/>
        <v>18442.350000000002</v>
      </c>
      <c r="AL213" s="26">
        <v>574</v>
      </c>
      <c r="AM213" s="26">
        <f t="shared" si="66"/>
        <v>21048.58</v>
      </c>
      <c r="AN213" s="12">
        <f t="shared" si="67"/>
        <v>5151</v>
      </c>
      <c r="AO213" s="22">
        <f t="shared" si="68"/>
        <v>179899.37</v>
      </c>
    </row>
    <row r="214" spans="1:41" s="31" customFormat="1" x14ac:dyDescent="0.5">
      <c r="A214" s="19">
        <v>210</v>
      </c>
      <c r="B214" s="20" t="s">
        <v>410</v>
      </c>
      <c r="C214" s="21" t="s">
        <v>159</v>
      </c>
      <c r="D214" s="16">
        <v>239</v>
      </c>
      <c r="E214" s="16">
        <v>6</v>
      </c>
      <c r="F214" s="22">
        <v>1492</v>
      </c>
      <c r="G214" s="22">
        <f t="shared" si="69"/>
        <v>46431.040000000001</v>
      </c>
      <c r="H214" s="22"/>
      <c r="I214" s="23">
        <f t="shared" si="70"/>
        <v>0</v>
      </c>
      <c r="J214" s="22"/>
      <c r="K214" s="22">
        <f t="shared" si="71"/>
        <v>0</v>
      </c>
      <c r="L214" s="22">
        <v>1168</v>
      </c>
      <c r="M214" s="24">
        <f t="shared" si="72"/>
        <v>41020.159999999996</v>
      </c>
      <c r="N214" s="23"/>
      <c r="O214" s="23">
        <f t="shared" si="73"/>
        <v>0</v>
      </c>
      <c r="P214" s="22">
        <v>746</v>
      </c>
      <c r="Q214" s="22">
        <f t="shared" si="74"/>
        <v>31332</v>
      </c>
      <c r="R214" s="25">
        <v>834</v>
      </c>
      <c r="S214" s="25">
        <f t="shared" si="75"/>
        <v>32275.800000000003</v>
      </c>
      <c r="T214" s="25">
        <v>1173</v>
      </c>
      <c r="U214" s="25">
        <f t="shared" si="57"/>
        <v>39530.100000000006</v>
      </c>
      <c r="V214" s="23">
        <v>1275</v>
      </c>
      <c r="W214" s="23">
        <f t="shared" si="58"/>
        <v>41820</v>
      </c>
      <c r="X214" s="23">
        <v>1107</v>
      </c>
      <c r="Y214" s="23">
        <f t="shared" si="59"/>
        <v>38911.049999999996</v>
      </c>
      <c r="Z214" s="23">
        <v>954</v>
      </c>
      <c r="AA214" s="23">
        <f t="shared" si="60"/>
        <v>33065.64</v>
      </c>
      <c r="AB214" s="23">
        <v>1056</v>
      </c>
      <c r="AC214" s="23">
        <f t="shared" si="61"/>
        <v>38068.799999999996</v>
      </c>
      <c r="AD214" s="23">
        <v>1093</v>
      </c>
      <c r="AE214" s="23">
        <f t="shared" si="62"/>
        <v>38298.720000000001</v>
      </c>
      <c r="AF214" s="26">
        <v>1034</v>
      </c>
      <c r="AG214" s="26">
        <f t="shared" si="63"/>
        <v>35342.120000000003</v>
      </c>
      <c r="AH214" s="23">
        <v>1035</v>
      </c>
      <c r="AI214" s="23">
        <f t="shared" si="64"/>
        <v>34465.5</v>
      </c>
      <c r="AJ214" s="23">
        <v>819</v>
      </c>
      <c r="AK214" s="23">
        <f t="shared" si="65"/>
        <v>29443.050000000003</v>
      </c>
      <c r="AL214" s="26">
        <v>1615</v>
      </c>
      <c r="AM214" s="26">
        <f t="shared" si="66"/>
        <v>59222.05</v>
      </c>
      <c r="AN214" s="12">
        <f t="shared" si="67"/>
        <v>15401</v>
      </c>
      <c r="AO214" s="22">
        <f t="shared" si="68"/>
        <v>539226.03</v>
      </c>
    </row>
    <row r="215" spans="1:41" s="31" customFormat="1" x14ac:dyDescent="0.5">
      <c r="A215" s="19">
        <v>211</v>
      </c>
      <c r="B215" s="27" t="s">
        <v>411</v>
      </c>
      <c r="C215" s="28" t="s">
        <v>412</v>
      </c>
      <c r="D215" s="16">
        <v>246</v>
      </c>
      <c r="E215" s="16">
        <v>6</v>
      </c>
      <c r="F215" s="22"/>
      <c r="G215" s="22">
        <f t="shared" si="69"/>
        <v>0</v>
      </c>
      <c r="H215" s="22"/>
      <c r="I215" s="23">
        <f t="shared" si="70"/>
        <v>0</v>
      </c>
      <c r="J215" s="22"/>
      <c r="K215" s="22">
        <f t="shared" si="71"/>
        <v>0</v>
      </c>
      <c r="L215" s="22"/>
      <c r="M215" s="24">
        <f t="shared" si="72"/>
        <v>0</v>
      </c>
      <c r="N215" s="23"/>
      <c r="O215" s="23">
        <f t="shared" si="73"/>
        <v>0</v>
      </c>
      <c r="P215" s="22"/>
      <c r="Q215" s="22">
        <f t="shared" si="74"/>
        <v>0</v>
      </c>
      <c r="R215" s="25"/>
      <c r="S215" s="25">
        <f t="shared" si="75"/>
        <v>0</v>
      </c>
      <c r="T215" s="25"/>
      <c r="U215" s="25">
        <f t="shared" si="57"/>
        <v>0</v>
      </c>
      <c r="V215" s="23"/>
      <c r="W215" s="23">
        <f t="shared" si="58"/>
        <v>0</v>
      </c>
      <c r="X215" s="23"/>
      <c r="Y215" s="23">
        <f t="shared" si="59"/>
        <v>0</v>
      </c>
      <c r="Z215" s="23"/>
      <c r="AA215" s="23">
        <f t="shared" si="60"/>
        <v>0</v>
      </c>
      <c r="AB215" s="23"/>
      <c r="AC215" s="23">
        <f t="shared" si="61"/>
        <v>0</v>
      </c>
      <c r="AD215" s="23"/>
      <c r="AE215" s="23">
        <f t="shared" si="62"/>
        <v>0</v>
      </c>
      <c r="AF215" s="26"/>
      <c r="AG215" s="26">
        <f t="shared" si="63"/>
        <v>0</v>
      </c>
      <c r="AH215" s="23"/>
      <c r="AI215" s="23">
        <f t="shared" si="64"/>
        <v>0</v>
      </c>
      <c r="AJ215" s="23"/>
      <c r="AK215" s="23">
        <f t="shared" si="65"/>
        <v>0</v>
      </c>
      <c r="AL215" s="23"/>
      <c r="AM215" s="26">
        <f t="shared" si="66"/>
        <v>0</v>
      </c>
      <c r="AN215" s="12">
        <f t="shared" si="67"/>
        <v>0</v>
      </c>
      <c r="AO215" s="22">
        <f t="shared" si="68"/>
        <v>0</v>
      </c>
    </row>
    <row r="216" spans="1:41" s="31" customFormat="1" x14ac:dyDescent="0.5">
      <c r="A216" s="19">
        <v>212</v>
      </c>
      <c r="B216" s="27" t="s">
        <v>413</v>
      </c>
      <c r="C216" s="28" t="s">
        <v>414</v>
      </c>
      <c r="D216" s="16">
        <v>305</v>
      </c>
      <c r="E216" s="16">
        <v>6</v>
      </c>
      <c r="F216" s="22">
        <v>256</v>
      </c>
      <c r="G216" s="22">
        <f t="shared" si="69"/>
        <v>7966.72</v>
      </c>
      <c r="H216" s="22">
        <v>259</v>
      </c>
      <c r="I216" s="23">
        <f t="shared" si="70"/>
        <v>8394.1899999999987</v>
      </c>
      <c r="J216" s="22"/>
      <c r="K216" s="22">
        <f t="shared" si="71"/>
        <v>0</v>
      </c>
      <c r="L216" s="22"/>
      <c r="M216" s="24">
        <f t="shared" si="72"/>
        <v>0</v>
      </c>
      <c r="N216" s="23"/>
      <c r="O216" s="23">
        <f t="shared" si="73"/>
        <v>0</v>
      </c>
      <c r="P216" s="22"/>
      <c r="Q216" s="22">
        <f t="shared" si="74"/>
        <v>0</v>
      </c>
      <c r="R216" s="25"/>
      <c r="S216" s="25">
        <f t="shared" si="75"/>
        <v>0</v>
      </c>
      <c r="T216" s="25">
        <v>1251</v>
      </c>
      <c r="U216" s="25">
        <f t="shared" si="57"/>
        <v>42158.700000000004</v>
      </c>
      <c r="V216" s="23">
        <v>1129</v>
      </c>
      <c r="W216" s="23">
        <f t="shared" si="58"/>
        <v>37031.199999999997</v>
      </c>
      <c r="X216" s="23">
        <v>951</v>
      </c>
      <c r="Y216" s="23">
        <f t="shared" si="59"/>
        <v>33427.65</v>
      </c>
      <c r="Z216" s="23">
        <v>754</v>
      </c>
      <c r="AA216" s="23">
        <f t="shared" si="60"/>
        <v>26133.639999999996</v>
      </c>
      <c r="AB216" s="23">
        <v>577</v>
      </c>
      <c r="AC216" s="23">
        <f t="shared" si="61"/>
        <v>20800.849999999999</v>
      </c>
      <c r="AD216" s="23">
        <v>790</v>
      </c>
      <c r="AE216" s="23">
        <f t="shared" si="62"/>
        <v>27681.599999999999</v>
      </c>
      <c r="AF216" s="26">
        <v>681</v>
      </c>
      <c r="AG216" s="26">
        <f t="shared" si="63"/>
        <v>23276.579999999998</v>
      </c>
      <c r="AH216" s="23">
        <v>835</v>
      </c>
      <c r="AI216" s="23">
        <f t="shared" si="64"/>
        <v>27805.499999999996</v>
      </c>
      <c r="AJ216" s="23">
        <v>1073</v>
      </c>
      <c r="AK216" s="23">
        <f t="shared" si="65"/>
        <v>38574.350000000006</v>
      </c>
      <c r="AL216" s="23">
        <v>1084</v>
      </c>
      <c r="AM216" s="26">
        <f t="shared" si="66"/>
        <v>39750.28</v>
      </c>
      <c r="AN216" s="12">
        <f t="shared" si="67"/>
        <v>9640</v>
      </c>
      <c r="AO216" s="22">
        <f t="shared" si="68"/>
        <v>333001.26</v>
      </c>
    </row>
    <row r="217" spans="1:41" x14ac:dyDescent="0.5">
      <c r="A217" s="19">
        <v>213</v>
      </c>
      <c r="B217" s="27" t="s">
        <v>415</v>
      </c>
      <c r="C217" s="28" t="s">
        <v>416</v>
      </c>
      <c r="D217" s="16">
        <v>410</v>
      </c>
      <c r="E217" s="16">
        <v>6</v>
      </c>
      <c r="F217" s="22">
        <v>203</v>
      </c>
      <c r="G217" s="22">
        <f t="shared" si="69"/>
        <v>6317.3600000000006</v>
      </c>
      <c r="H217" s="22"/>
      <c r="I217" s="23">
        <f t="shared" si="70"/>
        <v>0</v>
      </c>
      <c r="J217" s="22"/>
      <c r="K217" s="22">
        <f t="shared" si="71"/>
        <v>0</v>
      </c>
      <c r="L217" s="29"/>
      <c r="M217" s="24">
        <f t="shared" si="72"/>
        <v>0</v>
      </c>
      <c r="N217" s="30"/>
      <c r="O217" s="23">
        <f t="shared" si="73"/>
        <v>0</v>
      </c>
      <c r="P217" s="22">
        <v>410</v>
      </c>
      <c r="Q217" s="22">
        <f t="shared" si="74"/>
        <v>17220</v>
      </c>
      <c r="R217" s="25">
        <v>203</v>
      </c>
      <c r="S217" s="25">
        <f t="shared" si="75"/>
        <v>7856.1</v>
      </c>
      <c r="T217" s="25">
        <v>366</v>
      </c>
      <c r="U217" s="25">
        <f t="shared" si="57"/>
        <v>12334.2</v>
      </c>
      <c r="V217" s="23">
        <v>370</v>
      </c>
      <c r="W217" s="23">
        <f t="shared" si="58"/>
        <v>12135.999999999998</v>
      </c>
      <c r="X217" s="23">
        <v>453</v>
      </c>
      <c r="Y217" s="23">
        <f t="shared" si="59"/>
        <v>15922.949999999999</v>
      </c>
      <c r="Z217" s="23">
        <v>269</v>
      </c>
      <c r="AA217" s="23">
        <f t="shared" si="60"/>
        <v>9323.5399999999991</v>
      </c>
      <c r="AB217" s="23">
        <v>357</v>
      </c>
      <c r="AC217" s="23">
        <f t="shared" si="61"/>
        <v>12869.849999999999</v>
      </c>
      <c r="AD217" s="23">
        <v>449</v>
      </c>
      <c r="AE217" s="23">
        <f t="shared" si="62"/>
        <v>15732.96</v>
      </c>
      <c r="AF217" s="26">
        <v>504</v>
      </c>
      <c r="AG217" s="26">
        <f t="shared" si="63"/>
        <v>17226.72</v>
      </c>
      <c r="AH217" s="23">
        <v>459</v>
      </c>
      <c r="AI217" s="23">
        <f t="shared" si="64"/>
        <v>15284.699999999999</v>
      </c>
      <c r="AJ217" s="23">
        <v>330</v>
      </c>
      <c r="AK217" s="23">
        <f t="shared" si="65"/>
        <v>11863.500000000002</v>
      </c>
      <c r="AL217" s="23">
        <v>470</v>
      </c>
      <c r="AM217" s="26">
        <f t="shared" si="66"/>
        <v>17234.900000000001</v>
      </c>
      <c r="AN217" s="12">
        <f t="shared" si="67"/>
        <v>4843</v>
      </c>
      <c r="AO217" s="22">
        <f t="shared" si="68"/>
        <v>171322.78</v>
      </c>
    </row>
    <row r="218" spans="1:41" s="31" customFormat="1" x14ac:dyDescent="0.5">
      <c r="A218" s="19">
        <v>214</v>
      </c>
      <c r="B218" s="20" t="s">
        <v>417</v>
      </c>
      <c r="C218" s="21" t="s">
        <v>418</v>
      </c>
      <c r="D218" s="16">
        <v>411</v>
      </c>
      <c r="E218" s="16">
        <v>6</v>
      </c>
      <c r="F218" s="22">
        <v>747</v>
      </c>
      <c r="G218" s="22">
        <f t="shared" si="69"/>
        <v>23246.639999999999</v>
      </c>
      <c r="H218" s="22">
        <v>341</v>
      </c>
      <c r="I218" s="23">
        <f t="shared" si="70"/>
        <v>11051.81</v>
      </c>
      <c r="J218" s="22"/>
      <c r="K218" s="22">
        <f t="shared" si="71"/>
        <v>0</v>
      </c>
      <c r="L218" s="22">
        <v>294</v>
      </c>
      <c r="M218" s="24">
        <f t="shared" si="72"/>
        <v>10325.279999999999</v>
      </c>
      <c r="N218" s="23">
        <v>467</v>
      </c>
      <c r="O218" s="23">
        <f t="shared" si="73"/>
        <v>17862.75</v>
      </c>
      <c r="P218" s="22">
        <v>729</v>
      </c>
      <c r="Q218" s="22">
        <f t="shared" si="74"/>
        <v>30618</v>
      </c>
      <c r="R218" s="25">
        <v>610</v>
      </c>
      <c r="S218" s="25">
        <f t="shared" si="75"/>
        <v>23607</v>
      </c>
      <c r="T218" s="25">
        <v>454</v>
      </c>
      <c r="U218" s="25">
        <f t="shared" si="57"/>
        <v>15299.800000000001</v>
      </c>
      <c r="V218" s="23">
        <v>650</v>
      </c>
      <c r="W218" s="23">
        <f t="shared" si="58"/>
        <v>21319.999999999996</v>
      </c>
      <c r="X218" s="23">
        <v>616</v>
      </c>
      <c r="Y218" s="23">
        <f t="shared" si="59"/>
        <v>21652.399999999998</v>
      </c>
      <c r="Z218" s="23"/>
      <c r="AA218" s="23">
        <f t="shared" si="60"/>
        <v>0</v>
      </c>
      <c r="AB218" s="23">
        <v>689</v>
      </c>
      <c r="AC218" s="23">
        <f t="shared" si="61"/>
        <v>24838.449999999997</v>
      </c>
      <c r="AD218" s="23">
        <v>747</v>
      </c>
      <c r="AE218" s="23">
        <f t="shared" si="62"/>
        <v>26174.880000000001</v>
      </c>
      <c r="AF218" s="26">
        <v>800</v>
      </c>
      <c r="AG218" s="26">
        <f t="shared" si="63"/>
        <v>27344</v>
      </c>
      <c r="AH218" s="23">
        <v>663</v>
      </c>
      <c r="AI218" s="23">
        <f t="shared" si="64"/>
        <v>22077.899999999998</v>
      </c>
      <c r="AJ218" s="23">
        <v>714</v>
      </c>
      <c r="AK218" s="23">
        <f t="shared" si="65"/>
        <v>25668.300000000003</v>
      </c>
      <c r="AL218" s="26">
        <v>892</v>
      </c>
      <c r="AM218" s="26">
        <f t="shared" si="66"/>
        <v>32709.640000000003</v>
      </c>
      <c r="AN218" s="12">
        <f t="shared" si="67"/>
        <v>9413</v>
      </c>
      <c r="AO218" s="22">
        <f t="shared" si="68"/>
        <v>333796.85000000003</v>
      </c>
    </row>
    <row r="219" spans="1:41" s="31" customFormat="1" x14ac:dyDescent="0.5">
      <c r="A219" s="19">
        <v>215</v>
      </c>
      <c r="B219" s="27" t="s">
        <v>419</v>
      </c>
      <c r="C219" s="28" t="s">
        <v>420</v>
      </c>
      <c r="D219" s="16">
        <v>462</v>
      </c>
      <c r="E219" s="16">
        <v>6</v>
      </c>
      <c r="F219" s="22">
        <v>766</v>
      </c>
      <c r="G219" s="22">
        <f t="shared" si="69"/>
        <v>23837.920000000002</v>
      </c>
      <c r="H219" s="22">
        <v>880</v>
      </c>
      <c r="I219" s="23">
        <f t="shared" si="70"/>
        <v>28520.799999999996</v>
      </c>
      <c r="J219" s="22">
        <v>423</v>
      </c>
      <c r="K219" s="22">
        <f t="shared" si="71"/>
        <v>13963.23</v>
      </c>
      <c r="L219" s="22">
        <v>406</v>
      </c>
      <c r="M219" s="24">
        <f t="shared" si="72"/>
        <v>14258.72</v>
      </c>
      <c r="N219" s="23">
        <v>273</v>
      </c>
      <c r="O219" s="23">
        <f t="shared" si="73"/>
        <v>10442.25</v>
      </c>
      <c r="P219" s="22">
        <v>340</v>
      </c>
      <c r="Q219" s="22">
        <f t="shared" si="74"/>
        <v>14280</v>
      </c>
      <c r="R219" s="25">
        <v>269</v>
      </c>
      <c r="S219" s="25">
        <f t="shared" si="75"/>
        <v>10410.300000000001</v>
      </c>
      <c r="T219" s="25">
        <v>787</v>
      </c>
      <c r="U219" s="25">
        <f t="shared" si="57"/>
        <v>26521.9</v>
      </c>
      <c r="V219" s="23">
        <v>568</v>
      </c>
      <c r="W219" s="23">
        <f t="shared" si="58"/>
        <v>18630.399999999998</v>
      </c>
      <c r="X219" s="23">
        <v>710</v>
      </c>
      <c r="Y219" s="23">
        <f t="shared" si="59"/>
        <v>24956.5</v>
      </c>
      <c r="Z219" s="23">
        <v>647</v>
      </c>
      <c r="AA219" s="23">
        <f t="shared" si="60"/>
        <v>22425.019999999997</v>
      </c>
      <c r="AB219" s="23">
        <v>570</v>
      </c>
      <c r="AC219" s="23">
        <f t="shared" si="61"/>
        <v>20548.5</v>
      </c>
      <c r="AD219" s="23">
        <v>710</v>
      </c>
      <c r="AE219" s="23">
        <f t="shared" si="62"/>
        <v>24878.399999999998</v>
      </c>
      <c r="AF219" s="26">
        <v>804</v>
      </c>
      <c r="AG219" s="26">
        <f t="shared" si="63"/>
        <v>27480.720000000001</v>
      </c>
      <c r="AH219" s="23">
        <v>647</v>
      </c>
      <c r="AI219" s="23">
        <f t="shared" si="64"/>
        <v>21545.1</v>
      </c>
      <c r="AJ219" s="23">
        <v>338</v>
      </c>
      <c r="AK219" s="23">
        <f t="shared" si="65"/>
        <v>12151.1</v>
      </c>
      <c r="AL219" s="23">
        <v>865</v>
      </c>
      <c r="AM219" s="26">
        <f t="shared" si="66"/>
        <v>31719.550000000003</v>
      </c>
      <c r="AN219" s="12">
        <f t="shared" si="67"/>
        <v>10003</v>
      </c>
      <c r="AO219" s="22">
        <f t="shared" si="68"/>
        <v>346570.40999999992</v>
      </c>
    </row>
    <row r="220" spans="1:41" s="31" customFormat="1" x14ac:dyDescent="0.5">
      <c r="A220" s="19">
        <v>216</v>
      </c>
      <c r="B220" s="27" t="s">
        <v>314</v>
      </c>
      <c r="C220" s="28" t="s">
        <v>421</v>
      </c>
      <c r="D220" s="16">
        <v>685</v>
      </c>
      <c r="E220" s="16">
        <v>6</v>
      </c>
      <c r="F220" s="22"/>
      <c r="G220" s="22">
        <f t="shared" si="69"/>
        <v>0</v>
      </c>
      <c r="H220" s="22"/>
      <c r="I220" s="23">
        <f t="shared" si="70"/>
        <v>0</v>
      </c>
      <c r="J220" s="22"/>
      <c r="K220" s="22">
        <f t="shared" si="71"/>
        <v>0</v>
      </c>
      <c r="L220" s="22"/>
      <c r="M220" s="24">
        <f t="shared" si="72"/>
        <v>0</v>
      </c>
      <c r="N220" s="23"/>
      <c r="O220" s="23">
        <f t="shared" si="73"/>
        <v>0</v>
      </c>
      <c r="P220" s="22"/>
      <c r="Q220" s="22">
        <f t="shared" si="74"/>
        <v>0</v>
      </c>
      <c r="R220" s="25"/>
      <c r="S220" s="25">
        <f t="shared" si="75"/>
        <v>0</v>
      </c>
      <c r="T220" s="25"/>
      <c r="U220" s="25">
        <f t="shared" si="57"/>
        <v>0</v>
      </c>
      <c r="V220" s="23"/>
      <c r="W220" s="23">
        <f t="shared" si="58"/>
        <v>0</v>
      </c>
      <c r="X220" s="23"/>
      <c r="Y220" s="23">
        <f t="shared" si="59"/>
        <v>0</v>
      </c>
      <c r="Z220" s="23"/>
      <c r="AA220" s="23">
        <f t="shared" si="60"/>
        <v>0</v>
      </c>
      <c r="AB220" s="23"/>
      <c r="AC220" s="23">
        <f t="shared" si="61"/>
        <v>0</v>
      </c>
      <c r="AD220" s="23"/>
      <c r="AE220" s="23">
        <f t="shared" si="62"/>
        <v>0</v>
      </c>
      <c r="AF220" s="26"/>
      <c r="AG220" s="26">
        <f t="shared" si="63"/>
        <v>0</v>
      </c>
      <c r="AH220" s="23"/>
      <c r="AI220" s="23">
        <f t="shared" si="64"/>
        <v>0</v>
      </c>
      <c r="AJ220" s="23"/>
      <c r="AK220" s="23">
        <f t="shared" si="65"/>
        <v>0</v>
      </c>
      <c r="AL220" s="23"/>
      <c r="AM220" s="26">
        <f t="shared" si="66"/>
        <v>0</v>
      </c>
      <c r="AN220" s="12">
        <f t="shared" si="67"/>
        <v>0</v>
      </c>
      <c r="AO220" s="22">
        <f t="shared" si="68"/>
        <v>0</v>
      </c>
    </row>
    <row r="221" spans="1:41" s="31" customFormat="1" x14ac:dyDescent="0.5">
      <c r="A221" s="19">
        <v>217</v>
      </c>
      <c r="B221" s="27" t="s">
        <v>422</v>
      </c>
      <c r="C221" s="28" t="s">
        <v>423</v>
      </c>
      <c r="D221" s="16">
        <v>689</v>
      </c>
      <c r="E221" s="16">
        <v>6</v>
      </c>
      <c r="F221" s="22"/>
      <c r="G221" s="22">
        <f t="shared" si="69"/>
        <v>0</v>
      </c>
      <c r="H221" s="22"/>
      <c r="I221" s="23">
        <f t="shared" si="70"/>
        <v>0</v>
      </c>
      <c r="J221" s="22"/>
      <c r="K221" s="22">
        <f t="shared" si="71"/>
        <v>0</v>
      </c>
      <c r="L221" s="22"/>
      <c r="M221" s="24">
        <f t="shared" si="72"/>
        <v>0</v>
      </c>
      <c r="N221" s="23"/>
      <c r="O221" s="23">
        <f t="shared" si="73"/>
        <v>0</v>
      </c>
      <c r="P221" s="22"/>
      <c r="Q221" s="22">
        <f t="shared" si="74"/>
        <v>0</v>
      </c>
      <c r="R221" s="25"/>
      <c r="S221" s="25">
        <f t="shared" si="75"/>
        <v>0</v>
      </c>
      <c r="T221" s="25"/>
      <c r="U221" s="25">
        <f t="shared" si="57"/>
        <v>0</v>
      </c>
      <c r="V221" s="23"/>
      <c r="W221" s="23">
        <f t="shared" si="58"/>
        <v>0</v>
      </c>
      <c r="X221" s="23"/>
      <c r="Y221" s="23">
        <f t="shared" si="59"/>
        <v>0</v>
      </c>
      <c r="Z221" s="23"/>
      <c r="AA221" s="23">
        <f t="shared" si="60"/>
        <v>0</v>
      </c>
      <c r="AB221" s="23"/>
      <c r="AC221" s="23">
        <f t="shared" si="61"/>
        <v>0</v>
      </c>
      <c r="AD221" s="23"/>
      <c r="AE221" s="23">
        <f t="shared" si="62"/>
        <v>0</v>
      </c>
      <c r="AF221" s="26"/>
      <c r="AG221" s="26">
        <f t="shared" si="63"/>
        <v>0</v>
      </c>
      <c r="AH221" s="23"/>
      <c r="AI221" s="23">
        <f t="shared" si="64"/>
        <v>0</v>
      </c>
      <c r="AJ221" s="23"/>
      <c r="AK221" s="23">
        <f t="shared" si="65"/>
        <v>0</v>
      </c>
      <c r="AL221" s="23"/>
      <c r="AM221" s="26">
        <f t="shared" si="66"/>
        <v>0</v>
      </c>
      <c r="AN221" s="12">
        <f t="shared" si="67"/>
        <v>0</v>
      </c>
      <c r="AO221" s="22">
        <f t="shared" si="68"/>
        <v>0</v>
      </c>
    </row>
    <row r="222" spans="1:41" s="31" customFormat="1" x14ac:dyDescent="0.5">
      <c r="A222" s="19">
        <v>218</v>
      </c>
      <c r="B222" s="27" t="s">
        <v>424</v>
      </c>
      <c r="C222" s="28" t="s">
        <v>425</v>
      </c>
      <c r="D222" s="16">
        <v>697</v>
      </c>
      <c r="E222" s="16">
        <v>6</v>
      </c>
      <c r="F222" s="22"/>
      <c r="G222" s="22">
        <f t="shared" si="69"/>
        <v>0</v>
      </c>
      <c r="H222" s="22"/>
      <c r="I222" s="23">
        <f t="shared" si="70"/>
        <v>0</v>
      </c>
      <c r="J222" s="22"/>
      <c r="K222" s="22">
        <f t="shared" si="71"/>
        <v>0</v>
      </c>
      <c r="L222" s="22"/>
      <c r="M222" s="24">
        <f t="shared" si="72"/>
        <v>0</v>
      </c>
      <c r="N222" s="23"/>
      <c r="O222" s="23">
        <f t="shared" si="73"/>
        <v>0</v>
      </c>
      <c r="P222" s="22">
        <v>816</v>
      </c>
      <c r="Q222" s="22">
        <f t="shared" si="74"/>
        <v>34272</v>
      </c>
      <c r="R222" s="25">
        <v>583</v>
      </c>
      <c r="S222" s="25">
        <f t="shared" si="75"/>
        <v>22562.100000000002</v>
      </c>
      <c r="T222" s="25">
        <v>802</v>
      </c>
      <c r="U222" s="25">
        <f t="shared" si="57"/>
        <v>27027.4</v>
      </c>
      <c r="V222" s="23">
        <v>563</v>
      </c>
      <c r="W222" s="23">
        <f t="shared" si="58"/>
        <v>18466.399999999998</v>
      </c>
      <c r="X222" s="23">
        <v>900</v>
      </c>
      <c r="Y222" s="23">
        <f t="shared" si="59"/>
        <v>31635</v>
      </c>
      <c r="Z222" s="23">
        <v>588</v>
      </c>
      <c r="AA222" s="23">
        <f t="shared" si="60"/>
        <v>20380.079999999998</v>
      </c>
      <c r="AB222" s="23">
        <v>690</v>
      </c>
      <c r="AC222" s="23">
        <f t="shared" si="61"/>
        <v>24874.499999999996</v>
      </c>
      <c r="AD222" s="23">
        <v>651</v>
      </c>
      <c r="AE222" s="23">
        <f t="shared" si="62"/>
        <v>22811.040000000001</v>
      </c>
      <c r="AF222" s="26">
        <v>747</v>
      </c>
      <c r="AG222" s="26">
        <f t="shared" si="63"/>
        <v>25532.46</v>
      </c>
      <c r="AH222" s="23">
        <v>745</v>
      </c>
      <c r="AI222" s="23">
        <f t="shared" si="64"/>
        <v>24808.499999999996</v>
      </c>
      <c r="AJ222" s="23">
        <v>647</v>
      </c>
      <c r="AK222" s="23">
        <f t="shared" si="65"/>
        <v>23259.65</v>
      </c>
      <c r="AL222" s="23">
        <v>699</v>
      </c>
      <c r="AM222" s="26">
        <f t="shared" si="66"/>
        <v>25632.33</v>
      </c>
      <c r="AN222" s="12">
        <f t="shared" si="67"/>
        <v>8431</v>
      </c>
      <c r="AO222" s="22">
        <f t="shared" si="68"/>
        <v>301261.46000000002</v>
      </c>
    </row>
    <row r="223" spans="1:41" s="31" customFormat="1" x14ac:dyDescent="0.5">
      <c r="A223" s="19">
        <v>219</v>
      </c>
      <c r="B223" s="27" t="s">
        <v>426</v>
      </c>
      <c r="C223" s="28" t="s">
        <v>427</v>
      </c>
      <c r="D223" s="16">
        <v>738</v>
      </c>
      <c r="E223" s="16">
        <v>6</v>
      </c>
      <c r="F223" s="22"/>
      <c r="G223" s="22">
        <f t="shared" si="69"/>
        <v>0</v>
      </c>
      <c r="H223" s="22"/>
      <c r="I223" s="23">
        <f t="shared" si="70"/>
        <v>0</v>
      </c>
      <c r="J223" s="22"/>
      <c r="K223" s="22">
        <f t="shared" si="71"/>
        <v>0</v>
      </c>
      <c r="L223" s="22"/>
      <c r="M223" s="24">
        <f t="shared" si="72"/>
        <v>0</v>
      </c>
      <c r="N223" s="23"/>
      <c r="O223" s="23">
        <f t="shared" si="73"/>
        <v>0</v>
      </c>
      <c r="P223" s="22"/>
      <c r="Q223" s="22">
        <f t="shared" si="74"/>
        <v>0</v>
      </c>
      <c r="R223" s="25"/>
      <c r="S223" s="25">
        <f t="shared" si="75"/>
        <v>0</v>
      </c>
      <c r="T223" s="25"/>
      <c r="U223" s="25">
        <f t="shared" si="57"/>
        <v>0</v>
      </c>
      <c r="V223" s="23"/>
      <c r="W223" s="23">
        <f t="shared" si="58"/>
        <v>0</v>
      </c>
      <c r="X223" s="23"/>
      <c r="Y223" s="23">
        <f t="shared" si="59"/>
        <v>0</v>
      </c>
      <c r="Z223" s="23"/>
      <c r="AA223" s="23">
        <f t="shared" si="60"/>
        <v>0</v>
      </c>
      <c r="AB223" s="23"/>
      <c r="AC223" s="23">
        <f t="shared" si="61"/>
        <v>0</v>
      </c>
      <c r="AD223" s="23"/>
      <c r="AE223" s="23">
        <f t="shared" si="62"/>
        <v>0</v>
      </c>
      <c r="AF223" s="26"/>
      <c r="AG223" s="26">
        <f t="shared" si="63"/>
        <v>0</v>
      </c>
      <c r="AH223" s="23"/>
      <c r="AI223" s="23">
        <f t="shared" si="64"/>
        <v>0</v>
      </c>
      <c r="AJ223" s="23"/>
      <c r="AK223" s="23">
        <f t="shared" si="65"/>
        <v>0</v>
      </c>
      <c r="AL223" s="23"/>
      <c r="AM223" s="26">
        <f t="shared" si="66"/>
        <v>0</v>
      </c>
      <c r="AN223" s="12">
        <f t="shared" si="67"/>
        <v>0</v>
      </c>
      <c r="AO223" s="22">
        <f t="shared" si="68"/>
        <v>0</v>
      </c>
    </row>
    <row r="224" spans="1:41" x14ac:dyDescent="0.5">
      <c r="A224" s="19">
        <v>220</v>
      </c>
      <c r="B224" s="20" t="s">
        <v>367</v>
      </c>
      <c r="C224" s="21" t="s">
        <v>428</v>
      </c>
      <c r="D224" s="16">
        <v>800</v>
      </c>
      <c r="E224" s="16">
        <v>6</v>
      </c>
      <c r="F224" s="22">
        <v>674</v>
      </c>
      <c r="G224" s="22">
        <f t="shared" si="69"/>
        <v>20974.880000000001</v>
      </c>
      <c r="H224" s="22"/>
      <c r="I224" s="23">
        <f t="shared" si="70"/>
        <v>0</v>
      </c>
      <c r="J224" s="22">
        <v>433</v>
      </c>
      <c r="K224" s="22">
        <f t="shared" si="71"/>
        <v>14293.33</v>
      </c>
      <c r="L224" s="29">
        <v>639</v>
      </c>
      <c r="M224" s="24">
        <f t="shared" si="72"/>
        <v>22441.679999999997</v>
      </c>
      <c r="N224" s="30">
        <v>931</v>
      </c>
      <c r="O224" s="23">
        <f t="shared" si="73"/>
        <v>35610.75</v>
      </c>
      <c r="P224" s="22">
        <v>998</v>
      </c>
      <c r="Q224" s="22">
        <f t="shared" si="74"/>
        <v>41916</v>
      </c>
      <c r="R224" s="25">
        <v>1077</v>
      </c>
      <c r="S224" s="25">
        <f t="shared" si="75"/>
        <v>41679.9</v>
      </c>
      <c r="T224" s="25">
        <v>703</v>
      </c>
      <c r="U224" s="25">
        <f t="shared" si="57"/>
        <v>23691.100000000002</v>
      </c>
      <c r="V224" s="23">
        <v>618</v>
      </c>
      <c r="W224" s="23">
        <f t="shared" si="58"/>
        <v>20270.399999999998</v>
      </c>
      <c r="X224" s="23">
        <v>789</v>
      </c>
      <c r="Y224" s="23">
        <f t="shared" si="59"/>
        <v>27733.35</v>
      </c>
      <c r="Z224" s="23">
        <v>638</v>
      </c>
      <c r="AA224" s="23">
        <f t="shared" si="60"/>
        <v>22113.079999999998</v>
      </c>
      <c r="AB224" s="23">
        <v>1056</v>
      </c>
      <c r="AC224" s="23">
        <f t="shared" si="61"/>
        <v>38068.799999999996</v>
      </c>
      <c r="AD224" s="23">
        <v>617</v>
      </c>
      <c r="AE224" s="23">
        <f t="shared" si="62"/>
        <v>21619.68</v>
      </c>
      <c r="AF224" s="26">
        <v>447</v>
      </c>
      <c r="AG224" s="26">
        <f t="shared" si="63"/>
        <v>15278.46</v>
      </c>
      <c r="AH224" s="23"/>
      <c r="AI224" s="23">
        <f t="shared" si="64"/>
        <v>0</v>
      </c>
      <c r="AJ224" s="23">
        <v>1775</v>
      </c>
      <c r="AK224" s="23">
        <f t="shared" si="65"/>
        <v>63811.250000000007</v>
      </c>
      <c r="AL224" s="26">
        <v>1569</v>
      </c>
      <c r="AM224" s="26">
        <f t="shared" si="66"/>
        <v>57535.23</v>
      </c>
      <c r="AN224" s="12">
        <f t="shared" si="67"/>
        <v>12964</v>
      </c>
      <c r="AO224" s="22">
        <f t="shared" si="68"/>
        <v>467037.89</v>
      </c>
    </row>
    <row r="225" spans="1:41" s="31" customFormat="1" x14ac:dyDescent="0.5">
      <c r="A225" s="19">
        <v>221</v>
      </c>
      <c r="B225" s="20" t="s">
        <v>429</v>
      </c>
      <c r="C225" s="21" t="s">
        <v>430</v>
      </c>
      <c r="D225" s="16">
        <v>835</v>
      </c>
      <c r="E225" s="16">
        <v>6</v>
      </c>
      <c r="F225" s="22"/>
      <c r="G225" s="22">
        <f t="shared" si="69"/>
        <v>0</v>
      </c>
      <c r="H225" s="22"/>
      <c r="I225" s="23">
        <f t="shared" si="70"/>
        <v>0</v>
      </c>
      <c r="J225" s="22"/>
      <c r="K225" s="22">
        <f t="shared" si="71"/>
        <v>0</v>
      </c>
      <c r="L225" s="22"/>
      <c r="M225" s="24">
        <f t="shared" si="72"/>
        <v>0</v>
      </c>
      <c r="N225" s="23"/>
      <c r="O225" s="23">
        <f t="shared" si="73"/>
        <v>0</v>
      </c>
      <c r="P225" s="22"/>
      <c r="Q225" s="22">
        <f t="shared" si="74"/>
        <v>0</v>
      </c>
      <c r="R225" s="25"/>
      <c r="S225" s="25">
        <f t="shared" si="75"/>
        <v>0</v>
      </c>
      <c r="T225" s="25"/>
      <c r="U225" s="25">
        <f t="shared" si="57"/>
        <v>0</v>
      </c>
      <c r="V225" s="23"/>
      <c r="W225" s="23">
        <f t="shared" si="58"/>
        <v>0</v>
      </c>
      <c r="X225" s="23"/>
      <c r="Y225" s="23">
        <f t="shared" si="59"/>
        <v>0</v>
      </c>
      <c r="Z225" s="23"/>
      <c r="AA225" s="23">
        <f t="shared" si="60"/>
        <v>0</v>
      </c>
      <c r="AB225" s="23"/>
      <c r="AC225" s="23">
        <f t="shared" si="61"/>
        <v>0</v>
      </c>
      <c r="AD225" s="23"/>
      <c r="AE225" s="23">
        <f t="shared" si="62"/>
        <v>0</v>
      </c>
      <c r="AF225" s="26"/>
      <c r="AG225" s="26">
        <f t="shared" si="63"/>
        <v>0</v>
      </c>
      <c r="AH225" s="23"/>
      <c r="AI225" s="23">
        <f t="shared" si="64"/>
        <v>0</v>
      </c>
      <c r="AJ225" s="23"/>
      <c r="AK225" s="23">
        <f t="shared" si="65"/>
        <v>0</v>
      </c>
      <c r="AL225" s="26"/>
      <c r="AM225" s="26">
        <f t="shared" si="66"/>
        <v>0</v>
      </c>
      <c r="AN225" s="12">
        <f t="shared" si="67"/>
        <v>0</v>
      </c>
      <c r="AO225" s="22">
        <f t="shared" si="68"/>
        <v>0</v>
      </c>
    </row>
    <row r="226" spans="1:41" s="31" customFormat="1" x14ac:dyDescent="0.5">
      <c r="A226" s="19">
        <v>222</v>
      </c>
      <c r="B226" s="27" t="s">
        <v>431</v>
      </c>
      <c r="C226" s="28" t="s">
        <v>432</v>
      </c>
      <c r="D226" s="16">
        <v>858</v>
      </c>
      <c r="E226" s="16">
        <v>6</v>
      </c>
      <c r="F226" s="22">
        <v>1976</v>
      </c>
      <c r="G226" s="22">
        <f t="shared" si="69"/>
        <v>61493.120000000003</v>
      </c>
      <c r="H226" s="22">
        <v>854</v>
      </c>
      <c r="I226" s="23">
        <f t="shared" si="70"/>
        <v>27678.139999999996</v>
      </c>
      <c r="J226" s="22">
        <v>902</v>
      </c>
      <c r="K226" s="22">
        <f t="shared" si="71"/>
        <v>29775.019999999997</v>
      </c>
      <c r="L226" s="22"/>
      <c r="M226" s="24">
        <f t="shared" si="72"/>
        <v>0</v>
      </c>
      <c r="N226" s="23">
        <v>859</v>
      </c>
      <c r="O226" s="23">
        <f t="shared" si="73"/>
        <v>32856.75</v>
      </c>
      <c r="P226" s="22">
        <v>912</v>
      </c>
      <c r="Q226" s="22">
        <f t="shared" si="74"/>
        <v>38304</v>
      </c>
      <c r="R226" s="25">
        <v>1767</v>
      </c>
      <c r="S226" s="25">
        <f t="shared" si="75"/>
        <v>68382.900000000009</v>
      </c>
      <c r="T226" s="25">
        <v>1762</v>
      </c>
      <c r="U226" s="25">
        <f t="shared" si="57"/>
        <v>59379.4</v>
      </c>
      <c r="V226" s="23">
        <v>1524</v>
      </c>
      <c r="W226" s="23">
        <f t="shared" si="58"/>
        <v>49987.199999999997</v>
      </c>
      <c r="X226" s="23">
        <v>1928</v>
      </c>
      <c r="Y226" s="23">
        <f t="shared" si="59"/>
        <v>67769.2</v>
      </c>
      <c r="Z226" s="23">
        <v>1853</v>
      </c>
      <c r="AA226" s="23">
        <f t="shared" si="60"/>
        <v>64224.979999999996</v>
      </c>
      <c r="AB226" s="23">
        <v>2030</v>
      </c>
      <c r="AC226" s="23">
        <f t="shared" si="61"/>
        <v>73181.5</v>
      </c>
      <c r="AD226" s="23">
        <v>1610</v>
      </c>
      <c r="AE226" s="23">
        <f t="shared" si="62"/>
        <v>56414.400000000001</v>
      </c>
      <c r="AF226" s="26">
        <v>1774</v>
      </c>
      <c r="AG226" s="26">
        <f t="shared" si="63"/>
        <v>60635.32</v>
      </c>
      <c r="AH226" s="23">
        <v>2279</v>
      </c>
      <c r="AI226" s="23">
        <f t="shared" si="64"/>
        <v>75890.7</v>
      </c>
      <c r="AJ226" s="23">
        <v>1916</v>
      </c>
      <c r="AK226" s="23">
        <f t="shared" si="65"/>
        <v>68880.200000000012</v>
      </c>
      <c r="AL226" s="23">
        <v>1896</v>
      </c>
      <c r="AM226" s="26">
        <f t="shared" si="66"/>
        <v>69526.320000000007</v>
      </c>
      <c r="AN226" s="12">
        <f t="shared" si="67"/>
        <v>25842</v>
      </c>
      <c r="AO226" s="22">
        <f t="shared" si="68"/>
        <v>904379.14999999991</v>
      </c>
    </row>
    <row r="227" spans="1:41" s="31" customFormat="1" x14ac:dyDescent="0.5">
      <c r="A227" s="19">
        <v>223</v>
      </c>
      <c r="B227" s="27" t="s">
        <v>433</v>
      </c>
      <c r="C227" s="28" t="s">
        <v>434</v>
      </c>
      <c r="D227" s="16">
        <v>1010</v>
      </c>
      <c r="E227" s="16">
        <v>6</v>
      </c>
      <c r="F227" s="22"/>
      <c r="G227" s="22">
        <f t="shared" si="69"/>
        <v>0</v>
      </c>
      <c r="H227" s="22"/>
      <c r="I227" s="23">
        <f t="shared" si="70"/>
        <v>0</v>
      </c>
      <c r="J227" s="22"/>
      <c r="K227" s="22">
        <f t="shared" si="71"/>
        <v>0</v>
      </c>
      <c r="L227" s="22"/>
      <c r="M227" s="24">
        <f t="shared" si="72"/>
        <v>0</v>
      </c>
      <c r="N227" s="23"/>
      <c r="O227" s="23">
        <f t="shared" si="73"/>
        <v>0</v>
      </c>
      <c r="P227" s="22"/>
      <c r="Q227" s="22">
        <f t="shared" si="74"/>
        <v>0</v>
      </c>
      <c r="R227" s="25"/>
      <c r="S227" s="25">
        <f t="shared" si="75"/>
        <v>0</v>
      </c>
      <c r="T227" s="25"/>
      <c r="U227" s="25">
        <f t="shared" si="57"/>
        <v>0</v>
      </c>
      <c r="V227" s="23"/>
      <c r="W227" s="23">
        <f t="shared" si="58"/>
        <v>0</v>
      </c>
      <c r="X227" s="23"/>
      <c r="Y227" s="23">
        <f t="shared" si="59"/>
        <v>0</v>
      </c>
      <c r="Z227" s="23"/>
      <c r="AA227" s="23">
        <f t="shared" si="60"/>
        <v>0</v>
      </c>
      <c r="AB227" s="23"/>
      <c r="AC227" s="23">
        <f t="shared" si="61"/>
        <v>0</v>
      </c>
      <c r="AD227" s="23"/>
      <c r="AE227" s="23">
        <f t="shared" si="62"/>
        <v>0</v>
      </c>
      <c r="AF227" s="26"/>
      <c r="AG227" s="26">
        <f t="shared" si="63"/>
        <v>0</v>
      </c>
      <c r="AH227" s="23"/>
      <c r="AI227" s="23">
        <f t="shared" si="64"/>
        <v>0</v>
      </c>
      <c r="AJ227" s="23"/>
      <c r="AK227" s="23">
        <f t="shared" si="65"/>
        <v>0</v>
      </c>
      <c r="AL227" s="23"/>
      <c r="AM227" s="26">
        <f t="shared" si="66"/>
        <v>0</v>
      </c>
      <c r="AN227" s="12">
        <f t="shared" si="67"/>
        <v>0</v>
      </c>
      <c r="AO227" s="22">
        <f t="shared" si="68"/>
        <v>0</v>
      </c>
    </row>
    <row r="228" spans="1:41" s="31" customFormat="1" x14ac:dyDescent="0.5">
      <c r="A228" s="19">
        <v>224</v>
      </c>
      <c r="B228" s="27" t="s">
        <v>435</v>
      </c>
      <c r="C228" s="28" t="s">
        <v>436</v>
      </c>
      <c r="D228" s="16">
        <v>1043</v>
      </c>
      <c r="E228" s="16">
        <v>6</v>
      </c>
      <c r="F228" s="22">
        <v>258</v>
      </c>
      <c r="G228" s="22">
        <f t="shared" si="69"/>
        <v>8028.96</v>
      </c>
      <c r="H228" s="22"/>
      <c r="I228" s="23">
        <f t="shared" si="70"/>
        <v>0</v>
      </c>
      <c r="J228" s="22"/>
      <c r="K228" s="22">
        <f t="shared" si="71"/>
        <v>0</v>
      </c>
      <c r="L228" s="22"/>
      <c r="M228" s="24">
        <f t="shared" si="72"/>
        <v>0</v>
      </c>
      <c r="N228" s="23"/>
      <c r="O228" s="23">
        <f t="shared" si="73"/>
        <v>0</v>
      </c>
      <c r="P228" s="22">
        <v>600</v>
      </c>
      <c r="Q228" s="22">
        <f t="shared" si="74"/>
        <v>25200</v>
      </c>
      <c r="R228" s="25">
        <v>361</v>
      </c>
      <c r="S228" s="25">
        <f t="shared" si="75"/>
        <v>13970.7</v>
      </c>
      <c r="T228" s="25">
        <v>1268</v>
      </c>
      <c r="U228" s="25">
        <f t="shared" si="57"/>
        <v>42731.600000000006</v>
      </c>
      <c r="V228" s="23">
        <v>794</v>
      </c>
      <c r="W228" s="23">
        <f t="shared" si="58"/>
        <v>26043.199999999997</v>
      </c>
      <c r="X228" s="23">
        <v>959</v>
      </c>
      <c r="Y228" s="23">
        <f t="shared" si="59"/>
        <v>33708.85</v>
      </c>
      <c r="Z228" s="23">
        <v>844</v>
      </c>
      <c r="AA228" s="23">
        <f t="shared" si="60"/>
        <v>29253.039999999997</v>
      </c>
      <c r="AB228" s="23"/>
      <c r="AC228" s="23">
        <f t="shared" si="61"/>
        <v>0</v>
      </c>
      <c r="AD228" s="23">
        <v>824</v>
      </c>
      <c r="AE228" s="23">
        <f t="shared" si="62"/>
        <v>28872.959999999999</v>
      </c>
      <c r="AF228" s="26">
        <v>977</v>
      </c>
      <c r="AG228" s="26">
        <f t="shared" si="63"/>
        <v>33393.86</v>
      </c>
      <c r="AH228" s="23">
        <v>856</v>
      </c>
      <c r="AI228" s="23">
        <f t="shared" si="64"/>
        <v>28504.799999999999</v>
      </c>
      <c r="AJ228" s="23">
        <v>938</v>
      </c>
      <c r="AK228" s="23">
        <f t="shared" si="65"/>
        <v>33721.100000000006</v>
      </c>
      <c r="AL228" s="23">
        <v>906</v>
      </c>
      <c r="AM228" s="26">
        <f t="shared" si="66"/>
        <v>33223.020000000004</v>
      </c>
      <c r="AN228" s="12">
        <f t="shared" si="67"/>
        <v>9585</v>
      </c>
      <c r="AO228" s="22">
        <f t="shared" si="68"/>
        <v>336652.08999999997</v>
      </c>
    </row>
    <row r="229" spans="1:41" s="31" customFormat="1" x14ac:dyDescent="0.5">
      <c r="A229" s="19">
        <v>225</v>
      </c>
      <c r="B229" s="27" t="s">
        <v>437</v>
      </c>
      <c r="C229" s="28" t="s">
        <v>432</v>
      </c>
      <c r="D229" s="16">
        <v>1045</v>
      </c>
      <c r="E229" s="16">
        <v>6</v>
      </c>
      <c r="F229" s="22"/>
      <c r="G229" s="22">
        <f t="shared" si="69"/>
        <v>0</v>
      </c>
      <c r="H229" s="22"/>
      <c r="I229" s="23">
        <f t="shared" si="70"/>
        <v>0</v>
      </c>
      <c r="J229" s="22"/>
      <c r="K229" s="22">
        <f t="shared" si="71"/>
        <v>0</v>
      </c>
      <c r="L229" s="22"/>
      <c r="M229" s="24">
        <f t="shared" si="72"/>
        <v>0</v>
      </c>
      <c r="N229" s="23">
        <v>1099</v>
      </c>
      <c r="O229" s="23">
        <f t="shared" si="73"/>
        <v>42036.75</v>
      </c>
      <c r="P229" s="22">
        <v>1596</v>
      </c>
      <c r="Q229" s="22">
        <f t="shared" si="74"/>
        <v>67032</v>
      </c>
      <c r="R229" s="25">
        <v>1451</v>
      </c>
      <c r="S229" s="25">
        <f t="shared" si="75"/>
        <v>56153.700000000004</v>
      </c>
      <c r="T229" s="25">
        <v>1544</v>
      </c>
      <c r="U229" s="25">
        <f t="shared" si="57"/>
        <v>52032.800000000003</v>
      </c>
      <c r="V229" s="23">
        <v>1954</v>
      </c>
      <c r="W229" s="23">
        <f t="shared" si="58"/>
        <v>64091.199999999997</v>
      </c>
      <c r="X229" s="23">
        <v>2144</v>
      </c>
      <c r="Y229" s="23">
        <f t="shared" si="59"/>
        <v>75361.599999999991</v>
      </c>
      <c r="Z229" s="23">
        <v>1424</v>
      </c>
      <c r="AA229" s="23">
        <f t="shared" si="60"/>
        <v>49355.839999999997</v>
      </c>
      <c r="AB229" s="23">
        <v>1383</v>
      </c>
      <c r="AC229" s="23">
        <f t="shared" si="61"/>
        <v>49857.149999999994</v>
      </c>
      <c r="AD229" s="23">
        <v>1543</v>
      </c>
      <c r="AE229" s="23">
        <f t="shared" si="62"/>
        <v>54066.720000000001</v>
      </c>
      <c r="AF229" s="26">
        <v>1935</v>
      </c>
      <c r="AG229" s="26">
        <f t="shared" si="63"/>
        <v>66138.3</v>
      </c>
      <c r="AH229" s="23">
        <v>1297</v>
      </c>
      <c r="AI229" s="23">
        <f t="shared" si="64"/>
        <v>43190.1</v>
      </c>
      <c r="AJ229" s="23">
        <v>1794</v>
      </c>
      <c r="AK229" s="23">
        <f t="shared" si="65"/>
        <v>64494.3</v>
      </c>
      <c r="AL229" s="23">
        <v>1973</v>
      </c>
      <c r="AM229" s="26">
        <f t="shared" si="66"/>
        <v>72349.91</v>
      </c>
      <c r="AN229" s="12">
        <f t="shared" si="67"/>
        <v>21137</v>
      </c>
      <c r="AO229" s="22">
        <f t="shared" si="68"/>
        <v>756160.37000000011</v>
      </c>
    </row>
    <row r="230" spans="1:41" s="31" customFormat="1" x14ac:dyDescent="0.5">
      <c r="A230" s="19">
        <v>226</v>
      </c>
      <c r="B230" s="27" t="s">
        <v>438</v>
      </c>
      <c r="C230" s="28" t="s">
        <v>439</v>
      </c>
      <c r="D230" s="16">
        <v>1048</v>
      </c>
      <c r="E230" s="16">
        <v>6</v>
      </c>
      <c r="F230" s="22">
        <v>636</v>
      </c>
      <c r="G230" s="22">
        <f t="shared" si="69"/>
        <v>19792.32</v>
      </c>
      <c r="H230" s="22"/>
      <c r="I230" s="23">
        <f t="shared" si="70"/>
        <v>0</v>
      </c>
      <c r="J230" s="22"/>
      <c r="K230" s="22">
        <f t="shared" si="71"/>
        <v>0</v>
      </c>
      <c r="L230" s="22"/>
      <c r="M230" s="24">
        <f t="shared" si="72"/>
        <v>0</v>
      </c>
      <c r="N230" s="23"/>
      <c r="O230" s="23">
        <f t="shared" si="73"/>
        <v>0</v>
      </c>
      <c r="P230" s="22">
        <v>1509</v>
      </c>
      <c r="Q230" s="22">
        <f t="shared" si="74"/>
        <v>63378</v>
      </c>
      <c r="R230" s="25">
        <v>1234</v>
      </c>
      <c r="S230" s="25">
        <f t="shared" si="75"/>
        <v>47755.8</v>
      </c>
      <c r="T230" s="25">
        <v>1524</v>
      </c>
      <c r="U230" s="25">
        <f t="shared" si="57"/>
        <v>51358.8</v>
      </c>
      <c r="V230" s="23">
        <v>1379</v>
      </c>
      <c r="W230" s="23">
        <f t="shared" si="58"/>
        <v>45231.199999999997</v>
      </c>
      <c r="X230" s="23">
        <v>967</v>
      </c>
      <c r="Y230" s="23">
        <f t="shared" si="59"/>
        <v>33990.049999999996</v>
      </c>
      <c r="Z230" s="23">
        <v>850</v>
      </c>
      <c r="AA230" s="23">
        <f t="shared" si="60"/>
        <v>29460.999999999996</v>
      </c>
      <c r="AB230" s="23">
        <v>902</v>
      </c>
      <c r="AC230" s="23">
        <f t="shared" si="61"/>
        <v>32517.1</v>
      </c>
      <c r="AD230" s="23">
        <v>910</v>
      </c>
      <c r="AE230" s="23">
        <f t="shared" si="62"/>
        <v>31886.399999999998</v>
      </c>
      <c r="AF230" s="26">
        <v>1189</v>
      </c>
      <c r="AG230" s="26">
        <f t="shared" si="63"/>
        <v>40640.019999999997</v>
      </c>
      <c r="AH230" s="23">
        <v>863</v>
      </c>
      <c r="AI230" s="23">
        <f t="shared" si="64"/>
        <v>28737.899999999998</v>
      </c>
      <c r="AJ230" s="23">
        <v>852</v>
      </c>
      <c r="AK230" s="23">
        <f t="shared" si="65"/>
        <v>30629.4</v>
      </c>
      <c r="AL230" s="23">
        <v>765</v>
      </c>
      <c r="AM230" s="26">
        <f t="shared" si="66"/>
        <v>28052.550000000003</v>
      </c>
      <c r="AN230" s="12">
        <f t="shared" si="67"/>
        <v>13580</v>
      </c>
      <c r="AO230" s="22">
        <f t="shared" si="68"/>
        <v>483430.54000000004</v>
      </c>
    </row>
    <row r="231" spans="1:41" s="31" customFormat="1" x14ac:dyDescent="0.5">
      <c r="A231" s="19">
        <v>227</v>
      </c>
      <c r="B231" s="27" t="s">
        <v>440</v>
      </c>
      <c r="C231" s="28" t="s">
        <v>441</v>
      </c>
      <c r="D231" s="16">
        <v>1057</v>
      </c>
      <c r="E231" s="16">
        <v>6</v>
      </c>
      <c r="F231" s="22">
        <v>402</v>
      </c>
      <c r="G231" s="22">
        <f t="shared" si="69"/>
        <v>12510.24</v>
      </c>
      <c r="H231" s="22"/>
      <c r="I231" s="23">
        <f t="shared" si="70"/>
        <v>0</v>
      </c>
      <c r="J231" s="22"/>
      <c r="K231" s="22">
        <f t="shared" si="71"/>
        <v>0</v>
      </c>
      <c r="L231" s="22"/>
      <c r="M231" s="24">
        <f t="shared" si="72"/>
        <v>0</v>
      </c>
      <c r="N231" s="23"/>
      <c r="O231" s="23">
        <f t="shared" si="73"/>
        <v>0</v>
      </c>
      <c r="P231" s="22">
        <v>307</v>
      </c>
      <c r="Q231" s="22">
        <f t="shared" si="74"/>
        <v>12894</v>
      </c>
      <c r="R231" s="25">
        <v>322</v>
      </c>
      <c r="S231" s="25">
        <f t="shared" si="75"/>
        <v>12461.400000000001</v>
      </c>
      <c r="T231" s="25">
        <v>529</v>
      </c>
      <c r="U231" s="25">
        <f t="shared" si="57"/>
        <v>17827.300000000003</v>
      </c>
      <c r="V231" s="23">
        <v>749</v>
      </c>
      <c r="W231" s="23">
        <f t="shared" si="58"/>
        <v>24567.199999999997</v>
      </c>
      <c r="X231" s="23">
        <v>565</v>
      </c>
      <c r="Y231" s="23">
        <f t="shared" si="59"/>
        <v>19859.75</v>
      </c>
      <c r="Z231" s="23">
        <v>398</v>
      </c>
      <c r="AA231" s="23">
        <f t="shared" si="60"/>
        <v>13794.679999999998</v>
      </c>
      <c r="AB231" s="23">
        <v>333</v>
      </c>
      <c r="AC231" s="23">
        <f t="shared" si="61"/>
        <v>12004.65</v>
      </c>
      <c r="AD231" s="23">
        <v>581</v>
      </c>
      <c r="AE231" s="23">
        <f t="shared" si="62"/>
        <v>20358.239999999998</v>
      </c>
      <c r="AF231" s="26">
        <v>514</v>
      </c>
      <c r="AG231" s="26">
        <f t="shared" si="63"/>
        <v>17568.52</v>
      </c>
      <c r="AH231" s="23">
        <v>705</v>
      </c>
      <c r="AI231" s="23">
        <f t="shared" si="64"/>
        <v>23476.499999999996</v>
      </c>
      <c r="AJ231" s="23">
        <v>540</v>
      </c>
      <c r="AK231" s="23">
        <f t="shared" si="65"/>
        <v>19413</v>
      </c>
      <c r="AL231" s="23">
        <v>693</v>
      </c>
      <c r="AM231" s="26">
        <f t="shared" si="66"/>
        <v>25412.31</v>
      </c>
      <c r="AN231" s="12">
        <f t="shared" si="67"/>
        <v>6638</v>
      </c>
      <c r="AO231" s="22">
        <f t="shared" si="68"/>
        <v>232147.78999999998</v>
      </c>
    </row>
    <row r="232" spans="1:41" s="31" customFormat="1" x14ac:dyDescent="0.5">
      <c r="A232" s="19">
        <v>228</v>
      </c>
      <c r="B232" s="27" t="s">
        <v>442</v>
      </c>
      <c r="C232" s="28" t="s">
        <v>443</v>
      </c>
      <c r="D232" s="16">
        <v>1093</v>
      </c>
      <c r="E232" s="16">
        <v>6</v>
      </c>
      <c r="F232" s="22">
        <v>877</v>
      </c>
      <c r="G232" s="22">
        <f t="shared" si="69"/>
        <v>27292.240000000002</v>
      </c>
      <c r="H232" s="22"/>
      <c r="I232" s="23">
        <f t="shared" si="70"/>
        <v>0</v>
      </c>
      <c r="J232" s="22"/>
      <c r="K232" s="22">
        <f t="shared" si="71"/>
        <v>0</v>
      </c>
      <c r="L232" s="22"/>
      <c r="M232" s="24">
        <f t="shared" si="72"/>
        <v>0</v>
      </c>
      <c r="N232" s="23">
        <v>259</v>
      </c>
      <c r="O232" s="23">
        <f t="shared" si="73"/>
        <v>9906.75</v>
      </c>
      <c r="P232" s="22">
        <v>682</v>
      </c>
      <c r="Q232" s="22">
        <f t="shared" si="74"/>
        <v>28644</v>
      </c>
      <c r="R232" s="25"/>
      <c r="S232" s="25">
        <f t="shared" si="75"/>
        <v>0</v>
      </c>
      <c r="T232" s="25">
        <v>593</v>
      </c>
      <c r="U232" s="25">
        <f t="shared" si="57"/>
        <v>19984.100000000002</v>
      </c>
      <c r="V232" s="23">
        <v>842</v>
      </c>
      <c r="W232" s="23">
        <f t="shared" si="58"/>
        <v>27617.599999999999</v>
      </c>
      <c r="X232" s="23">
        <v>881</v>
      </c>
      <c r="Y232" s="23">
        <f t="shared" si="59"/>
        <v>30967.149999999998</v>
      </c>
      <c r="Z232" s="23">
        <v>945</v>
      </c>
      <c r="AA232" s="23">
        <f t="shared" si="60"/>
        <v>32753.699999999997</v>
      </c>
      <c r="AB232" s="23">
        <v>850</v>
      </c>
      <c r="AC232" s="23">
        <f t="shared" si="61"/>
        <v>30642.499999999996</v>
      </c>
      <c r="AD232" s="23">
        <v>1027</v>
      </c>
      <c r="AE232" s="23">
        <f t="shared" si="62"/>
        <v>35986.080000000002</v>
      </c>
      <c r="AF232" s="26">
        <v>836</v>
      </c>
      <c r="AG232" s="26">
        <f t="shared" si="63"/>
        <v>28574.48</v>
      </c>
      <c r="AH232" s="23">
        <v>775</v>
      </c>
      <c r="AI232" s="23">
        <f t="shared" si="64"/>
        <v>25807.499999999996</v>
      </c>
      <c r="AJ232" s="23">
        <v>1001</v>
      </c>
      <c r="AK232" s="23">
        <f t="shared" si="65"/>
        <v>35985.950000000004</v>
      </c>
      <c r="AL232" s="23">
        <v>929</v>
      </c>
      <c r="AM232" s="26">
        <f t="shared" si="66"/>
        <v>34066.43</v>
      </c>
      <c r="AN232" s="12">
        <f t="shared" si="67"/>
        <v>10497</v>
      </c>
      <c r="AO232" s="22">
        <f t="shared" si="68"/>
        <v>368228.48</v>
      </c>
    </row>
    <row r="233" spans="1:41" s="31" customFormat="1" x14ac:dyDescent="0.5">
      <c r="A233" s="19">
        <v>229</v>
      </c>
      <c r="B233" s="27" t="s">
        <v>444</v>
      </c>
      <c r="C233" s="28" t="s">
        <v>445</v>
      </c>
      <c r="D233" s="16">
        <v>1100</v>
      </c>
      <c r="E233" s="16">
        <v>6</v>
      </c>
      <c r="F233" s="22">
        <v>568</v>
      </c>
      <c r="G233" s="22">
        <f t="shared" si="69"/>
        <v>17676.16</v>
      </c>
      <c r="H233" s="22">
        <v>935</v>
      </c>
      <c r="I233" s="23">
        <f t="shared" si="70"/>
        <v>30303.35</v>
      </c>
      <c r="J233" s="22"/>
      <c r="K233" s="22">
        <f t="shared" si="71"/>
        <v>0</v>
      </c>
      <c r="L233" s="22"/>
      <c r="M233" s="24">
        <f t="shared" si="72"/>
        <v>0</v>
      </c>
      <c r="N233" s="23"/>
      <c r="O233" s="23">
        <f t="shared" si="73"/>
        <v>0</v>
      </c>
      <c r="P233" s="22"/>
      <c r="Q233" s="22">
        <f t="shared" si="74"/>
        <v>0</v>
      </c>
      <c r="R233" s="25">
        <v>602</v>
      </c>
      <c r="S233" s="25">
        <f t="shared" si="75"/>
        <v>23297.4</v>
      </c>
      <c r="T233" s="25">
        <v>882</v>
      </c>
      <c r="U233" s="25">
        <f t="shared" si="57"/>
        <v>29723.4</v>
      </c>
      <c r="V233" s="23">
        <v>1392</v>
      </c>
      <c r="W233" s="23">
        <f t="shared" si="58"/>
        <v>45657.599999999999</v>
      </c>
      <c r="X233" s="23">
        <v>418</v>
      </c>
      <c r="Y233" s="23">
        <f t="shared" si="59"/>
        <v>14692.699999999999</v>
      </c>
      <c r="Z233" s="23">
        <v>684</v>
      </c>
      <c r="AA233" s="23">
        <f t="shared" si="60"/>
        <v>23707.439999999999</v>
      </c>
      <c r="AB233" s="23"/>
      <c r="AC233" s="23">
        <f t="shared" si="61"/>
        <v>0</v>
      </c>
      <c r="AD233" s="23">
        <v>734</v>
      </c>
      <c r="AE233" s="23">
        <f t="shared" si="62"/>
        <v>25719.360000000001</v>
      </c>
      <c r="AF233" s="26">
        <v>507</v>
      </c>
      <c r="AG233" s="26">
        <f t="shared" si="63"/>
        <v>17329.259999999998</v>
      </c>
      <c r="AH233" s="23">
        <v>475</v>
      </c>
      <c r="AI233" s="23">
        <f t="shared" si="64"/>
        <v>15817.499999999998</v>
      </c>
      <c r="AJ233" s="23">
        <v>660</v>
      </c>
      <c r="AK233" s="23">
        <f t="shared" si="65"/>
        <v>23727.000000000004</v>
      </c>
      <c r="AL233" s="23"/>
      <c r="AM233" s="26">
        <f t="shared" si="66"/>
        <v>0</v>
      </c>
      <c r="AN233" s="12">
        <f t="shared" si="67"/>
        <v>7857</v>
      </c>
      <c r="AO233" s="22">
        <f t="shared" si="68"/>
        <v>267651.17000000004</v>
      </c>
    </row>
    <row r="234" spans="1:41" s="31" customFormat="1" x14ac:dyDescent="0.5">
      <c r="A234" s="19">
        <v>230</v>
      </c>
      <c r="B234" s="27" t="s">
        <v>446</v>
      </c>
      <c r="C234" s="28" t="s">
        <v>425</v>
      </c>
      <c r="D234" s="16">
        <v>1106</v>
      </c>
      <c r="E234" s="16">
        <v>6</v>
      </c>
      <c r="F234" s="22"/>
      <c r="G234" s="22">
        <f t="shared" si="69"/>
        <v>0</v>
      </c>
      <c r="H234" s="22"/>
      <c r="I234" s="23">
        <f t="shared" si="70"/>
        <v>0</v>
      </c>
      <c r="J234" s="22"/>
      <c r="K234" s="22">
        <f t="shared" si="71"/>
        <v>0</v>
      </c>
      <c r="L234" s="22"/>
      <c r="M234" s="24">
        <f t="shared" si="72"/>
        <v>0</v>
      </c>
      <c r="N234" s="23"/>
      <c r="O234" s="23">
        <f t="shared" si="73"/>
        <v>0</v>
      </c>
      <c r="P234" s="22"/>
      <c r="Q234" s="22">
        <f t="shared" si="74"/>
        <v>0</v>
      </c>
      <c r="R234" s="25">
        <v>1434</v>
      </c>
      <c r="S234" s="25">
        <f t="shared" si="75"/>
        <v>55495.8</v>
      </c>
      <c r="T234" s="25">
        <v>1144</v>
      </c>
      <c r="U234" s="25">
        <f t="shared" si="57"/>
        <v>38552.800000000003</v>
      </c>
      <c r="V234" s="23"/>
      <c r="W234" s="23">
        <f t="shared" si="58"/>
        <v>0</v>
      </c>
      <c r="X234" s="23"/>
      <c r="Y234" s="23">
        <f t="shared" si="59"/>
        <v>0</v>
      </c>
      <c r="Z234" s="23"/>
      <c r="AA234" s="23">
        <f t="shared" si="60"/>
        <v>0</v>
      </c>
      <c r="AB234" s="23"/>
      <c r="AC234" s="23">
        <f t="shared" si="61"/>
        <v>0</v>
      </c>
      <c r="AD234" s="23"/>
      <c r="AE234" s="23">
        <f t="shared" si="62"/>
        <v>0</v>
      </c>
      <c r="AF234" s="26"/>
      <c r="AG234" s="26">
        <f t="shared" si="63"/>
        <v>0</v>
      </c>
      <c r="AH234" s="23"/>
      <c r="AI234" s="23">
        <f t="shared" si="64"/>
        <v>0</v>
      </c>
      <c r="AJ234" s="23"/>
      <c r="AK234" s="23">
        <f t="shared" si="65"/>
        <v>0</v>
      </c>
      <c r="AL234" s="23"/>
      <c r="AM234" s="26">
        <f t="shared" si="66"/>
        <v>0</v>
      </c>
      <c r="AN234" s="12">
        <f t="shared" si="67"/>
        <v>2578</v>
      </c>
      <c r="AO234" s="22">
        <f t="shared" si="68"/>
        <v>94048.6</v>
      </c>
    </row>
    <row r="235" spans="1:41" s="31" customFormat="1" x14ac:dyDescent="0.5">
      <c r="A235" s="19">
        <v>231</v>
      </c>
      <c r="B235" s="27" t="s">
        <v>447</v>
      </c>
      <c r="C235" s="28" t="s">
        <v>246</v>
      </c>
      <c r="D235" s="16">
        <v>126</v>
      </c>
      <c r="E235" s="16">
        <v>7</v>
      </c>
      <c r="F235" s="22"/>
      <c r="G235" s="22">
        <f t="shared" si="69"/>
        <v>0</v>
      </c>
      <c r="H235" s="22"/>
      <c r="I235" s="23">
        <f t="shared" si="70"/>
        <v>0</v>
      </c>
      <c r="J235" s="22"/>
      <c r="K235" s="22">
        <f t="shared" si="71"/>
        <v>0</v>
      </c>
      <c r="L235" s="22"/>
      <c r="M235" s="24">
        <f t="shared" si="72"/>
        <v>0</v>
      </c>
      <c r="N235" s="23"/>
      <c r="O235" s="23">
        <f t="shared" si="73"/>
        <v>0</v>
      </c>
      <c r="P235" s="22"/>
      <c r="Q235" s="22">
        <f t="shared" si="74"/>
        <v>0</v>
      </c>
      <c r="R235" s="25"/>
      <c r="S235" s="25">
        <f t="shared" si="75"/>
        <v>0</v>
      </c>
      <c r="T235" s="25"/>
      <c r="U235" s="25">
        <f t="shared" si="57"/>
        <v>0</v>
      </c>
      <c r="V235" s="23"/>
      <c r="W235" s="23">
        <f t="shared" si="58"/>
        <v>0</v>
      </c>
      <c r="X235" s="23"/>
      <c r="Y235" s="23">
        <f t="shared" si="59"/>
        <v>0</v>
      </c>
      <c r="Z235" s="23"/>
      <c r="AA235" s="23">
        <f t="shared" si="60"/>
        <v>0</v>
      </c>
      <c r="AB235" s="23"/>
      <c r="AC235" s="23">
        <f t="shared" si="61"/>
        <v>0</v>
      </c>
      <c r="AD235" s="23"/>
      <c r="AE235" s="23">
        <f t="shared" si="62"/>
        <v>0</v>
      </c>
      <c r="AF235" s="26"/>
      <c r="AG235" s="26">
        <f t="shared" si="63"/>
        <v>0</v>
      </c>
      <c r="AH235" s="23"/>
      <c r="AI235" s="23">
        <f t="shared" si="64"/>
        <v>0</v>
      </c>
      <c r="AJ235" s="23"/>
      <c r="AK235" s="23">
        <f t="shared" si="65"/>
        <v>0</v>
      </c>
      <c r="AL235" s="23"/>
      <c r="AM235" s="26">
        <f t="shared" si="66"/>
        <v>0</v>
      </c>
      <c r="AN235" s="12">
        <f t="shared" si="67"/>
        <v>0</v>
      </c>
      <c r="AO235" s="22">
        <f t="shared" si="68"/>
        <v>0</v>
      </c>
    </row>
    <row r="236" spans="1:41" s="31" customFormat="1" x14ac:dyDescent="0.5">
      <c r="A236" s="19">
        <v>232</v>
      </c>
      <c r="B236" s="27" t="s">
        <v>448</v>
      </c>
      <c r="C236" s="28" t="s">
        <v>449</v>
      </c>
      <c r="D236" s="16">
        <v>147</v>
      </c>
      <c r="E236" s="16">
        <v>7</v>
      </c>
      <c r="F236" s="22"/>
      <c r="G236" s="22">
        <f t="shared" si="69"/>
        <v>0</v>
      </c>
      <c r="H236" s="22"/>
      <c r="I236" s="23">
        <f t="shared" si="70"/>
        <v>0</v>
      </c>
      <c r="J236" s="22"/>
      <c r="K236" s="22">
        <f t="shared" si="71"/>
        <v>0</v>
      </c>
      <c r="L236" s="29"/>
      <c r="M236" s="24">
        <f t="shared" si="72"/>
        <v>0</v>
      </c>
      <c r="N236" s="30"/>
      <c r="O236" s="23">
        <f t="shared" si="73"/>
        <v>0</v>
      </c>
      <c r="P236" s="22"/>
      <c r="Q236" s="22">
        <f t="shared" si="74"/>
        <v>0</v>
      </c>
      <c r="R236" s="25"/>
      <c r="S236" s="25">
        <f t="shared" si="75"/>
        <v>0</v>
      </c>
      <c r="T236" s="25"/>
      <c r="U236" s="25">
        <f t="shared" si="57"/>
        <v>0</v>
      </c>
      <c r="V236" s="23"/>
      <c r="W236" s="23">
        <f t="shared" si="58"/>
        <v>0</v>
      </c>
      <c r="X236" s="23"/>
      <c r="Y236" s="23">
        <f t="shared" si="59"/>
        <v>0</v>
      </c>
      <c r="Z236" s="23"/>
      <c r="AA236" s="23">
        <f t="shared" si="60"/>
        <v>0</v>
      </c>
      <c r="AB236" s="23"/>
      <c r="AC236" s="23">
        <f t="shared" si="61"/>
        <v>0</v>
      </c>
      <c r="AD236" s="23"/>
      <c r="AE236" s="23">
        <f t="shared" si="62"/>
        <v>0</v>
      </c>
      <c r="AF236" s="26"/>
      <c r="AG236" s="26">
        <f t="shared" si="63"/>
        <v>0</v>
      </c>
      <c r="AH236" s="23"/>
      <c r="AI236" s="23">
        <f t="shared" si="64"/>
        <v>0</v>
      </c>
      <c r="AJ236" s="23"/>
      <c r="AK236" s="23">
        <f t="shared" si="65"/>
        <v>0</v>
      </c>
      <c r="AL236" s="23"/>
      <c r="AM236" s="26">
        <f t="shared" si="66"/>
        <v>0</v>
      </c>
      <c r="AN236" s="12">
        <f t="shared" si="67"/>
        <v>0</v>
      </c>
      <c r="AO236" s="22">
        <f t="shared" si="68"/>
        <v>0</v>
      </c>
    </row>
    <row r="237" spans="1:41" s="31" customFormat="1" x14ac:dyDescent="0.5">
      <c r="A237" s="19">
        <v>233</v>
      </c>
      <c r="B237" s="20" t="s">
        <v>450</v>
      </c>
      <c r="C237" s="21" t="s">
        <v>451</v>
      </c>
      <c r="D237" s="16">
        <v>154</v>
      </c>
      <c r="E237" s="16">
        <v>7</v>
      </c>
      <c r="F237" s="22">
        <v>195</v>
      </c>
      <c r="G237" s="22">
        <f t="shared" si="69"/>
        <v>6068.4000000000005</v>
      </c>
      <c r="H237" s="22"/>
      <c r="I237" s="23">
        <f t="shared" si="70"/>
        <v>0</v>
      </c>
      <c r="J237" s="22">
        <v>80</v>
      </c>
      <c r="K237" s="22">
        <f t="shared" si="71"/>
        <v>2640.7999999999997</v>
      </c>
      <c r="L237" s="22">
        <v>73</v>
      </c>
      <c r="M237" s="24">
        <f t="shared" si="72"/>
        <v>2563.7599999999998</v>
      </c>
      <c r="N237" s="23">
        <v>168</v>
      </c>
      <c r="O237" s="23">
        <f t="shared" si="73"/>
        <v>6426</v>
      </c>
      <c r="P237" s="22">
        <v>183</v>
      </c>
      <c r="Q237" s="22">
        <f t="shared" si="74"/>
        <v>7686</v>
      </c>
      <c r="R237" s="25"/>
      <c r="S237" s="25">
        <f t="shared" si="75"/>
        <v>0</v>
      </c>
      <c r="T237" s="25">
        <v>230</v>
      </c>
      <c r="U237" s="25">
        <f t="shared" si="57"/>
        <v>7751.0000000000009</v>
      </c>
      <c r="V237" s="23"/>
      <c r="W237" s="23">
        <f t="shared" si="58"/>
        <v>0</v>
      </c>
      <c r="X237" s="23">
        <v>126</v>
      </c>
      <c r="Y237" s="23">
        <f t="shared" si="59"/>
        <v>4428.8999999999996</v>
      </c>
      <c r="Z237" s="23"/>
      <c r="AA237" s="23">
        <f t="shared" si="60"/>
        <v>0</v>
      </c>
      <c r="AB237" s="23">
        <v>71</v>
      </c>
      <c r="AC237" s="23">
        <f t="shared" si="61"/>
        <v>2559.5499999999997</v>
      </c>
      <c r="AD237" s="23">
        <v>258</v>
      </c>
      <c r="AE237" s="23">
        <f t="shared" si="62"/>
        <v>9040.32</v>
      </c>
      <c r="AF237" s="26">
        <v>276</v>
      </c>
      <c r="AG237" s="26">
        <f t="shared" si="63"/>
        <v>9433.68</v>
      </c>
      <c r="AH237" s="23">
        <v>243</v>
      </c>
      <c r="AI237" s="23">
        <f t="shared" si="64"/>
        <v>8091.9</v>
      </c>
      <c r="AJ237" s="23">
        <v>419</v>
      </c>
      <c r="AK237" s="23">
        <f t="shared" si="65"/>
        <v>15063.050000000001</v>
      </c>
      <c r="AL237" s="26">
        <v>281</v>
      </c>
      <c r="AM237" s="26">
        <f t="shared" si="66"/>
        <v>10304.27</v>
      </c>
      <c r="AN237" s="12">
        <f t="shared" si="67"/>
        <v>2603</v>
      </c>
      <c r="AO237" s="22">
        <f t="shared" si="68"/>
        <v>92057.63</v>
      </c>
    </row>
    <row r="238" spans="1:41" s="31" customFormat="1" x14ac:dyDescent="0.5">
      <c r="A238" s="19">
        <v>234</v>
      </c>
      <c r="B238" s="27" t="s">
        <v>452</v>
      </c>
      <c r="C238" s="28" t="s">
        <v>453</v>
      </c>
      <c r="D238" s="16">
        <v>237</v>
      </c>
      <c r="E238" s="16">
        <v>7</v>
      </c>
      <c r="F238" s="22"/>
      <c r="G238" s="22">
        <f t="shared" si="69"/>
        <v>0</v>
      </c>
      <c r="H238" s="22"/>
      <c r="I238" s="23">
        <f t="shared" si="70"/>
        <v>0</v>
      </c>
      <c r="J238" s="22"/>
      <c r="K238" s="22">
        <f t="shared" si="71"/>
        <v>0</v>
      </c>
      <c r="L238" s="22"/>
      <c r="M238" s="24">
        <f t="shared" si="72"/>
        <v>0</v>
      </c>
      <c r="N238" s="23"/>
      <c r="O238" s="23">
        <f t="shared" si="73"/>
        <v>0</v>
      </c>
      <c r="P238" s="22"/>
      <c r="Q238" s="22">
        <f t="shared" si="74"/>
        <v>0</v>
      </c>
      <c r="R238" s="25"/>
      <c r="S238" s="25">
        <f t="shared" si="75"/>
        <v>0</v>
      </c>
      <c r="T238" s="25"/>
      <c r="U238" s="25">
        <f t="shared" si="57"/>
        <v>0</v>
      </c>
      <c r="V238" s="23"/>
      <c r="W238" s="23">
        <f t="shared" si="58"/>
        <v>0</v>
      </c>
      <c r="X238" s="23"/>
      <c r="Y238" s="23">
        <f t="shared" si="59"/>
        <v>0</v>
      </c>
      <c r="Z238" s="23"/>
      <c r="AA238" s="23">
        <f t="shared" si="60"/>
        <v>0</v>
      </c>
      <c r="AB238" s="23"/>
      <c r="AC238" s="23">
        <f t="shared" si="61"/>
        <v>0</v>
      </c>
      <c r="AD238" s="23"/>
      <c r="AE238" s="23">
        <f t="shared" si="62"/>
        <v>0</v>
      </c>
      <c r="AF238" s="26"/>
      <c r="AG238" s="26">
        <f t="shared" si="63"/>
        <v>0</v>
      </c>
      <c r="AH238" s="23"/>
      <c r="AI238" s="23">
        <f t="shared" si="64"/>
        <v>0</v>
      </c>
      <c r="AJ238" s="23"/>
      <c r="AK238" s="23">
        <f t="shared" si="65"/>
        <v>0</v>
      </c>
      <c r="AL238" s="23"/>
      <c r="AM238" s="26">
        <f t="shared" si="66"/>
        <v>0</v>
      </c>
      <c r="AN238" s="12">
        <f t="shared" si="67"/>
        <v>0</v>
      </c>
      <c r="AO238" s="22">
        <f t="shared" si="68"/>
        <v>0</v>
      </c>
    </row>
    <row r="239" spans="1:41" s="31" customFormat="1" x14ac:dyDescent="0.5">
      <c r="A239" s="19">
        <v>235</v>
      </c>
      <c r="B239" s="27" t="s">
        <v>454</v>
      </c>
      <c r="C239" s="28" t="s">
        <v>455</v>
      </c>
      <c r="D239" s="16">
        <v>370</v>
      </c>
      <c r="E239" s="16">
        <v>7</v>
      </c>
      <c r="F239" s="22"/>
      <c r="G239" s="22">
        <f t="shared" si="69"/>
        <v>0</v>
      </c>
      <c r="H239" s="22"/>
      <c r="I239" s="23">
        <f t="shared" si="70"/>
        <v>0</v>
      </c>
      <c r="J239" s="22"/>
      <c r="K239" s="22">
        <f t="shared" si="71"/>
        <v>0</v>
      </c>
      <c r="L239" s="22"/>
      <c r="M239" s="24">
        <f t="shared" si="72"/>
        <v>0</v>
      </c>
      <c r="N239" s="23"/>
      <c r="O239" s="23">
        <f t="shared" si="73"/>
        <v>0</v>
      </c>
      <c r="P239" s="22"/>
      <c r="Q239" s="22">
        <f t="shared" si="74"/>
        <v>0</v>
      </c>
      <c r="R239" s="25"/>
      <c r="S239" s="25">
        <f t="shared" si="75"/>
        <v>0</v>
      </c>
      <c r="T239" s="25"/>
      <c r="U239" s="25">
        <f t="shared" si="57"/>
        <v>0</v>
      </c>
      <c r="V239" s="23"/>
      <c r="W239" s="23">
        <f t="shared" si="58"/>
        <v>0</v>
      </c>
      <c r="X239" s="23"/>
      <c r="Y239" s="23">
        <f t="shared" si="59"/>
        <v>0</v>
      </c>
      <c r="Z239" s="23"/>
      <c r="AA239" s="23">
        <f t="shared" si="60"/>
        <v>0</v>
      </c>
      <c r="AB239" s="23"/>
      <c r="AC239" s="23">
        <f t="shared" si="61"/>
        <v>0</v>
      </c>
      <c r="AD239" s="23"/>
      <c r="AE239" s="23">
        <f t="shared" si="62"/>
        <v>0</v>
      </c>
      <c r="AF239" s="26"/>
      <c r="AG239" s="26">
        <f t="shared" si="63"/>
        <v>0</v>
      </c>
      <c r="AH239" s="23"/>
      <c r="AI239" s="23">
        <f t="shared" si="64"/>
        <v>0</v>
      </c>
      <c r="AJ239" s="23"/>
      <c r="AK239" s="23">
        <f t="shared" si="65"/>
        <v>0</v>
      </c>
      <c r="AL239" s="23"/>
      <c r="AM239" s="26">
        <f t="shared" si="66"/>
        <v>0</v>
      </c>
      <c r="AN239" s="12">
        <f t="shared" si="67"/>
        <v>0</v>
      </c>
      <c r="AO239" s="22">
        <f t="shared" si="68"/>
        <v>0</v>
      </c>
    </row>
    <row r="240" spans="1:41" x14ac:dyDescent="0.5">
      <c r="A240" s="19">
        <v>236</v>
      </c>
      <c r="B240" s="27" t="s">
        <v>456</v>
      </c>
      <c r="C240" s="28" t="s">
        <v>457</v>
      </c>
      <c r="D240" s="16">
        <v>451</v>
      </c>
      <c r="E240" s="16">
        <v>7</v>
      </c>
      <c r="F240" s="22">
        <v>239</v>
      </c>
      <c r="G240" s="22">
        <f t="shared" si="69"/>
        <v>7437.68</v>
      </c>
      <c r="H240" s="22">
        <v>149</v>
      </c>
      <c r="I240" s="23">
        <f t="shared" si="70"/>
        <v>4829.0899999999992</v>
      </c>
      <c r="J240" s="22"/>
      <c r="K240" s="22">
        <f t="shared" si="71"/>
        <v>0</v>
      </c>
      <c r="L240" s="22"/>
      <c r="M240" s="24">
        <f t="shared" si="72"/>
        <v>0</v>
      </c>
      <c r="N240" s="23"/>
      <c r="O240" s="23">
        <f t="shared" si="73"/>
        <v>0</v>
      </c>
      <c r="P240" s="22"/>
      <c r="Q240" s="22">
        <f t="shared" si="74"/>
        <v>0</v>
      </c>
      <c r="R240" s="25">
        <v>225</v>
      </c>
      <c r="S240" s="25">
        <f t="shared" si="75"/>
        <v>8707.5</v>
      </c>
      <c r="T240" s="25"/>
      <c r="U240" s="25">
        <f t="shared" si="57"/>
        <v>0</v>
      </c>
      <c r="V240" s="23"/>
      <c r="W240" s="23">
        <f t="shared" si="58"/>
        <v>0</v>
      </c>
      <c r="X240" s="23"/>
      <c r="Y240" s="23">
        <f t="shared" si="59"/>
        <v>0</v>
      </c>
      <c r="Z240" s="23"/>
      <c r="AA240" s="23">
        <f t="shared" si="60"/>
        <v>0</v>
      </c>
      <c r="AB240" s="23"/>
      <c r="AC240" s="23">
        <f t="shared" si="61"/>
        <v>0</v>
      </c>
      <c r="AD240" s="23"/>
      <c r="AE240" s="23">
        <f t="shared" si="62"/>
        <v>0</v>
      </c>
      <c r="AF240" s="26"/>
      <c r="AG240" s="26">
        <f t="shared" si="63"/>
        <v>0</v>
      </c>
      <c r="AH240" s="23"/>
      <c r="AI240" s="23">
        <f t="shared" si="64"/>
        <v>0</v>
      </c>
      <c r="AJ240" s="23"/>
      <c r="AK240" s="23">
        <f t="shared" si="65"/>
        <v>0</v>
      </c>
      <c r="AL240" s="23"/>
      <c r="AM240" s="26">
        <f t="shared" si="66"/>
        <v>0</v>
      </c>
      <c r="AN240" s="12">
        <f t="shared" si="67"/>
        <v>613</v>
      </c>
      <c r="AO240" s="22">
        <f t="shared" si="68"/>
        <v>20974.27</v>
      </c>
    </row>
    <row r="241" spans="1:41" s="31" customFormat="1" x14ac:dyDescent="0.5">
      <c r="A241" s="19">
        <v>237</v>
      </c>
      <c r="B241" s="20" t="s">
        <v>458</v>
      </c>
      <c r="C241" s="21" t="s">
        <v>459</v>
      </c>
      <c r="D241" s="16">
        <v>485</v>
      </c>
      <c r="E241" s="16">
        <v>7</v>
      </c>
      <c r="F241" s="22">
        <v>868</v>
      </c>
      <c r="G241" s="22">
        <f t="shared" si="69"/>
        <v>27012.16</v>
      </c>
      <c r="H241" s="22"/>
      <c r="I241" s="23">
        <f t="shared" si="70"/>
        <v>0</v>
      </c>
      <c r="J241" s="22"/>
      <c r="K241" s="22">
        <f t="shared" si="71"/>
        <v>0</v>
      </c>
      <c r="L241" s="22"/>
      <c r="M241" s="24">
        <f t="shared" si="72"/>
        <v>0</v>
      </c>
      <c r="N241" s="23">
        <v>575</v>
      </c>
      <c r="O241" s="23">
        <f t="shared" si="73"/>
        <v>21993.75</v>
      </c>
      <c r="P241" s="22">
        <v>496</v>
      </c>
      <c r="Q241" s="22">
        <f t="shared" si="74"/>
        <v>20832</v>
      </c>
      <c r="R241" s="25">
        <v>152</v>
      </c>
      <c r="S241" s="25">
        <f t="shared" si="75"/>
        <v>5882.4000000000005</v>
      </c>
      <c r="T241" s="25"/>
      <c r="U241" s="25">
        <f t="shared" si="57"/>
        <v>0</v>
      </c>
      <c r="V241" s="23"/>
      <c r="W241" s="23">
        <f t="shared" si="58"/>
        <v>0</v>
      </c>
      <c r="X241" s="23">
        <v>679</v>
      </c>
      <c r="Y241" s="23">
        <f t="shared" si="59"/>
        <v>23866.85</v>
      </c>
      <c r="Z241" s="23">
        <v>547</v>
      </c>
      <c r="AA241" s="23">
        <f t="shared" si="60"/>
        <v>18959.019999999997</v>
      </c>
      <c r="AB241" s="23">
        <v>585</v>
      </c>
      <c r="AC241" s="23">
        <f t="shared" si="61"/>
        <v>21089.25</v>
      </c>
      <c r="AD241" s="23">
        <v>654</v>
      </c>
      <c r="AE241" s="23">
        <f t="shared" si="62"/>
        <v>22916.16</v>
      </c>
      <c r="AF241" s="26"/>
      <c r="AG241" s="26">
        <f t="shared" si="63"/>
        <v>0</v>
      </c>
      <c r="AH241" s="23">
        <v>820</v>
      </c>
      <c r="AI241" s="23">
        <f t="shared" si="64"/>
        <v>27305.999999999996</v>
      </c>
      <c r="AJ241" s="23">
        <v>730</v>
      </c>
      <c r="AK241" s="23">
        <f t="shared" si="65"/>
        <v>26243.500000000004</v>
      </c>
      <c r="AL241" s="26">
        <v>659</v>
      </c>
      <c r="AM241" s="26">
        <f t="shared" si="66"/>
        <v>24165.530000000002</v>
      </c>
      <c r="AN241" s="12">
        <f t="shared" si="67"/>
        <v>6765</v>
      </c>
      <c r="AO241" s="22">
        <f t="shared" si="68"/>
        <v>240266.62</v>
      </c>
    </row>
    <row r="242" spans="1:41" x14ac:dyDescent="0.5">
      <c r="A242" s="19">
        <v>238</v>
      </c>
      <c r="B242" s="27" t="s">
        <v>460</v>
      </c>
      <c r="C242" s="28" t="s">
        <v>461</v>
      </c>
      <c r="D242" s="16">
        <v>505</v>
      </c>
      <c r="E242" s="16">
        <v>7</v>
      </c>
      <c r="F242" s="22"/>
      <c r="G242" s="22">
        <f t="shared" si="69"/>
        <v>0</v>
      </c>
      <c r="H242" s="22"/>
      <c r="I242" s="23">
        <f t="shared" si="70"/>
        <v>0</v>
      </c>
      <c r="J242" s="22">
        <v>708</v>
      </c>
      <c r="K242" s="22">
        <f t="shared" si="71"/>
        <v>23371.079999999998</v>
      </c>
      <c r="L242" s="22"/>
      <c r="M242" s="24">
        <f t="shared" si="72"/>
        <v>0</v>
      </c>
      <c r="N242" s="23"/>
      <c r="O242" s="23">
        <f t="shared" si="73"/>
        <v>0</v>
      </c>
      <c r="P242" s="22"/>
      <c r="Q242" s="22">
        <f t="shared" si="74"/>
        <v>0</v>
      </c>
      <c r="R242" s="25"/>
      <c r="S242" s="25">
        <f t="shared" si="75"/>
        <v>0</v>
      </c>
      <c r="T242" s="25"/>
      <c r="U242" s="25">
        <f t="shared" si="57"/>
        <v>0</v>
      </c>
      <c r="V242" s="23"/>
      <c r="W242" s="23">
        <f t="shared" si="58"/>
        <v>0</v>
      </c>
      <c r="X242" s="23"/>
      <c r="Y242" s="23">
        <f t="shared" si="59"/>
        <v>0</v>
      </c>
      <c r="Z242" s="23"/>
      <c r="AA242" s="23">
        <f t="shared" si="60"/>
        <v>0</v>
      </c>
      <c r="AB242" s="23"/>
      <c r="AC242" s="23">
        <f t="shared" si="61"/>
        <v>0</v>
      </c>
      <c r="AD242" s="23"/>
      <c r="AE242" s="23">
        <f t="shared" si="62"/>
        <v>0</v>
      </c>
      <c r="AF242" s="26"/>
      <c r="AG242" s="26">
        <f t="shared" si="63"/>
        <v>0</v>
      </c>
      <c r="AH242" s="23"/>
      <c r="AI242" s="23">
        <f t="shared" si="64"/>
        <v>0</v>
      </c>
      <c r="AJ242" s="23"/>
      <c r="AK242" s="23">
        <f t="shared" si="65"/>
        <v>0</v>
      </c>
      <c r="AL242" s="23"/>
      <c r="AM242" s="26">
        <f t="shared" si="66"/>
        <v>0</v>
      </c>
      <c r="AN242" s="12">
        <f t="shared" si="67"/>
        <v>708</v>
      </c>
      <c r="AO242" s="22">
        <f t="shared" si="68"/>
        <v>23371.079999999998</v>
      </c>
    </row>
    <row r="243" spans="1:41" x14ac:dyDescent="0.5">
      <c r="A243" s="19">
        <v>239</v>
      </c>
      <c r="B243" s="20" t="s">
        <v>462</v>
      </c>
      <c r="C243" s="21" t="s">
        <v>463</v>
      </c>
      <c r="D243" s="16">
        <v>506</v>
      </c>
      <c r="E243" s="16">
        <v>7</v>
      </c>
      <c r="F243" s="22"/>
      <c r="G243" s="22">
        <f t="shared" si="69"/>
        <v>0</v>
      </c>
      <c r="H243" s="22"/>
      <c r="I243" s="23">
        <f t="shared" si="70"/>
        <v>0</v>
      </c>
      <c r="J243" s="22"/>
      <c r="K243" s="22">
        <f t="shared" si="71"/>
        <v>0</v>
      </c>
      <c r="L243" s="29"/>
      <c r="M243" s="24">
        <f t="shared" si="72"/>
        <v>0</v>
      </c>
      <c r="N243" s="30">
        <v>169</v>
      </c>
      <c r="O243" s="23">
        <f t="shared" si="73"/>
        <v>6464.25</v>
      </c>
      <c r="P243" s="22">
        <v>499</v>
      </c>
      <c r="Q243" s="22">
        <f t="shared" si="74"/>
        <v>20958</v>
      </c>
      <c r="R243" s="25">
        <v>562</v>
      </c>
      <c r="S243" s="25">
        <f t="shared" si="75"/>
        <v>21749.4</v>
      </c>
      <c r="T243" s="25">
        <v>673</v>
      </c>
      <c r="U243" s="25">
        <f t="shared" si="57"/>
        <v>22680.100000000002</v>
      </c>
      <c r="V243" s="23">
        <v>597</v>
      </c>
      <c r="W243" s="23">
        <f t="shared" si="58"/>
        <v>19581.599999999999</v>
      </c>
      <c r="X243" s="23">
        <v>324</v>
      </c>
      <c r="Y243" s="23">
        <f t="shared" si="59"/>
        <v>11388.6</v>
      </c>
      <c r="Z243" s="23">
        <v>290</v>
      </c>
      <c r="AA243" s="23">
        <f t="shared" si="60"/>
        <v>10051.4</v>
      </c>
      <c r="AB243" s="23"/>
      <c r="AC243" s="23">
        <f t="shared" si="61"/>
        <v>0</v>
      </c>
      <c r="AD243" s="23">
        <v>273</v>
      </c>
      <c r="AE243" s="23">
        <f t="shared" si="62"/>
        <v>9565.92</v>
      </c>
      <c r="AF243" s="26">
        <v>358</v>
      </c>
      <c r="AG243" s="26">
        <f t="shared" si="63"/>
        <v>12236.44</v>
      </c>
      <c r="AH243" s="23">
        <v>302</v>
      </c>
      <c r="AI243" s="23">
        <f t="shared" si="64"/>
        <v>10056.599999999999</v>
      </c>
      <c r="AJ243" s="23">
        <v>322</v>
      </c>
      <c r="AK243" s="23">
        <f t="shared" si="65"/>
        <v>11575.900000000001</v>
      </c>
      <c r="AL243" s="26">
        <v>274</v>
      </c>
      <c r="AM243" s="26">
        <f t="shared" si="66"/>
        <v>10047.58</v>
      </c>
      <c r="AN243" s="12">
        <f t="shared" si="67"/>
        <v>4643</v>
      </c>
      <c r="AO243" s="22">
        <f t="shared" si="68"/>
        <v>166355.78999999998</v>
      </c>
    </row>
    <row r="244" spans="1:41" x14ac:dyDescent="0.5">
      <c r="A244" s="19">
        <v>240</v>
      </c>
      <c r="B244" s="27" t="s">
        <v>464</v>
      </c>
      <c r="C244" s="28" t="s">
        <v>461</v>
      </c>
      <c r="D244" s="16">
        <v>546</v>
      </c>
      <c r="E244" s="16">
        <v>7</v>
      </c>
      <c r="F244" s="22">
        <v>184</v>
      </c>
      <c r="G244" s="22">
        <f t="shared" si="69"/>
        <v>5726.08</v>
      </c>
      <c r="H244" s="22">
        <v>154</v>
      </c>
      <c r="I244" s="23">
        <f t="shared" si="70"/>
        <v>4991.1399999999994</v>
      </c>
      <c r="J244" s="22">
        <v>141</v>
      </c>
      <c r="K244" s="22">
        <f t="shared" si="71"/>
        <v>4654.41</v>
      </c>
      <c r="L244" s="22"/>
      <c r="M244" s="24">
        <f t="shared" si="72"/>
        <v>0</v>
      </c>
      <c r="N244" s="23"/>
      <c r="O244" s="23">
        <f t="shared" si="73"/>
        <v>0</v>
      </c>
      <c r="P244" s="22"/>
      <c r="Q244" s="22">
        <f t="shared" si="74"/>
        <v>0</v>
      </c>
      <c r="R244" s="25">
        <v>65</v>
      </c>
      <c r="S244" s="25">
        <f t="shared" si="75"/>
        <v>2515.5</v>
      </c>
      <c r="T244" s="25"/>
      <c r="U244" s="25">
        <f t="shared" si="57"/>
        <v>0</v>
      </c>
      <c r="V244" s="23"/>
      <c r="W244" s="23">
        <f t="shared" si="58"/>
        <v>0</v>
      </c>
      <c r="X244" s="23">
        <v>222</v>
      </c>
      <c r="Y244" s="23">
        <f t="shared" si="59"/>
        <v>7803.2999999999993</v>
      </c>
      <c r="Z244" s="23">
        <v>257</v>
      </c>
      <c r="AA244" s="23">
        <f t="shared" si="60"/>
        <v>8907.619999999999</v>
      </c>
      <c r="AB244" s="23"/>
      <c r="AC244" s="23">
        <f t="shared" si="61"/>
        <v>0</v>
      </c>
      <c r="AD244" s="23"/>
      <c r="AE244" s="23">
        <f t="shared" si="62"/>
        <v>0</v>
      </c>
      <c r="AF244" s="26">
        <v>181</v>
      </c>
      <c r="AG244" s="26">
        <f t="shared" si="63"/>
        <v>6186.58</v>
      </c>
      <c r="AH244" s="23"/>
      <c r="AI244" s="23">
        <f t="shared" si="64"/>
        <v>0</v>
      </c>
      <c r="AJ244" s="23"/>
      <c r="AK244" s="23">
        <f t="shared" si="65"/>
        <v>0</v>
      </c>
      <c r="AL244" s="23"/>
      <c r="AM244" s="26">
        <f t="shared" si="66"/>
        <v>0</v>
      </c>
      <c r="AN244" s="12">
        <f t="shared" si="67"/>
        <v>1204</v>
      </c>
      <c r="AO244" s="22">
        <f t="shared" si="68"/>
        <v>40784.629999999997</v>
      </c>
    </row>
    <row r="245" spans="1:41" x14ac:dyDescent="0.5">
      <c r="A245" s="19">
        <v>241</v>
      </c>
      <c r="B245" s="20" t="s">
        <v>465</v>
      </c>
      <c r="C245" s="21" t="s">
        <v>466</v>
      </c>
      <c r="D245" s="16">
        <v>548</v>
      </c>
      <c r="E245" s="16">
        <v>7</v>
      </c>
      <c r="F245" s="22">
        <v>216</v>
      </c>
      <c r="G245" s="22">
        <f t="shared" si="69"/>
        <v>6721.92</v>
      </c>
      <c r="H245" s="22"/>
      <c r="I245" s="23">
        <f t="shared" si="70"/>
        <v>0</v>
      </c>
      <c r="J245" s="22"/>
      <c r="K245" s="22">
        <f t="shared" si="71"/>
        <v>0</v>
      </c>
      <c r="L245" s="22"/>
      <c r="M245" s="24">
        <f t="shared" si="72"/>
        <v>0</v>
      </c>
      <c r="N245" s="23">
        <v>181</v>
      </c>
      <c r="O245" s="23">
        <f t="shared" si="73"/>
        <v>6923.25</v>
      </c>
      <c r="P245" s="22"/>
      <c r="Q245" s="22">
        <f t="shared" si="74"/>
        <v>0</v>
      </c>
      <c r="R245" s="25">
        <v>184</v>
      </c>
      <c r="S245" s="25">
        <f t="shared" si="75"/>
        <v>7120.8</v>
      </c>
      <c r="T245" s="25">
        <v>303</v>
      </c>
      <c r="U245" s="25">
        <f t="shared" si="57"/>
        <v>10211.1</v>
      </c>
      <c r="V245" s="23"/>
      <c r="W245" s="23">
        <f t="shared" si="58"/>
        <v>0</v>
      </c>
      <c r="X245" s="23"/>
      <c r="Y245" s="23">
        <f t="shared" si="59"/>
        <v>0</v>
      </c>
      <c r="Z245" s="23"/>
      <c r="AA245" s="23">
        <f t="shared" si="60"/>
        <v>0</v>
      </c>
      <c r="AB245" s="23"/>
      <c r="AC245" s="23">
        <f t="shared" si="61"/>
        <v>0</v>
      </c>
      <c r="AD245" s="23"/>
      <c r="AE245" s="23">
        <f t="shared" si="62"/>
        <v>0</v>
      </c>
      <c r="AF245" s="26"/>
      <c r="AG245" s="26">
        <f t="shared" si="63"/>
        <v>0</v>
      </c>
      <c r="AH245" s="23"/>
      <c r="AI245" s="23">
        <f t="shared" si="64"/>
        <v>0</v>
      </c>
      <c r="AJ245" s="23"/>
      <c r="AK245" s="23">
        <f t="shared" si="65"/>
        <v>0</v>
      </c>
      <c r="AL245" s="26"/>
      <c r="AM245" s="26">
        <f t="shared" si="66"/>
        <v>0</v>
      </c>
      <c r="AN245" s="12">
        <f t="shared" si="67"/>
        <v>884</v>
      </c>
      <c r="AO245" s="22">
        <f t="shared" si="68"/>
        <v>30977.07</v>
      </c>
    </row>
    <row r="246" spans="1:41" x14ac:dyDescent="0.5">
      <c r="A246" s="19">
        <v>242</v>
      </c>
      <c r="B246" s="20" t="s">
        <v>467</v>
      </c>
      <c r="C246" s="21" t="s">
        <v>459</v>
      </c>
      <c r="D246" s="16">
        <v>553</v>
      </c>
      <c r="E246" s="16">
        <v>7</v>
      </c>
      <c r="F246" s="22">
        <v>764</v>
      </c>
      <c r="G246" s="22">
        <f t="shared" si="69"/>
        <v>23775.68</v>
      </c>
      <c r="H246" s="22">
        <v>634</v>
      </c>
      <c r="I246" s="23">
        <f t="shared" si="70"/>
        <v>20547.939999999999</v>
      </c>
      <c r="J246" s="22">
        <v>727</v>
      </c>
      <c r="K246" s="22">
        <f t="shared" si="71"/>
        <v>23998.269999999997</v>
      </c>
      <c r="L246" s="29">
        <v>244</v>
      </c>
      <c r="M246" s="24">
        <f t="shared" si="72"/>
        <v>8569.2799999999988</v>
      </c>
      <c r="N246" s="30">
        <v>491</v>
      </c>
      <c r="O246" s="23">
        <f t="shared" si="73"/>
        <v>18780.75</v>
      </c>
      <c r="P246" s="22">
        <v>614</v>
      </c>
      <c r="Q246" s="22">
        <f t="shared" si="74"/>
        <v>25788</v>
      </c>
      <c r="R246" s="25">
        <v>241</v>
      </c>
      <c r="S246" s="25">
        <f t="shared" si="75"/>
        <v>9326.7000000000007</v>
      </c>
      <c r="T246" s="25">
        <v>467</v>
      </c>
      <c r="U246" s="25">
        <f t="shared" si="57"/>
        <v>15737.900000000001</v>
      </c>
      <c r="V246" s="23">
        <v>581</v>
      </c>
      <c r="W246" s="23">
        <f t="shared" si="58"/>
        <v>19056.8</v>
      </c>
      <c r="X246" s="23"/>
      <c r="Y246" s="23">
        <f t="shared" si="59"/>
        <v>0</v>
      </c>
      <c r="Z246" s="23">
        <v>502</v>
      </c>
      <c r="AA246" s="23">
        <f t="shared" si="60"/>
        <v>17399.32</v>
      </c>
      <c r="AB246" s="23">
        <v>540</v>
      </c>
      <c r="AC246" s="23">
        <f t="shared" si="61"/>
        <v>19467</v>
      </c>
      <c r="AD246" s="23">
        <v>657</v>
      </c>
      <c r="AE246" s="23">
        <f t="shared" si="62"/>
        <v>23021.279999999999</v>
      </c>
      <c r="AF246" s="26">
        <v>470</v>
      </c>
      <c r="AG246" s="26">
        <f t="shared" si="63"/>
        <v>16064.6</v>
      </c>
      <c r="AH246" s="23">
        <v>523</v>
      </c>
      <c r="AI246" s="23">
        <f t="shared" si="64"/>
        <v>17415.899999999998</v>
      </c>
      <c r="AJ246" s="23">
        <v>567</v>
      </c>
      <c r="AK246" s="23">
        <f t="shared" si="65"/>
        <v>20383.650000000001</v>
      </c>
      <c r="AL246" s="26">
        <v>597</v>
      </c>
      <c r="AM246" s="26">
        <f t="shared" si="66"/>
        <v>21891.99</v>
      </c>
      <c r="AN246" s="12">
        <f t="shared" si="67"/>
        <v>8619</v>
      </c>
      <c r="AO246" s="22">
        <f t="shared" si="68"/>
        <v>301225.06</v>
      </c>
    </row>
    <row r="247" spans="1:41" x14ac:dyDescent="0.5">
      <c r="A247" s="19">
        <v>243</v>
      </c>
      <c r="B247" s="20" t="s">
        <v>468</v>
      </c>
      <c r="C247" s="21" t="s">
        <v>469</v>
      </c>
      <c r="D247" s="16">
        <v>556</v>
      </c>
      <c r="E247" s="16">
        <v>7</v>
      </c>
      <c r="F247" s="22"/>
      <c r="G247" s="22">
        <f t="shared" si="69"/>
        <v>0</v>
      </c>
      <c r="H247" s="22"/>
      <c r="I247" s="23">
        <f t="shared" si="70"/>
        <v>0</v>
      </c>
      <c r="J247" s="22"/>
      <c r="K247" s="22">
        <f t="shared" si="71"/>
        <v>0</v>
      </c>
      <c r="L247" s="29"/>
      <c r="M247" s="24">
        <f t="shared" si="72"/>
        <v>0</v>
      </c>
      <c r="N247" s="30"/>
      <c r="O247" s="23">
        <f t="shared" si="73"/>
        <v>0</v>
      </c>
      <c r="P247" s="22"/>
      <c r="Q247" s="22">
        <f t="shared" si="74"/>
        <v>0</v>
      </c>
      <c r="R247" s="25"/>
      <c r="S247" s="25">
        <f t="shared" si="75"/>
        <v>0</v>
      </c>
      <c r="T247" s="25"/>
      <c r="U247" s="25">
        <f t="shared" si="57"/>
        <v>0</v>
      </c>
      <c r="V247" s="23"/>
      <c r="W247" s="23">
        <f t="shared" si="58"/>
        <v>0</v>
      </c>
      <c r="X247" s="23"/>
      <c r="Y247" s="23">
        <f t="shared" si="59"/>
        <v>0</v>
      </c>
      <c r="Z247" s="23"/>
      <c r="AA247" s="23">
        <f t="shared" si="60"/>
        <v>0</v>
      </c>
      <c r="AB247" s="23"/>
      <c r="AC247" s="23">
        <f t="shared" si="61"/>
        <v>0</v>
      </c>
      <c r="AD247" s="23"/>
      <c r="AE247" s="23">
        <f t="shared" si="62"/>
        <v>0</v>
      </c>
      <c r="AF247" s="26"/>
      <c r="AG247" s="26">
        <f t="shared" si="63"/>
        <v>0</v>
      </c>
      <c r="AH247" s="23"/>
      <c r="AI247" s="23">
        <f t="shared" si="64"/>
        <v>0</v>
      </c>
      <c r="AJ247" s="23"/>
      <c r="AK247" s="23">
        <f t="shared" si="65"/>
        <v>0</v>
      </c>
      <c r="AL247" s="26"/>
      <c r="AM247" s="26">
        <f t="shared" si="66"/>
        <v>0</v>
      </c>
      <c r="AN247" s="12">
        <f t="shared" si="67"/>
        <v>0</v>
      </c>
      <c r="AO247" s="22">
        <f t="shared" si="68"/>
        <v>0</v>
      </c>
    </row>
    <row r="248" spans="1:41" s="31" customFormat="1" x14ac:dyDescent="0.5">
      <c r="A248" s="19">
        <v>244</v>
      </c>
      <c r="B248" s="20" t="s">
        <v>388</v>
      </c>
      <c r="C248" s="21" t="s">
        <v>470</v>
      </c>
      <c r="D248" s="16">
        <v>608</v>
      </c>
      <c r="E248" s="16">
        <v>7</v>
      </c>
      <c r="F248" s="22">
        <v>462</v>
      </c>
      <c r="G248" s="22">
        <f t="shared" si="69"/>
        <v>14377.44</v>
      </c>
      <c r="H248" s="22">
        <v>319</v>
      </c>
      <c r="I248" s="23">
        <f t="shared" si="70"/>
        <v>10338.789999999999</v>
      </c>
      <c r="J248" s="22"/>
      <c r="K248" s="22">
        <f t="shared" si="71"/>
        <v>0</v>
      </c>
      <c r="L248" s="22"/>
      <c r="M248" s="24">
        <f t="shared" si="72"/>
        <v>0</v>
      </c>
      <c r="N248" s="23"/>
      <c r="O248" s="23">
        <f t="shared" si="73"/>
        <v>0</v>
      </c>
      <c r="P248" s="22">
        <v>274</v>
      </c>
      <c r="Q248" s="22">
        <f t="shared" si="74"/>
        <v>11508</v>
      </c>
      <c r="R248" s="25">
        <v>310</v>
      </c>
      <c r="S248" s="25">
        <f t="shared" si="75"/>
        <v>11997</v>
      </c>
      <c r="T248" s="25">
        <v>328</v>
      </c>
      <c r="U248" s="25">
        <f t="shared" si="57"/>
        <v>11053.6</v>
      </c>
      <c r="V248" s="23">
        <v>330</v>
      </c>
      <c r="W248" s="23">
        <f t="shared" si="58"/>
        <v>10823.999999999998</v>
      </c>
      <c r="X248" s="23">
        <v>411</v>
      </c>
      <c r="Y248" s="23">
        <f t="shared" si="59"/>
        <v>14446.65</v>
      </c>
      <c r="Z248" s="23">
        <v>351</v>
      </c>
      <c r="AA248" s="23">
        <f t="shared" si="60"/>
        <v>12165.659999999998</v>
      </c>
      <c r="AB248" s="23"/>
      <c r="AC248" s="23">
        <f t="shared" si="61"/>
        <v>0</v>
      </c>
      <c r="AD248" s="23">
        <v>491</v>
      </c>
      <c r="AE248" s="23">
        <f t="shared" si="62"/>
        <v>17204.64</v>
      </c>
      <c r="AF248" s="26">
        <v>414</v>
      </c>
      <c r="AG248" s="26">
        <f t="shared" si="63"/>
        <v>14150.52</v>
      </c>
      <c r="AH248" s="23"/>
      <c r="AI248" s="23">
        <f t="shared" si="64"/>
        <v>0</v>
      </c>
      <c r="AJ248" s="23">
        <v>290</v>
      </c>
      <c r="AK248" s="23">
        <f t="shared" si="65"/>
        <v>10425.5</v>
      </c>
      <c r="AL248" s="26">
        <v>509</v>
      </c>
      <c r="AM248" s="26">
        <f t="shared" si="66"/>
        <v>18665.030000000002</v>
      </c>
      <c r="AN248" s="12">
        <f t="shared" si="67"/>
        <v>4489</v>
      </c>
      <c r="AO248" s="22">
        <f t="shared" si="68"/>
        <v>157156.82999999999</v>
      </c>
    </row>
    <row r="249" spans="1:41" x14ac:dyDescent="0.5">
      <c r="A249" s="19">
        <v>245</v>
      </c>
      <c r="B249" s="27" t="s">
        <v>471</v>
      </c>
      <c r="C249" s="28" t="s">
        <v>472</v>
      </c>
      <c r="D249" s="16">
        <v>609</v>
      </c>
      <c r="E249" s="16">
        <v>7</v>
      </c>
      <c r="F249" s="22"/>
      <c r="G249" s="22">
        <f t="shared" si="69"/>
        <v>0</v>
      </c>
      <c r="H249" s="22"/>
      <c r="I249" s="23">
        <f t="shared" si="70"/>
        <v>0</v>
      </c>
      <c r="J249" s="22"/>
      <c r="K249" s="22">
        <f t="shared" si="71"/>
        <v>0</v>
      </c>
      <c r="L249" s="29"/>
      <c r="M249" s="24">
        <f t="shared" si="72"/>
        <v>0</v>
      </c>
      <c r="N249" s="30"/>
      <c r="O249" s="23">
        <f t="shared" si="73"/>
        <v>0</v>
      </c>
      <c r="P249" s="22"/>
      <c r="Q249" s="22">
        <f t="shared" si="74"/>
        <v>0</v>
      </c>
      <c r="R249" s="25"/>
      <c r="S249" s="25">
        <f t="shared" si="75"/>
        <v>0</v>
      </c>
      <c r="T249" s="25"/>
      <c r="U249" s="25">
        <f t="shared" si="57"/>
        <v>0</v>
      </c>
      <c r="V249" s="23"/>
      <c r="W249" s="23">
        <f t="shared" si="58"/>
        <v>0</v>
      </c>
      <c r="X249" s="23"/>
      <c r="Y249" s="23">
        <f t="shared" si="59"/>
        <v>0</v>
      </c>
      <c r="Z249" s="23"/>
      <c r="AA249" s="23">
        <f t="shared" si="60"/>
        <v>0</v>
      </c>
      <c r="AB249" s="23"/>
      <c r="AC249" s="23">
        <f t="shared" si="61"/>
        <v>0</v>
      </c>
      <c r="AD249" s="23"/>
      <c r="AE249" s="23">
        <f t="shared" si="62"/>
        <v>0</v>
      </c>
      <c r="AF249" s="26"/>
      <c r="AG249" s="26">
        <f t="shared" si="63"/>
        <v>0</v>
      </c>
      <c r="AH249" s="23"/>
      <c r="AI249" s="23">
        <f t="shared" si="64"/>
        <v>0</v>
      </c>
      <c r="AJ249" s="23"/>
      <c r="AK249" s="23">
        <f t="shared" si="65"/>
        <v>0</v>
      </c>
      <c r="AL249" s="23"/>
      <c r="AM249" s="26">
        <f t="shared" si="66"/>
        <v>0</v>
      </c>
      <c r="AN249" s="12">
        <f t="shared" si="67"/>
        <v>0</v>
      </c>
      <c r="AO249" s="22">
        <f t="shared" si="68"/>
        <v>0</v>
      </c>
    </row>
    <row r="250" spans="1:41" s="31" customFormat="1" x14ac:dyDescent="0.5">
      <c r="A250" s="19">
        <v>246</v>
      </c>
      <c r="B250" s="20" t="s">
        <v>473</v>
      </c>
      <c r="C250" s="21" t="s">
        <v>474</v>
      </c>
      <c r="D250" s="16">
        <v>624</v>
      </c>
      <c r="E250" s="16">
        <v>7</v>
      </c>
      <c r="F250" s="22">
        <v>713</v>
      </c>
      <c r="G250" s="22">
        <f t="shared" si="69"/>
        <v>22188.560000000001</v>
      </c>
      <c r="H250" s="22">
        <v>168</v>
      </c>
      <c r="I250" s="23">
        <f t="shared" si="70"/>
        <v>5444.8799999999992</v>
      </c>
      <c r="J250" s="22">
        <v>510</v>
      </c>
      <c r="K250" s="22">
        <f t="shared" si="71"/>
        <v>16835.099999999999</v>
      </c>
      <c r="L250" s="22">
        <v>90</v>
      </c>
      <c r="M250" s="24">
        <f t="shared" si="72"/>
        <v>3160.7999999999997</v>
      </c>
      <c r="N250" s="23">
        <v>490</v>
      </c>
      <c r="O250" s="23">
        <f t="shared" si="73"/>
        <v>18742.5</v>
      </c>
      <c r="P250" s="22">
        <v>375</v>
      </c>
      <c r="Q250" s="22">
        <f t="shared" si="74"/>
        <v>15750</v>
      </c>
      <c r="R250" s="25"/>
      <c r="S250" s="25">
        <f t="shared" si="75"/>
        <v>0</v>
      </c>
      <c r="T250" s="25">
        <v>694</v>
      </c>
      <c r="U250" s="25">
        <f t="shared" si="57"/>
        <v>23387.800000000003</v>
      </c>
      <c r="V250" s="23">
        <v>844</v>
      </c>
      <c r="W250" s="23">
        <f t="shared" si="58"/>
        <v>27683.199999999997</v>
      </c>
      <c r="X250" s="23">
        <v>611</v>
      </c>
      <c r="Y250" s="23">
        <f t="shared" si="59"/>
        <v>21476.649999999998</v>
      </c>
      <c r="Z250" s="23">
        <v>490</v>
      </c>
      <c r="AA250" s="23">
        <f t="shared" si="60"/>
        <v>16983.399999999998</v>
      </c>
      <c r="AB250" s="23">
        <v>324</v>
      </c>
      <c r="AC250" s="23">
        <f t="shared" si="61"/>
        <v>11680.199999999999</v>
      </c>
      <c r="AD250" s="23">
        <v>750</v>
      </c>
      <c r="AE250" s="23">
        <f t="shared" si="62"/>
        <v>26280</v>
      </c>
      <c r="AF250" s="26">
        <v>597</v>
      </c>
      <c r="AG250" s="26">
        <f t="shared" si="63"/>
        <v>20405.46</v>
      </c>
      <c r="AH250" s="23">
        <v>522</v>
      </c>
      <c r="AI250" s="23">
        <f t="shared" si="64"/>
        <v>17382.599999999999</v>
      </c>
      <c r="AJ250" s="23">
        <v>581</v>
      </c>
      <c r="AK250" s="23">
        <f t="shared" si="65"/>
        <v>20886.95</v>
      </c>
      <c r="AL250" s="26">
        <v>694</v>
      </c>
      <c r="AM250" s="26">
        <f t="shared" si="66"/>
        <v>25448.98</v>
      </c>
      <c r="AN250" s="12">
        <f t="shared" si="67"/>
        <v>8453</v>
      </c>
      <c r="AO250" s="22">
        <f t="shared" si="68"/>
        <v>293737.07999999996</v>
      </c>
    </row>
    <row r="251" spans="1:41" x14ac:dyDescent="0.5">
      <c r="A251" s="19">
        <v>247</v>
      </c>
      <c r="B251" s="20" t="s">
        <v>475</v>
      </c>
      <c r="C251" s="21" t="s">
        <v>476</v>
      </c>
      <c r="D251" s="16">
        <v>670</v>
      </c>
      <c r="E251" s="16">
        <v>7</v>
      </c>
      <c r="F251" s="22">
        <v>3587</v>
      </c>
      <c r="G251" s="22">
        <f t="shared" si="69"/>
        <v>111627.44</v>
      </c>
      <c r="H251" s="22">
        <v>1655</v>
      </c>
      <c r="I251" s="23">
        <f t="shared" si="70"/>
        <v>53638.549999999996</v>
      </c>
      <c r="J251" s="22">
        <v>884</v>
      </c>
      <c r="K251" s="22">
        <f t="shared" si="71"/>
        <v>29180.839999999997</v>
      </c>
      <c r="L251" s="22">
        <v>957</v>
      </c>
      <c r="M251" s="24">
        <f t="shared" si="72"/>
        <v>33609.839999999997</v>
      </c>
      <c r="N251" s="23">
        <v>293</v>
      </c>
      <c r="O251" s="23">
        <f t="shared" si="73"/>
        <v>11207.25</v>
      </c>
      <c r="P251" s="22">
        <v>292</v>
      </c>
      <c r="Q251" s="22">
        <f t="shared" si="74"/>
        <v>12264</v>
      </c>
      <c r="R251" s="25">
        <v>853</v>
      </c>
      <c r="S251" s="25">
        <f t="shared" si="75"/>
        <v>33011.100000000006</v>
      </c>
      <c r="T251" s="25">
        <v>162</v>
      </c>
      <c r="U251" s="25">
        <f t="shared" si="57"/>
        <v>5459.4000000000005</v>
      </c>
      <c r="V251" s="23">
        <v>1398</v>
      </c>
      <c r="W251" s="23">
        <f t="shared" si="58"/>
        <v>45854.399999999994</v>
      </c>
      <c r="X251" s="23">
        <v>232</v>
      </c>
      <c r="Y251" s="23">
        <f t="shared" si="59"/>
        <v>8154.7999999999993</v>
      </c>
      <c r="Z251" s="23">
        <v>965</v>
      </c>
      <c r="AA251" s="23">
        <f t="shared" si="60"/>
        <v>33446.899999999994</v>
      </c>
      <c r="AB251" s="23"/>
      <c r="AC251" s="23">
        <f t="shared" si="61"/>
        <v>0</v>
      </c>
      <c r="AD251" s="23"/>
      <c r="AE251" s="23">
        <f t="shared" si="62"/>
        <v>0</v>
      </c>
      <c r="AF251" s="26">
        <v>829</v>
      </c>
      <c r="AG251" s="26">
        <f t="shared" si="63"/>
        <v>28335.22</v>
      </c>
      <c r="AH251" s="23">
        <v>1154</v>
      </c>
      <c r="AI251" s="23">
        <f t="shared" si="64"/>
        <v>38428.199999999997</v>
      </c>
      <c r="AJ251" s="23">
        <v>622</v>
      </c>
      <c r="AK251" s="23">
        <f t="shared" si="65"/>
        <v>22360.9</v>
      </c>
      <c r="AL251" s="26">
        <v>641</v>
      </c>
      <c r="AM251" s="26">
        <f t="shared" si="66"/>
        <v>23505.47</v>
      </c>
      <c r="AN251" s="12">
        <f t="shared" si="67"/>
        <v>14524</v>
      </c>
      <c r="AO251" s="22">
        <f t="shared" si="68"/>
        <v>490084.31000000006</v>
      </c>
    </row>
    <row r="252" spans="1:41" x14ac:dyDescent="0.5">
      <c r="A252" s="19">
        <v>248</v>
      </c>
      <c r="B252" s="20" t="s">
        <v>477</v>
      </c>
      <c r="C252" s="21" t="s">
        <v>478</v>
      </c>
      <c r="D252" s="16">
        <v>740</v>
      </c>
      <c r="E252" s="16">
        <v>7</v>
      </c>
      <c r="F252" s="22">
        <v>2233</v>
      </c>
      <c r="G252" s="22">
        <f t="shared" si="69"/>
        <v>69490.960000000006</v>
      </c>
      <c r="H252" s="22">
        <v>2037</v>
      </c>
      <c r="I252" s="23">
        <f t="shared" si="70"/>
        <v>66019.17</v>
      </c>
      <c r="J252" s="22">
        <v>2485</v>
      </c>
      <c r="K252" s="22">
        <f t="shared" si="71"/>
        <v>82029.849999999991</v>
      </c>
      <c r="L252" s="29">
        <v>1526</v>
      </c>
      <c r="M252" s="24">
        <f t="shared" si="72"/>
        <v>53593.119999999995</v>
      </c>
      <c r="N252" s="30">
        <v>1436</v>
      </c>
      <c r="O252" s="23">
        <f t="shared" si="73"/>
        <v>54927</v>
      </c>
      <c r="P252" s="22">
        <v>1990</v>
      </c>
      <c r="Q252" s="22">
        <f t="shared" si="74"/>
        <v>83580</v>
      </c>
      <c r="R252" s="25">
        <v>3299</v>
      </c>
      <c r="S252" s="25">
        <f t="shared" si="75"/>
        <v>127671.3</v>
      </c>
      <c r="T252" s="25">
        <v>2670</v>
      </c>
      <c r="U252" s="25">
        <f t="shared" si="57"/>
        <v>89979.000000000015</v>
      </c>
      <c r="V252" s="23">
        <v>2614</v>
      </c>
      <c r="W252" s="23">
        <f t="shared" si="58"/>
        <v>85739.199999999997</v>
      </c>
      <c r="X252" s="23">
        <v>3245</v>
      </c>
      <c r="Y252" s="23">
        <f t="shared" si="59"/>
        <v>114061.75</v>
      </c>
      <c r="Z252" s="23">
        <v>2521</v>
      </c>
      <c r="AA252" s="23">
        <f t="shared" si="60"/>
        <v>87377.859999999986</v>
      </c>
      <c r="AB252" s="23">
        <v>2574</v>
      </c>
      <c r="AC252" s="23">
        <f t="shared" si="61"/>
        <v>92792.7</v>
      </c>
      <c r="AD252" s="23">
        <v>4078</v>
      </c>
      <c r="AE252" s="23">
        <f t="shared" si="62"/>
        <v>142893.12</v>
      </c>
      <c r="AF252" s="26">
        <v>4404</v>
      </c>
      <c r="AG252" s="26">
        <f t="shared" si="63"/>
        <v>150528.72</v>
      </c>
      <c r="AH252" s="23">
        <v>3437</v>
      </c>
      <c r="AI252" s="23">
        <f t="shared" si="64"/>
        <v>114452.09999999999</v>
      </c>
      <c r="AJ252" s="23">
        <v>3788</v>
      </c>
      <c r="AK252" s="23">
        <f t="shared" si="65"/>
        <v>136178.6</v>
      </c>
      <c r="AL252" s="26">
        <v>4356</v>
      </c>
      <c r="AM252" s="26">
        <f t="shared" si="66"/>
        <v>159734.52000000002</v>
      </c>
      <c r="AN252" s="12">
        <f t="shared" si="67"/>
        <v>48693</v>
      </c>
      <c r="AO252" s="22">
        <f t="shared" si="68"/>
        <v>1711048.97</v>
      </c>
    </row>
    <row r="253" spans="1:41" x14ac:dyDescent="0.5">
      <c r="A253" s="19">
        <v>249</v>
      </c>
      <c r="B253" s="27" t="s">
        <v>479</v>
      </c>
      <c r="C253" s="28" t="s">
        <v>480</v>
      </c>
      <c r="D253" s="16">
        <v>750</v>
      </c>
      <c r="E253" s="16">
        <v>7</v>
      </c>
      <c r="F253" s="22"/>
      <c r="G253" s="22">
        <f t="shared" si="69"/>
        <v>0</v>
      </c>
      <c r="H253" s="22"/>
      <c r="I253" s="23">
        <f t="shared" si="70"/>
        <v>0</v>
      </c>
      <c r="J253" s="22"/>
      <c r="K253" s="22">
        <f t="shared" si="71"/>
        <v>0</v>
      </c>
      <c r="L253" s="29"/>
      <c r="M253" s="24">
        <f t="shared" si="72"/>
        <v>0</v>
      </c>
      <c r="N253" s="30">
        <v>348</v>
      </c>
      <c r="O253" s="23">
        <f t="shared" si="73"/>
        <v>13311</v>
      </c>
      <c r="P253" s="22">
        <v>240</v>
      </c>
      <c r="Q253" s="22">
        <f t="shared" si="74"/>
        <v>10080</v>
      </c>
      <c r="R253" s="25">
        <v>237</v>
      </c>
      <c r="S253" s="25">
        <f t="shared" si="75"/>
        <v>9171.9000000000015</v>
      </c>
      <c r="T253" s="25">
        <v>286</v>
      </c>
      <c r="U253" s="25">
        <f t="shared" si="57"/>
        <v>9638.2000000000007</v>
      </c>
      <c r="V253" s="23">
        <v>237</v>
      </c>
      <c r="W253" s="23">
        <f t="shared" si="58"/>
        <v>7773.5999999999995</v>
      </c>
      <c r="X253" s="23">
        <v>338</v>
      </c>
      <c r="Y253" s="23">
        <f t="shared" si="59"/>
        <v>11880.699999999999</v>
      </c>
      <c r="Z253" s="23"/>
      <c r="AA253" s="23">
        <f t="shared" si="60"/>
        <v>0</v>
      </c>
      <c r="AB253" s="23"/>
      <c r="AC253" s="23">
        <f t="shared" si="61"/>
        <v>0</v>
      </c>
      <c r="AD253" s="23"/>
      <c r="AE253" s="23">
        <f t="shared" si="62"/>
        <v>0</v>
      </c>
      <c r="AF253" s="26">
        <v>286</v>
      </c>
      <c r="AG253" s="26">
        <f t="shared" si="63"/>
        <v>9775.48</v>
      </c>
      <c r="AH253" s="23">
        <v>267</v>
      </c>
      <c r="AI253" s="23">
        <f t="shared" si="64"/>
        <v>8891.0999999999985</v>
      </c>
      <c r="AJ253" s="23">
        <v>373</v>
      </c>
      <c r="AK253" s="23">
        <f t="shared" si="65"/>
        <v>13409.35</v>
      </c>
      <c r="AL253" s="23">
        <v>391</v>
      </c>
      <c r="AM253" s="26">
        <f t="shared" si="66"/>
        <v>14337.970000000001</v>
      </c>
      <c r="AN253" s="12">
        <f t="shared" si="67"/>
        <v>3003</v>
      </c>
      <c r="AO253" s="22">
        <f t="shared" si="68"/>
        <v>108269.30000000002</v>
      </c>
    </row>
    <row r="254" spans="1:41" x14ac:dyDescent="0.5">
      <c r="A254" s="19">
        <v>250</v>
      </c>
      <c r="B254" s="20" t="s">
        <v>481</v>
      </c>
      <c r="C254" s="21" t="s">
        <v>482</v>
      </c>
      <c r="D254" s="16">
        <v>790</v>
      </c>
      <c r="E254" s="16">
        <v>7</v>
      </c>
      <c r="F254" s="22">
        <v>1265</v>
      </c>
      <c r="G254" s="22">
        <f t="shared" si="69"/>
        <v>39366.800000000003</v>
      </c>
      <c r="H254" s="22">
        <v>762</v>
      </c>
      <c r="I254" s="23">
        <f t="shared" si="70"/>
        <v>24696.42</v>
      </c>
      <c r="J254" s="22">
        <v>566</v>
      </c>
      <c r="K254" s="22">
        <f t="shared" si="71"/>
        <v>18683.66</v>
      </c>
      <c r="L254" s="29">
        <v>276</v>
      </c>
      <c r="M254" s="24">
        <f t="shared" si="72"/>
        <v>9693.119999999999</v>
      </c>
      <c r="N254" s="30">
        <v>850</v>
      </c>
      <c r="O254" s="23">
        <f t="shared" si="73"/>
        <v>32512.5</v>
      </c>
      <c r="P254" s="22">
        <v>713</v>
      </c>
      <c r="Q254" s="22">
        <f t="shared" si="74"/>
        <v>29946</v>
      </c>
      <c r="R254" s="25"/>
      <c r="S254" s="25">
        <f t="shared" si="75"/>
        <v>0</v>
      </c>
      <c r="T254" s="25">
        <v>653</v>
      </c>
      <c r="U254" s="25">
        <f t="shared" si="57"/>
        <v>22006.100000000002</v>
      </c>
      <c r="V254" s="23">
        <v>555</v>
      </c>
      <c r="W254" s="23">
        <f t="shared" si="58"/>
        <v>18204</v>
      </c>
      <c r="X254" s="23">
        <v>1126</v>
      </c>
      <c r="Y254" s="23">
        <f t="shared" si="59"/>
        <v>39578.9</v>
      </c>
      <c r="Z254" s="23">
        <v>957</v>
      </c>
      <c r="AA254" s="23">
        <f t="shared" si="60"/>
        <v>33169.619999999995</v>
      </c>
      <c r="AB254" s="23">
        <v>580</v>
      </c>
      <c r="AC254" s="23">
        <f t="shared" si="61"/>
        <v>20909</v>
      </c>
      <c r="AD254" s="23">
        <v>1170</v>
      </c>
      <c r="AE254" s="23">
        <f t="shared" si="62"/>
        <v>40996.799999999996</v>
      </c>
      <c r="AF254" s="26">
        <v>1156</v>
      </c>
      <c r="AG254" s="26">
        <f t="shared" si="63"/>
        <v>39512.080000000002</v>
      </c>
      <c r="AH254" s="23">
        <v>966</v>
      </c>
      <c r="AI254" s="23">
        <f t="shared" si="64"/>
        <v>32167.799999999996</v>
      </c>
      <c r="AJ254" s="23">
        <v>1342</v>
      </c>
      <c r="AK254" s="23">
        <f t="shared" si="65"/>
        <v>48244.9</v>
      </c>
      <c r="AL254" s="26">
        <v>1846</v>
      </c>
      <c r="AM254" s="26">
        <f t="shared" si="66"/>
        <v>67692.820000000007</v>
      </c>
      <c r="AN254" s="12">
        <f t="shared" si="67"/>
        <v>14783</v>
      </c>
      <c r="AO254" s="22">
        <f t="shared" si="68"/>
        <v>517380.52</v>
      </c>
    </row>
    <row r="255" spans="1:41" x14ac:dyDescent="0.5">
      <c r="A255" s="19">
        <v>251</v>
      </c>
      <c r="B255" s="20" t="s">
        <v>483</v>
      </c>
      <c r="C255" s="21" t="s">
        <v>484</v>
      </c>
      <c r="D255" s="16">
        <v>876</v>
      </c>
      <c r="E255" s="16">
        <v>7</v>
      </c>
      <c r="F255" s="22">
        <v>1129</v>
      </c>
      <c r="G255" s="22">
        <f t="shared" si="69"/>
        <v>35134.480000000003</v>
      </c>
      <c r="H255" s="22">
        <v>967</v>
      </c>
      <c r="I255" s="23">
        <f t="shared" si="70"/>
        <v>31340.469999999998</v>
      </c>
      <c r="J255" s="22"/>
      <c r="K255" s="22">
        <f t="shared" si="71"/>
        <v>0</v>
      </c>
      <c r="L255" s="29"/>
      <c r="M255" s="24">
        <f t="shared" si="72"/>
        <v>0</v>
      </c>
      <c r="N255" s="30">
        <v>432</v>
      </c>
      <c r="O255" s="23">
        <f t="shared" si="73"/>
        <v>16524</v>
      </c>
      <c r="P255" s="22">
        <v>1008</v>
      </c>
      <c r="Q255" s="22">
        <f t="shared" si="74"/>
        <v>42336</v>
      </c>
      <c r="R255" s="25">
        <v>929</v>
      </c>
      <c r="S255" s="25">
        <f t="shared" si="75"/>
        <v>35952.300000000003</v>
      </c>
      <c r="T255" s="25">
        <v>857</v>
      </c>
      <c r="U255" s="25">
        <f t="shared" si="57"/>
        <v>28880.9</v>
      </c>
      <c r="V255" s="23">
        <v>971</v>
      </c>
      <c r="W255" s="23">
        <f t="shared" si="58"/>
        <v>31848.799999999996</v>
      </c>
      <c r="X255" s="23">
        <v>864</v>
      </c>
      <c r="Y255" s="23">
        <f t="shared" si="59"/>
        <v>30369.599999999999</v>
      </c>
      <c r="Z255" s="23">
        <v>1035</v>
      </c>
      <c r="AA255" s="23">
        <f t="shared" si="60"/>
        <v>35873.1</v>
      </c>
      <c r="AB255" s="23">
        <v>367</v>
      </c>
      <c r="AC255" s="23">
        <f t="shared" si="61"/>
        <v>13230.349999999999</v>
      </c>
      <c r="AD255" s="23">
        <v>955</v>
      </c>
      <c r="AE255" s="23">
        <f t="shared" si="62"/>
        <v>33463.199999999997</v>
      </c>
      <c r="AF255" s="26">
        <v>1100</v>
      </c>
      <c r="AG255" s="26">
        <f t="shared" si="63"/>
        <v>37598</v>
      </c>
      <c r="AH255" s="23">
        <v>688</v>
      </c>
      <c r="AI255" s="23">
        <f t="shared" si="64"/>
        <v>22910.399999999998</v>
      </c>
      <c r="AJ255" s="23">
        <v>962</v>
      </c>
      <c r="AK255" s="23">
        <f t="shared" si="65"/>
        <v>34583.9</v>
      </c>
      <c r="AL255" s="26">
        <v>1299</v>
      </c>
      <c r="AM255" s="26">
        <f t="shared" si="66"/>
        <v>47634.33</v>
      </c>
      <c r="AN255" s="12">
        <f t="shared" si="67"/>
        <v>13563</v>
      </c>
      <c r="AO255" s="22">
        <f t="shared" si="68"/>
        <v>477679.83</v>
      </c>
    </row>
    <row r="256" spans="1:41" s="31" customFormat="1" x14ac:dyDescent="0.5">
      <c r="A256" s="19">
        <v>252</v>
      </c>
      <c r="B256" s="20" t="s">
        <v>485</v>
      </c>
      <c r="C256" s="21" t="s">
        <v>459</v>
      </c>
      <c r="D256" s="16">
        <v>882</v>
      </c>
      <c r="E256" s="16">
        <v>7</v>
      </c>
      <c r="F256" s="22">
        <v>956</v>
      </c>
      <c r="G256" s="22">
        <f t="shared" si="69"/>
        <v>29750.720000000001</v>
      </c>
      <c r="H256" s="22"/>
      <c r="I256" s="23">
        <f t="shared" si="70"/>
        <v>0</v>
      </c>
      <c r="J256" s="22"/>
      <c r="K256" s="22">
        <f t="shared" si="71"/>
        <v>0</v>
      </c>
      <c r="L256" s="29"/>
      <c r="M256" s="24">
        <f t="shared" si="72"/>
        <v>0</v>
      </c>
      <c r="N256" s="30">
        <v>347</v>
      </c>
      <c r="O256" s="23">
        <f t="shared" si="73"/>
        <v>13272.75</v>
      </c>
      <c r="P256" s="22">
        <v>779</v>
      </c>
      <c r="Q256" s="22">
        <f t="shared" si="74"/>
        <v>32718</v>
      </c>
      <c r="R256" s="25">
        <v>420</v>
      </c>
      <c r="S256" s="25">
        <f t="shared" si="75"/>
        <v>16254.000000000002</v>
      </c>
      <c r="T256" s="25">
        <v>531</v>
      </c>
      <c r="U256" s="25">
        <f t="shared" si="57"/>
        <v>17894.7</v>
      </c>
      <c r="V256" s="23">
        <v>483</v>
      </c>
      <c r="W256" s="23">
        <f t="shared" si="58"/>
        <v>15842.399999999998</v>
      </c>
      <c r="X256" s="23">
        <v>497</v>
      </c>
      <c r="Y256" s="23">
        <f t="shared" si="59"/>
        <v>17469.55</v>
      </c>
      <c r="Z256" s="23">
        <v>491</v>
      </c>
      <c r="AA256" s="23">
        <f t="shared" si="60"/>
        <v>17018.059999999998</v>
      </c>
      <c r="AB256" s="23">
        <v>444</v>
      </c>
      <c r="AC256" s="23">
        <f t="shared" si="61"/>
        <v>16006.199999999999</v>
      </c>
      <c r="AD256" s="23">
        <v>495</v>
      </c>
      <c r="AE256" s="23">
        <f t="shared" si="62"/>
        <v>17344.8</v>
      </c>
      <c r="AF256" s="26">
        <v>482</v>
      </c>
      <c r="AG256" s="26">
        <f t="shared" si="63"/>
        <v>16474.759999999998</v>
      </c>
      <c r="AH256" s="23">
        <v>470</v>
      </c>
      <c r="AI256" s="23">
        <f t="shared" si="64"/>
        <v>15650.999999999998</v>
      </c>
      <c r="AJ256" s="23">
        <v>580</v>
      </c>
      <c r="AK256" s="23">
        <f t="shared" si="65"/>
        <v>20851</v>
      </c>
      <c r="AL256" s="26">
        <v>604</v>
      </c>
      <c r="AM256" s="26">
        <f t="shared" si="66"/>
        <v>22148.68</v>
      </c>
      <c r="AN256" s="12">
        <f t="shared" si="67"/>
        <v>7579</v>
      </c>
      <c r="AO256" s="22">
        <f t="shared" si="68"/>
        <v>268696.62</v>
      </c>
    </row>
    <row r="257" spans="1:41" x14ac:dyDescent="0.5">
      <c r="A257" s="19">
        <v>253</v>
      </c>
      <c r="B257" s="20" t="s">
        <v>486</v>
      </c>
      <c r="C257" s="21" t="s">
        <v>487</v>
      </c>
      <c r="D257" s="16">
        <v>971</v>
      </c>
      <c r="E257" s="16">
        <v>7</v>
      </c>
      <c r="F257" s="22">
        <v>1927</v>
      </c>
      <c r="G257" s="22">
        <f t="shared" si="69"/>
        <v>59968.240000000005</v>
      </c>
      <c r="H257" s="22"/>
      <c r="I257" s="23">
        <f t="shared" si="70"/>
        <v>0</v>
      </c>
      <c r="J257" s="22">
        <v>486</v>
      </c>
      <c r="K257" s="22">
        <f t="shared" si="71"/>
        <v>16042.859999999999</v>
      </c>
      <c r="L257" s="29">
        <v>1096</v>
      </c>
      <c r="M257" s="24">
        <f t="shared" si="72"/>
        <v>38491.519999999997</v>
      </c>
      <c r="N257" s="30"/>
      <c r="O257" s="23">
        <f t="shared" si="73"/>
        <v>0</v>
      </c>
      <c r="P257" s="22">
        <v>1505</v>
      </c>
      <c r="Q257" s="22">
        <f t="shared" si="74"/>
        <v>63210</v>
      </c>
      <c r="R257" s="25">
        <v>1717</v>
      </c>
      <c r="S257" s="25">
        <f t="shared" si="75"/>
        <v>66447.900000000009</v>
      </c>
      <c r="T257" s="25">
        <v>501</v>
      </c>
      <c r="U257" s="25">
        <f t="shared" si="57"/>
        <v>16883.7</v>
      </c>
      <c r="V257" s="23">
        <v>1813</v>
      </c>
      <c r="W257" s="23">
        <f t="shared" si="58"/>
        <v>59466.399999999994</v>
      </c>
      <c r="X257" s="23">
        <v>1306</v>
      </c>
      <c r="Y257" s="23">
        <f t="shared" si="59"/>
        <v>45905.9</v>
      </c>
      <c r="Z257" s="23"/>
      <c r="AA257" s="23">
        <f t="shared" si="60"/>
        <v>0</v>
      </c>
      <c r="AB257" s="23"/>
      <c r="AC257" s="23">
        <f t="shared" si="61"/>
        <v>0</v>
      </c>
      <c r="AD257" s="23">
        <v>1011</v>
      </c>
      <c r="AE257" s="23">
        <f t="shared" si="62"/>
        <v>35425.440000000002</v>
      </c>
      <c r="AF257" s="26">
        <v>1186</v>
      </c>
      <c r="AG257" s="26">
        <f t="shared" si="63"/>
        <v>40537.480000000003</v>
      </c>
      <c r="AH257" s="23"/>
      <c r="AI257" s="23">
        <f t="shared" si="64"/>
        <v>0</v>
      </c>
      <c r="AJ257" s="23">
        <v>390</v>
      </c>
      <c r="AK257" s="23">
        <f t="shared" si="65"/>
        <v>14020.500000000002</v>
      </c>
      <c r="AL257" s="26">
        <v>415</v>
      </c>
      <c r="AM257" s="26">
        <f t="shared" si="66"/>
        <v>15218.050000000001</v>
      </c>
      <c r="AN257" s="12">
        <f t="shared" si="67"/>
        <v>13353</v>
      </c>
      <c r="AO257" s="22">
        <f t="shared" si="68"/>
        <v>471617.99</v>
      </c>
    </row>
    <row r="258" spans="1:41" x14ac:dyDescent="0.5">
      <c r="A258" s="19">
        <v>254</v>
      </c>
      <c r="B258" s="20" t="s">
        <v>488</v>
      </c>
      <c r="C258" s="21" t="s">
        <v>489</v>
      </c>
      <c r="D258" s="16">
        <v>975</v>
      </c>
      <c r="E258" s="16">
        <v>7</v>
      </c>
      <c r="F258" s="22">
        <v>594</v>
      </c>
      <c r="G258" s="22">
        <f t="shared" si="69"/>
        <v>18485.28</v>
      </c>
      <c r="H258" s="22">
        <v>304</v>
      </c>
      <c r="I258" s="23">
        <f t="shared" si="70"/>
        <v>9852.64</v>
      </c>
      <c r="J258" s="22">
        <v>359</v>
      </c>
      <c r="K258" s="22">
        <f t="shared" si="71"/>
        <v>11850.59</v>
      </c>
      <c r="L258" s="29">
        <v>441</v>
      </c>
      <c r="M258" s="24">
        <f>L258*35.12</f>
        <v>15487.919999999998</v>
      </c>
      <c r="N258" s="30">
        <v>605</v>
      </c>
      <c r="O258" s="23">
        <f t="shared" si="73"/>
        <v>23141.25</v>
      </c>
      <c r="P258" s="22">
        <v>555</v>
      </c>
      <c r="Q258" s="22">
        <f t="shared" si="74"/>
        <v>23310</v>
      </c>
      <c r="R258" s="25">
        <v>528</v>
      </c>
      <c r="S258" s="25">
        <f t="shared" si="75"/>
        <v>20433.600000000002</v>
      </c>
      <c r="T258" s="25">
        <v>567</v>
      </c>
      <c r="U258" s="25">
        <f t="shared" si="57"/>
        <v>19107.900000000001</v>
      </c>
      <c r="V258" s="23">
        <v>584</v>
      </c>
      <c r="W258" s="23">
        <f t="shared" si="58"/>
        <v>19155.199999999997</v>
      </c>
      <c r="X258" s="23">
        <v>518</v>
      </c>
      <c r="Y258" s="23">
        <f t="shared" si="59"/>
        <v>18207.7</v>
      </c>
      <c r="Z258" s="23"/>
      <c r="AA258" s="23">
        <f t="shared" si="60"/>
        <v>0</v>
      </c>
      <c r="AB258" s="23"/>
      <c r="AC258" s="23">
        <f t="shared" si="61"/>
        <v>0</v>
      </c>
      <c r="AD258" s="23">
        <v>289</v>
      </c>
      <c r="AE258" s="23">
        <f t="shared" si="62"/>
        <v>10126.56</v>
      </c>
      <c r="AF258" s="26">
        <v>957</v>
      </c>
      <c r="AG258" s="26">
        <f t="shared" si="63"/>
        <v>32710.26</v>
      </c>
      <c r="AH258" s="23">
        <v>576</v>
      </c>
      <c r="AI258" s="23">
        <f t="shared" si="64"/>
        <v>19180.8</v>
      </c>
      <c r="AJ258" s="23">
        <v>841</v>
      </c>
      <c r="AK258" s="23">
        <f t="shared" si="65"/>
        <v>30233.95</v>
      </c>
      <c r="AL258" s="26">
        <v>867</v>
      </c>
      <c r="AM258" s="26">
        <f t="shared" si="66"/>
        <v>31792.890000000003</v>
      </c>
      <c r="AN258" s="12">
        <f t="shared" si="67"/>
        <v>8585</v>
      </c>
      <c r="AO258" s="22">
        <f t="shared" si="68"/>
        <v>303076.54000000004</v>
      </c>
    </row>
    <row r="259" spans="1:41" s="31" customFormat="1" x14ac:dyDescent="0.5">
      <c r="A259" s="19">
        <v>255</v>
      </c>
      <c r="B259" s="27" t="s">
        <v>490</v>
      </c>
      <c r="C259" s="28" t="s">
        <v>246</v>
      </c>
      <c r="D259" s="16">
        <v>980</v>
      </c>
      <c r="E259" s="16">
        <v>7</v>
      </c>
      <c r="F259" s="22">
        <v>448</v>
      </c>
      <c r="G259" s="22">
        <f t="shared" si="69"/>
        <v>13941.76</v>
      </c>
      <c r="H259" s="22">
        <v>257</v>
      </c>
      <c r="I259" s="23">
        <f t="shared" si="70"/>
        <v>8329.369999999999</v>
      </c>
      <c r="J259" s="22"/>
      <c r="K259" s="22">
        <f t="shared" si="71"/>
        <v>0</v>
      </c>
      <c r="L259" s="29"/>
      <c r="M259" s="24">
        <f t="shared" si="72"/>
        <v>0</v>
      </c>
      <c r="N259" s="30"/>
      <c r="O259" s="23">
        <f t="shared" si="73"/>
        <v>0</v>
      </c>
      <c r="P259" s="22"/>
      <c r="Q259" s="22">
        <f t="shared" si="74"/>
        <v>0</v>
      </c>
      <c r="R259" s="25"/>
      <c r="S259" s="25">
        <f t="shared" si="75"/>
        <v>0</v>
      </c>
      <c r="T259" s="25"/>
      <c r="U259" s="25">
        <f t="shared" si="57"/>
        <v>0</v>
      </c>
      <c r="V259" s="23"/>
      <c r="W259" s="23">
        <f t="shared" si="58"/>
        <v>0</v>
      </c>
      <c r="X259" s="23"/>
      <c r="Y259" s="23">
        <f t="shared" si="59"/>
        <v>0</v>
      </c>
      <c r="Z259" s="23"/>
      <c r="AA259" s="23">
        <f t="shared" si="60"/>
        <v>0</v>
      </c>
      <c r="AB259" s="23"/>
      <c r="AC259" s="23">
        <f t="shared" si="61"/>
        <v>0</v>
      </c>
      <c r="AD259" s="23"/>
      <c r="AE259" s="23">
        <f t="shared" si="62"/>
        <v>0</v>
      </c>
      <c r="AF259" s="26"/>
      <c r="AG259" s="26">
        <f t="shared" si="63"/>
        <v>0</v>
      </c>
      <c r="AH259" s="23"/>
      <c r="AI259" s="23">
        <f t="shared" si="64"/>
        <v>0</v>
      </c>
      <c r="AJ259" s="23"/>
      <c r="AK259" s="23">
        <f t="shared" si="65"/>
        <v>0</v>
      </c>
      <c r="AL259" s="23"/>
      <c r="AM259" s="26">
        <f t="shared" si="66"/>
        <v>0</v>
      </c>
      <c r="AN259" s="12">
        <f t="shared" si="67"/>
        <v>705</v>
      </c>
      <c r="AO259" s="22">
        <f t="shared" si="68"/>
        <v>22271.129999999997</v>
      </c>
    </row>
    <row r="260" spans="1:41" x14ac:dyDescent="0.5">
      <c r="A260" s="19">
        <v>256</v>
      </c>
      <c r="B260" s="27" t="s">
        <v>491</v>
      </c>
      <c r="C260" s="28" t="s">
        <v>492</v>
      </c>
      <c r="D260" s="16">
        <v>981</v>
      </c>
      <c r="E260" s="16">
        <v>7</v>
      </c>
      <c r="F260" s="22"/>
      <c r="G260" s="22">
        <f t="shared" si="69"/>
        <v>0</v>
      </c>
      <c r="H260" s="22"/>
      <c r="I260" s="23">
        <f t="shared" si="70"/>
        <v>0</v>
      </c>
      <c r="J260" s="22"/>
      <c r="K260" s="22">
        <f t="shared" si="71"/>
        <v>0</v>
      </c>
      <c r="L260" s="29"/>
      <c r="M260" s="24">
        <f t="shared" si="72"/>
        <v>0</v>
      </c>
      <c r="N260" s="30"/>
      <c r="O260" s="23">
        <f t="shared" si="73"/>
        <v>0</v>
      </c>
      <c r="P260" s="22"/>
      <c r="Q260" s="22">
        <f t="shared" si="74"/>
        <v>0</v>
      </c>
      <c r="R260" s="25"/>
      <c r="S260" s="25">
        <f t="shared" si="75"/>
        <v>0</v>
      </c>
      <c r="T260" s="25"/>
      <c r="U260" s="25">
        <f t="shared" si="57"/>
        <v>0</v>
      </c>
      <c r="V260" s="23"/>
      <c r="W260" s="23">
        <f t="shared" si="58"/>
        <v>0</v>
      </c>
      <c r="X260" s="23"/>
      <c r="Y260" s="23">
        <f t="shared" si="59"/>
        <v>0</v>
      </c>
      <c r="Z260" s="23"/>
      <c r="AA260" s="23">
        <f t="shared" si="60"/>
        <v>0</v>
      </c>
      <c r="AB260" s="23"/>
      <c r="AC260" s="23">
        <f t="shared" si="61"/>
        <v>0</v>
      </c>
      <c r="AD260" s="23"/>
      <c r="AE260" s="23">
        <f t="shared" si="62"/>
        <v>0</v>
      </c>
      <c r="AF260" s="26">
        <v>324</v>
      </c>
      <c r="AG260" s="26">
        <f t="shared" si="63"/>
        <v>11074.32</v>
      </c>
      <c r="AH260" s="23"/>
      <c r="AI260" s="23">
        <f t="shared" si="64"/>
        <v>0</v>
      </c>
      <c r="AJ260" s="23"/>
      <c r="AK260" s="23">
        <f t="shared" si="65"/>
        <v>0</v>
      </c>
      <c r="AL260" s="23"/>
      <c r="AM260" s="26">
        <f t="shared" si="66"/>
        <v>0</v>
      </c>
      <c r="AN260" s="12">
        <f t="shared" si="67"/>
        <v>324</v>
      </c>
      <c r="AO260" s="22">
        <f t="shared" si="68"/>
        <v>11074.32</v>
      </c>
    </row>
    <row r="261" spans="1:41" x14ac:dyDescent="0.5">
      <c r="A261" s="19">
        <v>257</v>
      </c>
      <c r="B261" s="20" t="s">
        <v>493</v>
      </c>
      <c r="C261" s="21" t="s">
        <v>494</v>
      </c>
      <c r="D261" s="16">
        <v>991</v>
      </c>
      <c r="E261" s="16">
        <v>7</v>
      </c>
      <c r="F261" s="22">
        <v>1098</v>
      </c>
      <c r="G261" s="22">
        <f t="shared" si="69"/>
        <v>34169.760000000002</v>
      </c>
      <c r="H261" s="22">
        <v>584</v>
      </c>
      <c r="I261" s="23">
        <f t="shared" si="70"/>
        <v>18927.439999999999</v>
      </c>
      <c r="J261" s="22"/>
      <c r="K261" s="22">
        <f t="shared" si="71"/>
        <v>0</v>
      </c>
      <c r="L261" s="29">
        <v>115</v>
      </c>
      <c r="M261" s="24">
        <f t="shared" si="72"/>
        <v>4038.7999999999997</v>
      </c>
      <c r="N261" s="30">
        <v>540</v>
      </c>
      <c r="O261" s="23">
        <f t="shared" si="73"/>
        <v>20655</v>
      </c>
      <c r="P261" s="22">
        <v>542</v>
      </c>
      <c r="Q261" s="22">
        <f t="shared" si="74"/>
        <v>22764</v>
      </c>
      <c r="R261" s="25">
        <v>374</v>
      </c>
      <c r="S261" s="25">
        <f t="shared" si="75"/>
        <v>14473.800000000001</v>
      </c>
      <c r="T261" s="25">
        <v>459</v>
      </c>
      <c r="U261" s="25">
        <f t="shared" si="57"/>
        <v>15468.300000000001</v>
      </c>
      <c r="V261" s="23">
        <v>746</v>
      </c>
      <c r="W261" s="23">
        <f t="shared" si="58"/>
        <v>24468.799999999999</v>
      </c>
      <c r="X261" s="23">
        <v>475</v>
      </c>
      <c r="Y261" s="23">
        <f t="shared" si="59"/>
        <v>16696.25</v>
      </c>
      <c r="Z261" s="23">
        <v>653</v>
      </c>
      <c r="AA261" s="23">
        <f t="shared" si="60"/>
        <v>22632.98</v>
      </c>
      <c r="AB261" s="23"/>
      <c r="AC261" s="23">
        <f t="shared" si="61"/>
        <v>0</v>
      </c>
      <c r="AD261" s="23">
        <v>716</v>
      </c>
      <c r="AE261" s="23">
        <f t="shared" si="62"/>
        <v>25088.639999999999</v>
      </c>
      <c r="AF261" s="26">
        <v>817</v>
      </c>
      <c r="AG261" s="26">
        <f t="shared" si="63"/>
        <v>27925.06</v>
      </c>
      <c r="AH261" s="23">
        <v>824</v>
      </c>
      <c r="AI261" s="23">
        <f t="shared" si="64"/>
        <v>27439.199999999997</v>
      </c>
      <c r="AJ261" s="23">
        <v>886</v>
      </c>
      <c r="AK261" s="23">
        <f t="shared" si="65"/>
        <v>31851.7</v>
      </c>
      <c r="AL261" s="26">
        <v>927</v>
      </c>
      <c r="AM261" s="26">
        <f t="shared" si="66"/>
        <v>33993.090000000004</v>
      </c>
      <c r="AN261" s="12">
        <f t="shared" si="67"/>
        <v>9756</v>
      </c>
      <c r="AO261" s="22">
        <f t="shared" si="68"/>
        <v>340592.82000000007</v>
      </c>
    </row>
    <row r="262" spans="1:41" s="31" customFormat="1" x14ac:dyDescent="0.5">
      <c r="A262" s="19">
        <v>258</v>
      </c>
      <c r="B262" s="20" t="s">
        <v>495</v>
      </c>
      <c r="C262" s="21" t="s">
        <v>461</v>
      </c>
      <c r="D262" s="16">
        <v>992</v>
      </c>
      <c r="E262" s="16">
        <v>7</v>
      </c>
      <c r="F262" s="22">
        <v>1947</v>
      </c>
      <c r="G262" s="22">
        <f t="shared" si="69"/>
        <v>60590.64</v>
      </c>
      <c r="H262" s="22"/>
      <c r="I262" s="23">
        <f t="shared" si="70"/>
        <v>0</v>
      </c>
      <c r="J262" s="22">
        <v>613</v>
      </c>
      <c r="K262" s="22">
        <f t="shared" si="71"/>
        <v>20235.129999999997</v>
      </c>
      <c r="L262" s="22"/>
      <c r="M262" s="24">
        <f t="shared" si="72"/>
        <v>0</v>
      </c>
      <c r="N262" s="23">
        <v>451</v>
      </c>
      <c r="O262" s="23">
        <f t="shared" si="73"/>
        <v>17250.75</v>
      </c>
      <c r="P262" s="22">
        <v>599</v>
      </c>
      <c r="Q262" s="22">
        <f t="shared" si="74"/>
        <v>25158</v>
      </c>
      <c r="R262" s="25"/>
      <c r="S262" s="25">
        <f t="shared" si="75"/>
        <v>0</v>
      </c>
      <c r="T262" s="25">
        <v>1404</v>
      </c>
      <c r="U262" s="25">
        <f t="shared" ref="U262:U325" si="76">T262*33.7</f>
        <v>47314.8</v>
      </c>
      <c r="V262" s="23"/>
      <c r="W262" s="23">
        <f t="shared" ref="W262:W325" si="77">V262*32.8</f>
        <v>0</v>
      </c>
      <c r="X262" s="23">
        <v>1771</v>
      </c>
      <c r="Y262" s="23">
        <f t="shared" ref="Y262:Y325" si="78">X262*35.15</f>
        <v>62250.649999999994</v>
      </c>
      <c r="Z262" s="23">
        <v>1081</v>
      </c>
      <c r="AA262" s="23">
        <f t="shared" ref="AA262:AA325" si="79">Z262*34.66</f>
        <v>37467.46</v>
      </c>
      <c r="AB262" s="23"/>
      <c r="AC262" s="23">
        <f t="shared" ref="AC262:AC325" si="80">AB262*36.05</f>
        <v>0</v>
      </c>
      <c r="AD262" s="23">
        <v>1166</v>
      </c>
      <c r="AE262" s="23">
        <f t="shared" ref="AE262:AE325" si="81">AD262*35.04</f>
        <v>40856.639999999999</v>
      </c>
      <c r="AF262" s="26">
        <v>1347</v>
      </c>
      <c r="AG262" s="26">
        <f t="shared" ref="AG262:AG325" si="82">AF262*34.18</f>
        <v>46040.46</v>
      </c>
      <c r="AH262" s="23">
        <v>1012</v>
      </c>
      <c r="AI262" s="23">
        <f t="shared" ref="AI262:AI325" si="83">AH262*33.3</f>
        <v>33699.599999999999</v>
      </c>
      <c r="AJ262" s="23">
        <v>946</v>
      </c>
      <c r="AK262" s="23">
        <f t="shared" ref="AK262:AK325" si="84">AJ262*35.95</f>
        <v>34008.700000000004</v>
      </c>
      <c r="AL262" s="26">
        <v>1586</v>
      </c>
      <c r="AM262" s="26">
        <f t="shared" ref="AM262:AM325" si="85">AL262*36.67</f>
        <v>58158.62</v>
      </c>
      <c r="AN262" s="12">
        <f t="shared" ref="AN262:AN325" si="86">F262+H262+J262+L262+N262+P262+R262+T262+V262+X262+Z262+AB262+AD262+AF262+AH262+AJ262+AL262</f>
        <v>13923</v>
      </c>
      <c r="AO262" s="22">
        <f t="shared" ref="AO262:AO325" si="87">G262+I262+K262+M262+O262+Q262+S262+U262+W262+Y262+AA262+AC262+AE262+AG262+AI262+AK262+AM262</f>
        <v>483031.45</v>
      </c>
    </row>
    <row r="263" spans="1:41" x14ac:dyDescent="0.5">
      <c r="A263" s="19">
        <v>259</v>
      </c>
      <c r="B263" s="20" t="s">
        <v>403</v>
      </c>
      <c r="C263" s="21" t="s">
        <v>496</v>
      </c>
      <c r="D263" s="16">
        <v>1027</v>
      </c>
      <c r="E263" s="16">
        <v>7</v>
      </c>
      <c r="F263" s="22">
        <v>2388</v>
      </c>
      <c r="G263" s="22">
        <f t="shared" si="69"/>
        <v>74314.559999999998</v>
      </c>
      <c r="H263" s="22">
        <v>788</v>
      </c>
      <c r="I263" s="23">
        <f t="shared" si="70"/>
        <v>25539.079999999998</v>
      </c>
      <c r="J263" s="22">
        <v>808</v>
      </c>
      <c r="K263" s="22">
        <f t="shared" si="71"/>
        <v>26672.079999999998</v>
      </c>
      <c r="L263" s="29">
        <v>1311</v>
      </c>
      <c r="M263" s="24">
        <f t="shared" si="72"/>
        <v>46042.32</v>
      </c>
      <c r="N263" s="30">
        <v>1082</v>
      </c>
      <c r="O263" s="23">
        <f t="shared" si="73"/>
        <v>41386.5</v>
      </c>
      <c r="P263" s="22">
        <v>1339</v>
      </c>
      <c r="Q263" s="22">
        <f t="shared" si="74"/>
        <v>56238</v>
      </c>
      <c r="R263" s="25">
        <v>1346</v>
      </c>
      <c r="S263" s="25">
        <f t="shared" si="75"/>
        <v>52090.200000000004</v>
      </c>
      <c r="T263" s="25">
        <v>2119</v>
      </c>
      <c r="U263" s="25">
        <f t="shared" si="76"/>
        <v>71410.3</v>
      </c>
      <c r="V263" s="23">
        <v>1909</v>
      </c>
      <c r="W263" s="23">
        <f t="shared" si="77"/>
        <v>62615.199999999997</v>
      </c>
      <c r="X263" s="23">
        <v>1720</v>
      </c>
      <c r="Y263" s="23">
        <f t="shared" si="78"/>
        <v>60458</v>
      </c>
      <c r="Z263" s="23">
        <v>1543</v>
      </c>
      <c r="AA263" s="23">
        <f t="shared" si="79"/>
        <v>53480.38</v>
      </c>
      <c r="AB263" s="23">
        <v>1598</v>
      </c>
      <c r="AC263" s="23">
        <f t="shared" si="80"/>
        <v>57607.899999999994</v>
      </c>
      <c r="AD263" s="23">
        <v>1663</v>
      </c>
      <c r="AE263" s="23">
        <f t="shared" si="81"/>
        <v>58271.519999999997</v>
      </c>
      <c r="AF263" s="26">
        <v>2302</v>
      </c>
      <c r="AG263" s="26">
        <f t="shared" si="82"/>
        <v>78682.36</v>
      </c>
      <c r="AH263" s="23">
        <v>1992</v>
      </c>
      <c r="AI263" s="23">
        <f t="shared" si="83"/>
        <v>66333.599999999991</v>
      </c>
      <c r="AJ263" s="23">
        <v>1698</v>
      </c>
      <c r="AK263" s="23">
        <f t="shared" si="84"/>
        <v>61043.100000000006</v>
      </c>
      <c r="AL263" s="26">
        <v>1680</v>
      </c>
      <c r="AM263" s="26">
        <f t="shared" si="85"/>
        <v>61605.600000000006</v>
      </c>
      <c r="AN263" s="12">
        <f t="shared" si="86"/>
        <v>27286</v>
      </c>
      <c r="AO263" s="22">
        <f t="shared" si="87"/>
        <v>953790.7</v>
      </c>
    </row>
    <row r="264" spans="1:41" x14ac:dyDescent="0.5">
      <c r="A264" s="19">
        <v>260</v>
      </c>
      <c r="B264" s="20" t="s">
        <v>497</v>
      </c>
      <c r="C264" s="21" t="s">
        <v>144</v>
      </c>
      <c r="D264" s="16">
        <v>1038</v>
      </c>
      <c r="E264" s="16">
        <v>7</v>
      </c>
      <c r="F264" s="22"/>
      <c r="G264" s="22">
        <f t="shared" si="69"/>
        <v>0</v>
      </c>
      <c r="H264" s="22"/>
      <c r="I264" s="23">
        <f t="shared" si="70"/>
        <v>0</v>
      </c>
      <c r="J264" s="22"/>
      <c r="K264" s="22">
        <f t="shared" si="71"/>
        <v>0</v>
      </c>
      <c r="L264" s="29"/>
      <c r="M264" s="24">
        <f t="shared" si="72"/>
        <v>0</v>
      </c>
      <c r="N264" s="30"/>
      <c r="O264" s="23">
        <f t="shared" si="73"/>
        <v>0</v>
      </c>
      <c r="P264" s="22"/>
      <c r="Q264" s="22">
        <f t="shared" si="74"/>
        <v>0</v>
      </c>
      <c r="R264" s="25">
        <v>340</v>
      </c>
      <c r="S264" s="25">
        <f t="shared" si="75"/>
        <v>13158.000000000002</v>
      </c>
      <c r="T264" s="25">
        <v>515</v>
      </c>
      <c r="U264" s="25">
        <f t="shared" si="76"/>
        <v>17355.5</v>
      </c>
      <c r="V264" s="23">
        <v>478</v>
      </c>
      <c r="W264" s="23">
        <f t="shared" si="77"/>
        <v>15678.399999999998</v>
      </c>
      <c r="X264" s="23">
        <v>522</v>
      </c>
      <c r="Y264" s="23">
        <f t="shared" si="78"/>
        <v>18348.3</v>
      </c>
      <c r="Z264" s="23">
        <v>514</v>
      </c>
      <c r="AA264" s="23">
        <f t="shared" si="79"/>
        <v>17815.239999999998</v>
      </c>
      <c r="AB264" s="23">
        <v>416</v>
      </c>
      <c r="AC264" s="23">
        <f t="shared" si="80"/>
        <v>14996.8</v>
      </c>
      <c r="AD264" s="23">
        <v>502</v>
      </c>
      <c r="AE264" s="23">
        <f t="shared" si="81"/>
        <v>17590.079999999998</v>
      </c>
      <c r="AF264" s="26">
        <v>585</v>
      </c>
      <c r="AG264" s="26">
        <f t="shared" si="82"/>
        <v>19995.3</v>
      </c>
      <c r="AH264" s="23">
        <v>456</v>
      </c>
      <c r="AI264" s="23">
        <f t="shared" si="83"/>
        <v>15184.8</v>
      </c>
      <c r="AJ264" s="23">
        <v>893</v>
      </c>
      <c r="AK264" s="23">
        <f t="shared" si="84"/>
        <v>32103.350000000002</v>
      </c>
      <c r="AL264" s="26">
        <v>969</v>
      </c>
      <c r="AM264" s="26">
        <f t="shared" si="85"/>
        <v>35533.230000000003</v>
      </c>
      <c r="AN264" s="12">
        <f t="shared" si="86"/>
        <v>6190</v>
      </c>
      <c r="AO264" s="22">
        <f t="shared" si="87"/>
        <v>217759</v>
      </c>
    </row>
    <row r="265" spans="1:41" x14ac:dyDescent="0.5">
      <c r="A265" s="19">
        <v>261</v>
      </c>
      <c r="B265" s="20" t="s">
        <v>498</v>
      </c>
      <c r="C265" s="21" t="s">
        <v>499</v>
      </c>
      <c r="D265" s="16">
        <v>1061</v>
      </c>
      <c r="E265" s="16">
        <v>7</v>
      </c>
      <c r="F265" s="22"/>
      <c r="G265" s="22">
        <f t="shared" ref="G265:G328" si="88">F265*31.12</f>
        <v>0</v>
      </c>
      <c r="H265" s="22"/>
      <c r="I265" s="23">
        <f t="shared" ref="I265:I328" si="89">H265*32.41</f>
        <v>0</v>
      </c>
      <c r="J265" s="22"/>
      <c r="K265" s="22">
        <f t="shared" ref="K265:K328" si="90">J265*33.01</f>
        <v>0</v>
      </c>
      <c r="L265" s="29"/>
      <c r="M265" s="24">
        <f t="shared" si="72"/>
        <v>0</v>
      </c>
      <c r="N265" s="30"/>
      <c r="O265" s="23">
        <f t="shared" si="73"/>
        <v>0</v>
      </c>
      <c r="P265" s="22">
        <v>210</v>
      </c>
      <c r="Q265" s="22">
        <f t="shared" si="74"/>
        <v>8820</v>
      </c>
      <c r="R265" s="25"/>
      <c r="S265" s="25">
        <f t="shared" si="75"/>
        <v>0</v>
      </c>
      <c r="T265" s="25"/>
      <c r="U265" s="25">
        <f t="shared" si="76"/>
        <v>0</v>
      </c>
      <c r="V265" s="23"/>
      <c r="W265" s="23">
        <f t="shared" si="77"/>
        <v>0</v>
      </c>
      <c r="X265" s="23"/>
      <c r="Y265" s="23">
        <f t="shared" si="78"/>
        <v>0</v>
      </c>
      <c r="Z265" s="23"/>
      <c r="AA265" s="23">
        <f t="shared" si="79"/>
        <v>0</v>
      </c>
      <c r="AB265" s="23"/>
      <c r="AC265" s="23">
        <f t="shared" si="80"/>
        <v>0</v>
      </c>
      <c r="AD265" s="23"/>
      <c r="AE265" s="23">
        <f t="shared" si="81"/>
        <v>0</v>
      </c>
      <c r="AF265" s="26"/>
      <c r="AG265" s="26">
        <f t="shared" si="82"/>
        <v>0</v>
      </c>
      <c r="AH265" s="23"/>
      <c r="AI265" s="23">
        <f t="shared" si="83"/>
        <v>0</v>
      </c>
      <c r="AJ265" s="23"/>
      <c r="AK265" s="23">
        <f t="shared" si="84"/>
        <v>0</v>
      </c>
      <c r="AL265" s="26"/>
      <c r="AM265" s="26">
        <f t="shared" si="85"/>
        <v>0</v>
      </c>
      <c r="AN265" s="12">
        <f t="shared" si="86"/>
        <v>210</v>
      </c>
      <c r="AO265" s="22">
        <f t="shared" si="87"/>
        <v>8820</v>
      </c>
    </row>
    <row r="266" spans="1:41" x14ac:dyDescent="0.5">
      <c r="A266" s="19">
        <v>262</v>
      </c>
      <c r="B266" s="20" t="s">
        <v>500</v>
      </c>
      <c r="C266" s="21" t="s">
        <v>501</v>
      </c>
      <c r="D266" s="16">
        <v>1065</v>
      </c>
      <c r="E266" s="16">
        <v>7</v>
      </c>
      <c r="F266" s="22">
        <v>1141</v>
      </c>
      <c r="G266" s="22">
        <f t="shared" si="88"/>
        <v>35507.919999999998</v>
      </c>
      <c r="H266" s="22">
        <v>775</v>
      </c>
      <c r="I266" s="23">
        <f t="shared" si="89"/>
        <v>25117.749999999996</v>
      </c>
      <c r="J266" s="22">
        <v>484</v>
      </c>
      <c r="K266" s="22">
        <f t="shared" si="90"/>
        <v>15976.839999999998</v>
      </c>
      <c r="L266" s="29">
        <v>564</v>
      </c>
      <c r="M266" s="24">
        <f t="shared" ref="M266:M329" si="91">L266*35.12</f>
        <v>19807.68</v>
      </c>
      <c r="N266" s="30">
        <v>385</v>
      </c>
      <c r="O266" s="23">
        <f t="shared" ref="O266:O329" si="92">N266*38.25</f>
        <v>14726.25</v>
      </c>
      <c r="P266" s="22">
        <v>364</v>
      </c>
      <c r="Q266" s="22">
        <f t="shared" ref="Q266:Q329" si="93">P266*42</f>
        <v>15288</v>
      </c>
      <c r="R266" s="25">
        <v>460</v>
      </c>
      <c r="S266" s="25">
        <f t="shared" ref="S266:S329" si="94">R266*38.7</f>
        <v>17802</v>
      </c>
      <c r="T266" s="25">
        <v>541</v>
      </c>
      <c r="U266" s="25">
        <f t="shared" si="76"/>
        <v>18231.7</v>
      </c>
      <c r="V266" s="23">
        <v>481</v>
      </c>
      <c r="W266" s="23">
        <f t="shared" si="77"/>
        <v>15776.8</v>
      </c>
      <c r="X266" s="23">
        <v>572</v>
      </c>
      <c r="Y266" s="23">
        <f t="shared" si="78"/>
        <v>20105.8</v>
      </c>
      <c r="Z266" s="23">
        <v>562</v>
      </c>
      <c r="AA266" s="23">
        <f t="shared" si="79"/>
        <v>19478.919999999998</v>
      </c>
      <c r="AB266" s="23"/>
      <c r="AC266" s="23">
        <f t="shared" si="80"/>
        <v>0</v>
      </c>
      <c r="AD266" s="23">
        <v>732</v>
      </c>
      <c r="AE266" s="23">
        <f t="shared" si="81"/>
        <v>25649.279999999999</v>
      </c>
      <c r="AF266" s="26">
        <v>630</v>
      </c>
      <c r="AG266" s="26">
        <f t="shared" si="82"/>
        <v>21533.4</v>
      </c>
      <c r="AH266" s="23">
        <v>508</v>
      </c>
      <c r="AI266" s="23">
        <f t="shared" si="83"/>
        <v>16916.399999999998</v>
      </c>
      <c r="AJ266" s="23">
        <v>568</v>
      </c>
      <c r="AK266" s="23">
        <f t="shared" si="84"/>
        <v>20419.600000000002</v>
      </c>
      <c r="AL266" s="26">
        <v>814</v>
      </c>
      <c r="AM266" s="26">
        <f t="shared" si="85"/>
        <v>29849.38</v>
      </c>
      <c r="AN266" s="12">
        <f t="shared" si="86"/>
        <v>9581</v>
      </c>
      <c r="AO266" s="22">
        <f t="shared" si="87"/>
        <v>332187.71999999997</v>
      </c>
    </row>
    <row r="267" spans="1:41" x14ac:dyDescent="0.5">
      <c r="A267" s="19">
        <v>263</v>
      </c>
      <c r="B267" s="20" t="s">
        <v>502</v>
      </c>
      <c r="C267" s="21" t="s">
        <v>503</v>
      </c>
      <c r="D267" s="16"/>
      <c r="E267" s="16">
        <v>7</v>
      </c>
      <c r="F267" s="22"/>
      <c r="G267" s="22">
        <f t="shared" si="88"/>
        <v>0</v>
      </c>
      <c r="H267" s="22"/>
      <c r="I267" s="23">
        <f t="shared" si="89"/>
        <v>0</v>
      </c>
      <c r="J267" s="22"/>
      <c r="K267" s="22">
        <f t="shared" si="90"/>
        <v>0</v>
      </c>
      <c r="L267" s="29"/>
      <c r="M267" s="24">
        <f t="shared" si="91"/>
        <v>0</v>
      </c>
      <c r="N267" s="30"/>
      <c r="O267" s="23">
        <f t="shared" si="92"/>
        <v>0</v>
      </c>
      <c r="P267" s="22"/>
      <c r="Q267" s="22">
        <f t="shared" si="93"/>
        <v>0</v>
      </c>
      <c r="R267" s="25"/>
      <c r="S267" s="25">
        <f t="shared" si="94"/>
        <v>0</v>
      </c>
      <c r="T267" s="25"/>
      <c r="U267" s="25">
        <f t="shared" si="76"/>
        <v>0</v>
      </c>
      <c r="V267" s="23"/>
      <c r="W267" s="23">
        <f t="shared" si="77"/>
        <v>0</v>
      </c>
      <c r="X267" s="23"/>
      <c r="Y267" s="23">
        <f t="shared" si="78"/>
        <v>0</v>
      </c>
      <c r="Z267" s="23">
        <v>259</v>
      </c>
      <c r="AA267" s="23">
        <f t="shared" si="79"/>
        <v>8976.9399999999987</v>
      </c>
      <c r="AB267" s="23">
        <v>220</v>
      </c>
      <c r="AC267" s="23">
        <f t="shared" si="80"/>
        <v>7930.9999999999991</v>
      </c>
      <c r="AD267" s="23">
        <v>266</v>
      </c>
      <c r="AE267" s="23">
        <f t="shared" si="81"/>
        <v>9320.64</v>
      </c>
      <c r="AF267" s="26">
        <v>272</v>
      </c>
      <c r="AG267" s="26">
        <f t="shared" si="82"/>
        <v>9296.9599999999991</v>
      </c>
      <c r="AH267" s="23">
        <v>307</v>
      </c>
      <c r="AI267" s="23">
        <f t="shared" si="83"/>
        <v>10223.099999999999</v>
      </c>
      <c r="AJ267" s="23">
        <v>271</v>
      </c>
      <c r="AK267" s="23">
        <f t="shared" si="84"/>
        <v>9742.4500000000007</v>
      </c>
      <c r="AL267" s="26">
        <v>273</v>
      </c>
      <c r="AM267" s="26">
        <f t="shared" si="85"/>
        <v>10010.91</v>
      </c>
      <c r="AN267" s="12">
        <f t="shared" si="86"/>
        <v>1868</v>
      </c>
      <c r="AO267" s="22">
        <f t="shared" si="87"/>
        <v>65502</v>
      </c>
    </row>
    <row r="268" spans="1:41" x14ac:dyDescent="0.5">
      <c r="A268" s="19">
        <v>264</v>
      </c>
      <c r="B268" s="20" t="s">
        <v>256</v>
      </c>
      <c r="C268" s="21" t="s">
        <v>504</v>
      </c>
      <c r="D268" s="16">
        <v>111</v>
      </c>
      <c r="E268" s="16">
        <v>8</v>
      </c>
      <c r="F268" s="22">
        <v>1763</v>
      </c>
      <c r="G268" s="22">
        <f t="shared" si="88"/>
        <v>54864.560000000005</v>
      </c>
      <c r="H268" s="22">
        <v>1227</v>
      </c>
      <c r="I268" s="23">
        <f t="shared" si="89"/>
        <v>39767.069999999992</v>
      </c>
      <c r="J268" s="22"/>
      <c r="K268" s="22">
        <f t="shared" si="90"/>
        <v>0</v>
      </c>
      <c r="L268" s="22">
        <v>242</v>
      </c>
      <c r="M268" s="24">
        <f t="shared" si="91"/>
        <v>8499.0399999999991</v>
      </c>
      <c r="N268" s="23">
        <v>807</v>
      </c>
      <c r="O268" s="23">
        <f t="shared" si="92"/>
        <v>30867.75</v>
      </c>
      <c r="P268" s="22">
        <v>1251</v>
      </c>
      <c r="Q268" s="22">
        <f t="shared" si="93"/>
        <v>52542</v>
      </c>
      <c r="R268" s="25">
        <v>1141</v>
      </c>
      <c r="S268" s="25">
        <f t="shared" si="94"/>
        <v>44156.700000000004</v>
      </c>
      <c r="T268" s="25">
        <v>1703</v>
      </c>
      <c r="U268" s="25">
        <f t="shared" si="76"/>
        <v>57391.100000000006</v>
      </c>
      <c r="V268" s="23">
        <v>1701</v>
      </c>
      <c r="W268" s="23">
        <f t="shared" si="77"/>
        <v>55792.799999999996</v>
      </c>
      <c r="X268" s="23">
        <v>1336</v>
      </c>
      <c r="Y268" s="23">
        <f t="shared" si="78"/>
        <v>46960.4</v>
      </c>
      <c r="Z268" s="23">
        <v>1109</v>
      </c>
      <c r="AA268" s="23">
        <f t="shared" si="79"/>
        <v>38437.939999999995</v>
      </c>
      <c r="AB268" s="23">
        <v>1230</v>
      </c>
      <c r="AC268" s="23">
        <f t="shared" si="80"/>
        <v>44341.5</v>
      </c>
      <c r="AD268" s="23">
        <v>1256</v>
      </c>
      <c r="AE268" s="23">
        <f t="shared" si="81"/>
        <v>44010.239999999998</v>
      </c>
      <c r="AF268" s="26">
        <v>1285</v>
      </c>
      <c r="AG268" s="26">
        <f t="shared" si="82"/>
        <v>43921.3</v>
      </c>
      <c r="AH268" s="23">
        <v>1261</v>
      </c>
      <c r="AI268" s="23">
        <f t="shared" si="83"/>
        <v>41991.299999999996</v>
      </c>
      <c r="AJ268" s="23">
        <v>1570</v>
      </c>
      <c r="AK268" s="23">
        <f t="shared" si="84"/>
        <v>56441.500000000007</v>
      </c>
      <c r="AL268" s="26">
        <v>1670</v>
      </c>
      <c r="AM268" s="26">
        <f t="shared" si="85"/>
        <v>61238.9</v>
      </c>
      <c r="AN268" s="12">
        <f t="shared" si="86"/>
        <v>20552</v>
      </c>
      <c r="AO268" s="22">
        <f t="shared" si="87"/>
        <v>721224.10000000009</v>
      </c>
    </row>
    <row r="269" spans="1:41" s="31" customFormat="1" x14ac:dyDescent="0.5">
      <c r="A269" s="19">
        <v>265</v>
      </c>
      <c r="B269" s="20" t="s">
        <v>505</v>
      </c>
      <c r="C269" s="21" t="s">
        <v>506</v>
      </c>
      <c r="D269" s="16">
        <v>113</v>
      </c>
      <c r="E269" s="16">
        <v>8</v>
      </c>
      <c r="F269" s="22">
        <v>2882</v>
      </c>
      <c r="G269" s="22">
        <f t="shared" si="88"/>
        <v>89687.84</v>
      </c>
      <c r="H269" s="22">
        <v>1791</v>
      </c>
      <c r="I269" s="23">
        <f t="shared" si="89"/>
        <v>58046.30999999999</v>
      </c>
      <c r="J269" s="22">
        <v>1472</v>
      </c>
      <c r="K269" s="22">
        <f t="shared" si="90"/>
        <v>48590.719999999994</v>
      </c>
      <c r="L269" s="22">
        <v>705</v>
      </c>
      <c r="M269" s="24">
        <f t="shared" si="91"/>
        <v>24759.599999999999</v>
      </c>
      <c r="N269" s="23">
        <v>1948</v>
      </c>
      <c r="O269" s="23">
        <f t="shared" si="92"/>
        <v>74511</v>
      </c>
      <c r="P269" s="22">
        <v>2169</v>
      </c>
      <c r="Q269" s="22">
        <f t="shared" si="93"/>
        <v>91098</v>
      </c>
      <c r="R269" s="25">
        <v>2221</v>
      </c>
      <c r="S269" s="25">
        <f t="shared" si="94"/>
        <v>85952.700000000012</v>
      </c>
      <c r="T269" s="25">
        <v>1985</v>
      </c>
      <c r="U269" s="25">
        <f t="shared" si="76"/>
        <v>66894.5</v>
      </c>
      <c r="V269" s="23">
        <v>2776</v>
      </c>
      <c r="W269" s="23">
        <f t="shared" si="77"/>
        <v>91052.799999999988</v>
      </c>
      <c r="X269" s="23">
        <v>3009</v>
      </c>
      <c r="Y269" s="23">
        <f t="shared" si="78"/>
        <v>105766.34999999999</v>
      </c>
      <c r="Z269" s="23">
        <v>3005</v>
      </c>
      <c r="AA269" s="23">
        <f t="shared" si="79"/>
        <v>104153.29999999999</v>
      </c>
      <c r="AB269" s="23">
        <v>1655</v>
      </c>
      <c r="AC269" s="23">
        <f t="shared" si="80"/>
        <v>59662.749999999993</v>
      </c>
      <c r="AD269" s="23">
        <v>2638</v>
      </c>
      <c r="AE269" s="23">
        <f t="shared" si="81"/>
        <v>92435.520000000004</v>
      </c>
      <c r="AF269" s="26">
        <v>3174</v>
      </c>
      <c r="AG269" s="26">
        <f t="shared" si="82"/>
        <v>108487.31999999999</v>
      </c>
      <c r="AH269" s="23">
        <v>2849</v>
      </c>
      <c r="AI269" s="23">
        <f t="shared" si="83"/>
        <v>94871.7</v>
      </c>
      <c r="AJ269" s="23">
        <v>3302</v>
      </c>
      <c r="AK269" s="23">
        <f t="shared" si="84"/>
        <v>118706.90000000001</v>
      </c>
      <c r="AL269" s="26">
        <v>3675</v>
      </c>
      <c r="AM269" s="26">
        <f t="shared" si="85"/>
        <v>134762.25</v>
      </c>
      <c r="AN269" s="12">
        <f t="shared" si="86"/>
        <v>41256</v>
      </c>
      <c r="AO269" s="22">
        <f t="shared" si="87"/>
        <v>1449439.5599999998</v>
      </c>
    </row>
    <row r="270" spans="1:41" x14ac:dyDescent="0.5">
      <c r="A270" s="19">
        <v>266</v>
      </c>
      <c r="B270" s="20" t="s">
        <v>507</v>
      </c>
      <c r="C270" s="21" t="s">
        <v>508</v>
      </c>
      <c r="D270" s="16">
        <v>114</v>
      </c>
      <c r="E270" s="16">
        <v>8</v>
      </c>
      <c r="F270" s="22">
        <v>2224</v>
      </c>
      <c r="G270" s="22">
        <f t="shared" si="88"/>
        <v>69210.880000000005</v>
      </c>
      <c r="H270" s="22">
        <v>1176</v>
      </c>
      <c r="I270" s="23">
        <f t="shared" si="89"/>
        <v>38114.159999999996</v>
      </c>
      <c r="J270" s="22"/>
      <c r="K270" s="22">
        <f t="shared" si="90"/>
        <v>0</v>
      </c>
      <c r="L270" s="29"/>
      <c r="M270" s="24">
        <f t="shared" si="91"/>
        <v>0</v>
      </c>
      <c r="N270" s="30">
        <v>1405</v>
      </c>
      <c r="O270" s="23">
        <f t="shared" si="92"/>
        <v>53741.25</v>
      </c>
      <c r="P270" s="22">
        <v>1979</v>
      </c>
      <c r="Q270" s="22">
        <f t="shared" si="93"/>
        <v>83118</v>
      </c>
      <c r="R270" s="25">
        <v>1752</v>
      </c>
      <c r="S270" s="25">
        <f t="shared" si="94"/>
        <v>67802.400000000009</v>
      </c>
      <c r="T270" s="25">
        <v>2179</v>
      </c>
      <c r="U270" s="25">
        <f t="shared" si="76"/>
        <v>73432.3</v>
      </c>
      <c r="V270" s="23">
        <v>2300</v>
      </c>
      <c r="W270" s="23">
        <f t="shared" si="77"/>
        <v>75440</v>
      </c>
      <c r="X270" s="23">
        <v>2588</v>
      </c>
      <c r="Y270" s="23">
        <f t="shared" si="78"/>
        <v>90968.2</v>
      </c>
      <c r="Z270" s="23">
        <v>2024</v>
      </c>
      <c r="AA270" s="23">
        <f t="shared" si="79"/>
        <v>70151.839999999997</v>
      </c>
      <c r="AB270" s="23">
        <v>1221</v>
      </c>
      <c r="AC270" s="23">
        <f t="shared" si="80"/>
        <v>44017.049999999996</v>
      </c>
      <c r="AD270" s="23">
        <v>3051</v>
      </c>
      <c r="AE270" s="23">
        <f t="shared" si="81"/>
        <v>106907.04</v>
      </c>
      <c r="AF270" s="26">
        <v>2949</v>
      </c>
      <c r="AG270" s="26">
        <f t="shared" si="82"/>
        <v>100796.81999999999</v>
      </c>
      <c r="AH270" s="23">
        <v>2583</v>
      </c>
      <c r="AI270" s="23">
        <f t="shared" si="83"/>
        <v>86013.9</v>
      </c>
      <c r="AJ270" s="23">
        <v>3342</v>
      </c>
      <c r="AK270" s="23">
        <f t="shared" si="84"/>
        <v>120144.90000000001</v>
      </c>
      <c r="AL270" s="26">
        <v>3432</v>
      </c>
      <c r="AM270" s="26">
        <f t="shared" si="85"/>
        <v>125851.44</v>
      </c>
      <c r="AN270" s="12">
        <f t="shared" si="86"/>
        <v>34205</v>
      </c>
      <c r="AO270" s="22">
        <f t="shared" si="87"/>
        <v>1205710.18</v>
      </c>
    </row>
    <row r="271" spans="1:41" x14ac:dyDescent="0.5">
      <c r="A271" s="19">
        <v>267</v>
      </c>
      <c r="B271" s="27" t="s">
        <v>509</v>
      </c>
      <c r="C271" s="28" t="s">
        <v>510</v>
      </c>
      <c r="D271" s="16">
        <v>116</v>
      </c>
      <c r="E271" s="16">
        <v>8</v>
      </c>
      <c r="F271" s="22">
        <v>401</v>
      </c>
      <c r="G271" s="22">
        <f t="shared" si="88"/>
        <v>12479.12</v>
      </c>
      <c r="H271" s="22">
        <v>288</v>
      </c>
      <c r="I271" s="23">
        <f t="shared" si="89"/>
        <v>9334.0799999999981</v>
      </c>
      <c r="J271" s="22">
        <v>319</v>
      </c>
      <c r="K271" s="22">
        <f t="shared" si="90"/>
        <v>10530.189999999999</v>
      </c>
      <c r="L271" s="29"/>
      <c r="M271" s="24">
        <f t="shared" si="91"/>
        <v>0</v>
      </c>
      <c r="N271" s="30">
        <v>251</v>
      </c>
      <c r="O271" s="23">
        <f t="shared" si="92"/>
        <v>9600.75</v>
      </c>
      <c r="P271" s="22">
        <v>332</v>
      </c>
      <c r="Q271" s="22">
        <f t="shared" si="93"/>
        <v>13944</v>
      </c>
      <c r="R271" s="25">
        <v>272</v>
      </c>
      <c r="S271" s="25">
        <f t="shared" si="94"/>
        <v>10526.400000000001</v>
      </c>
      <c r="T271" s="25">
        <v>453</v>
      </c>
      <c r="U271" s="25">
        <f t="shared" si="76"/>
        <v>15266.100000000002</v>
      </c>
      <c r="V271" s="23">
        <v>528</v>
      </c>
      <c r="W271" s="23">
        <f t="shared" si="77"/>
        <v>17318.399999999998</v>
      </c>
      <c r="X271" s="23">
        <v>386</v>
      </c>
      <c r="Y271" s="23">
        <f t="shared" si="78"/>
        <v>13567.9</v>
      </c>
      <c r="Z271" s="23">
        <v>495</v>
      </c>
      <c r="AA271" s="23">
        <f t="shared" si="79"/>
        <v>17156.699999999997</v>
      </c>
      <c r="AB271" s="23"/>
      <c r="AC271" s="23">
        <f t="shared" si="80"/>
        <v>0</v>
      </c>
      <c r="AD271" s="23">
        <v>529</v>
      </c>
      <c r="AE271" s="23">
        <f t="shared" si="81"/>
        <v>18536.16</v>
      </c>
      <c r="AF271" s="26"/>
      <c r="AG271" s="26">
        <f t="shared" si="82"/>
        <v>0</v>
      </c>
      <c r="AH271" s="23"/>
      <c r="AI271" s="23">
        <f t="shared" si="83"/>
        <v>0</v>
      </c>
      <c r="AJ271" s="23">
        <v>360</v>
      </c>
      <c r="AK271" s="23">
        <f t="shared" si="84"/>
        <v>12942.000000000002</v>
      </c>
      <c r="AL271" s="23"/>
      <c r="AM271" s="26">
        <f t="shared" si="85"/>
        <v>0</v>
      </c>
      <c r="AN271" s="12">
        <f t="shared" si="86"/>
        <v>4614</v>
      </c>
      <c r="AO271" s="22">
        <f t="shared" si="87"/>
        <v>161201.79999999999</v>
      </c>
    </row>
    <row r="272" spans="1:41" x14ac:dyDescent="0.5">
      <c r="A272" s="19">
        <v>268</v>
      </c>
      <c r="B272" s="20" t="s">
        <v>36</v>
      </c>
      <c r="C272" s="21" t="s">
        <v>511</v>
      </c>
      <c r="D272" s="16">
        <v>118</v>
      </c>
      <c r="E272" s="16">
        <v>8</v>
      </c>
      <c r="F272" s="22">
        <v>884</v>
      </c>
      <c r="G272" s="22">
        <f t="shared" si="88"/>
        <v>27510.080000000002</v>
      </c>
      <c r="H272" s="22">
        <v>720</v>
      </c>
      <c r="I272" s="23">
        <f t="shared" si="89"/>
        <v>23335.199999999997</v>
      </c>
      <c r="J272" s="22">
        <v>487</v>
      </c>
      <c r="K272" s="22">
        <f t="shared" si="90"/>
        <v>16075.869999999999</v>
      </c>
      <c r="L272" s="22">
        <v>585</v>
      </c>
      <c r="M272" s="24">
        <f t="shared" si="91"/>
        <v>20545.199999999997</v>
      </c>
      <c r="N272" s="23">
        <v>544</v>
      </c>
      <c r="O272" s="23">
        <f t="shared" si="92"/>
        <v>20808</v>
      </c>
      <c r="P272" s="22">
        <v>712</v>
      </c>
      <c r="Q272" s="22">
        <f t="shared" si="93"/>
        <v>29904</v>
      </c>
      <c r="R272" s="25">
        <v>628</v>
      </c>
      <c r="S272" s="25">
        <f t="shared" si="94"/>
        <v>24303.600000000002</v>
      </c>
      <c r="T272" s="25">
        <v>718</v>
      </c>
      <c r="U272" s="25">
        <f t="shared" si="76"/>
        <v>24196.600000000002</v>
      </c>
      <c r="V272" s="23">
        <v>754</v>
      </c>
      <c r="W272" s="23">
        <f t="shared" si="77"/>
        <v>24731.199999999997</v>
      </c>
      <c r="X272" s="23">
        <v>777</v>
      </c>
      <c r="Y272" s="23">
        <f t="shared" si="78"/>
        <v>27311.55</v>
      </c>
      <c r="Z272" s="23">
        <v>742</v>
      </c>
      <c r="AA272" s="23">
        <f t="shared" si="79"/>
        <v>25717.719999999998</v>
      </c>
      <c r="AB272" s="23">
        <v>712</v>
      </c>
      <c r="AC272" s="23">
        <f t="shared" si="80"/>
        <v>25667.599999999999</v>
      </c>
      <c r="AD272" s="23">
        <v>867</v>
      </c>
      <c r="AE272" s="23">
        <f t="shared" si="81"/>
        <v>30379.68</v>
      </c>
      <c r="AF272" s="26">
        <v>698</v>
      </c>
      <c r="AG272" s="26">
        <f t="shared" si="82"/>
        <v>23857.64</v>
      </c>
      <c r="AH272" s="23">
        <v>785</v>
      </c>
      <c r="AI272" s="23">
        <f t="shared" si="83"/>
        <v>26140.499999999996</v>
      </c>
      <c r="AJ272" s="23">
        <v>1129</v>
      </c>
      <c r="AK272" s="23">
        <f t="shared" si="84"/>
        <v>40587.550000000003</v>
      </c>
      <c r="AL272" s="26">
        <v>1076</v>
      </c>
      <c r="AM272" s="26">
        <f t="shared" si="85"/>
        <v>39456.92</v>
      </c>
      <c r="AN272" s="12">
        <f t="shared" si="86"/>
        <v>12818</v>
      </c>
      <c r="AO272" s="22">
        <f t="shared" si="87"/>
        <v>450528.90999999992</v>
      </c>
    </row>
    <row r="273" spans="1:41" x14ac:dyDescent="0.5">
      <c r="A273" s="19">
        <v>269</v>
      </c>
      <c r="B273" s="20" t="s">
        <v>512</v>
      </c>
      <c r="C273" s="21" t="s">
        <v>513</v>
      </c>
      <c r="D273" s="16">
        <v>143</v>
      </c>
      <c r="E273" s="16">
        <v>8</v>
      </c>
      <c r="F273" s="22">
        <v>248</v>
      </c>
      <c r="G273" s="22">
        <f t="shared" si="88"/>
        <v>7717.76</v>
      </c>
      <c r="H273" s="22">
        <v>166</v>
      </c>
      <c r="I273" s="23">
        <f t="shared" si="89"/>
        <v>5380.0599999999995</v>
      </c>
      <c r="J273" s="22"/>
      <c r="K273" s="22">
        <f t="shared" si="90"/>
        <v>0</v>
      </c>
      <c r="L273" s="22"/>
      <c r="M273" s="24">
        <f t="shared" si="91"/>
        <v>0</v>
      </c>
      <c r="N273" s="23">
        <v>249</v>
      </c>
      <c r="O273" s="23">
        <f t="shared" si="92"/>
        <v>9524.25</v>
      </c>
      <c r="P273" s="22">
        <v>257</v>
      </c>
      <c r="Q273" s="22">
        <f t="shared" si="93"/>
        <v>10794</v>
      </c>
      <c r="R273" s="25">
        <v>218</v>
      </c>
      <c r="S273" s="25">
        <f t="shared" si="94"/>
        <v>8436.6</v>
      </c>
      <c r="T273" s="25">
        <v>211</v>
      </c>
      <c r="U273" s="25">
        <f t="shared" si="76"/>
        <v>7110.7000000000007</v>
      </c>
      <c r="V273" s="23">
        <v>215</v>
      </c>
      <c r="W273" s="23">
        <f t="shared" si="77"/>
        <v>7051.9999999999991</v>
      </c>
      <c r="X273" s="23">
        <v>231</v>
      </c>
      <c r="Y273" s="23">
        <f t="shared" si="78"/>
        <v>8119.65</v>
      </c>
      <c r="Z273" s="23">
        <v>234</v>
      </c>
      <c r="AA273" s="23">
        <f t="shared" si="79"/>
        <v>8110.44</v>
      </c>
      <c r="AB273" s="23"/>
      <c r="AC273" s="23">
        <f t="shared" si="80"/>
        <v>0</v>
      </c>
      <c r="AD273" s="23">
        <v>312</v>
      </c>
      <c r="AE273" s="23">
        <f t="shared" si="81"/>
        <v>10932.48</v>
      </c>
      <c r="AF273" s="26">
        <v>288</v>
      </c>
      <c r="AG273" s="26">
        <f t="shared" si="82"/>
        <v>9843.84</v>
      </c>
      <c r="AH273" s="23">
        <v>302</v>
      </c>
      <c r="AI273" s="23">
        <f t="shared" si="83"/>
        <v>10056.599999999999</v>
      </c>
      <c r="AJ273" s="23">
        <v>356</v>
      </c>
      <c r="AK273" s="23">
        <f t="shared" si="84"/>
        <v>12798.2</v>
      </c>
      <c r="AL273" s="26">
        <v>303</v>
      </c>
      <c r="AM273" s="26">
        <f t="shared" si="85"/>
        <v>11111.01</v>
      </c>
      <c r="AN273" s="12">
        <f t="shared" si="86"/>
        <v>3590</v>
      </c>
      <c r="AO273" s="22">
        <f t="shared" si="87"/>
        <v>126987.58999999997</v>
      </c>
    </row>
    <row r="274" spans="1:41" x14ac:dyDescent="0.5">
      <c r="A274" s="19">
        <v>270</v>
      </c>
      <c r="B274" s="20" t="s">
        <v>74</v>
      </c>
      <c r="C274" s="21" t="s">
        <v>514</v>
      </c>
      <c r="D274" s="16">
        <v>187</v>
      </c>
      <c r="E274" s="16">
        <v>8</v>
      </c>
      <c r="F274" s="22">
        <v>939</v>
      </c>
      <c r="G274" s="22">
        <f t="shared" si="88"/>
        <v>29221.68</v>
      </c>
      <c r="H274" s="22">
        <v>1147</v>
      </c>
      <c r="I274" s="23">
        <f t="shared" si="89"/>
        <v>37174.269999999997</v>
      </c>
      <c r="J274" s="22">
        <v>716</v>
      </c>
      <c r="K274" s="22">
        <f t="shared" si="90"/>
        <v>23635.16</v>
      </c>
      <c r="L274" s="29"/>
      <c r="M274" s="24">
        <f t="shared" si="91"/>
        <v>0</v>
      </c>
      <c r="N274" s="30"/>
      <c r="O274" s="23">
        <f t="shared" si="92"/>
        <v>0</v>
      </c>
      <c r="P274" s="22"/>
      <c r="Q274" s="22">
        <f t="shared" si="93"/>
        <v>0</v>
      </c>
      <c r="R274" s="25"/>
      <c r="S274" s="25">
        <f t="shared" si="94"/>
        <v>0</v>
      </c>
      <c r="T274" s="25"/>
      <c r="U274" s="25">
        <f t="shared" si="76"/>
        <v>0</v>
      </c>
      <c r="V274" s="23">
        <v>686</v>
      </c>
      <c r="W274" s="23">
        <f t="shared" si="77"/>
        <v>22500.799999999999</v>
      </c>
      <c r="X274" s="23">
        <v>204</v>
      </c>
      <c r="Y274" s="23">
        <f t="shared" si="78"/>
        <v>7170.5999999999995</v>
      </c>
      <c r="Z274" s="23"/>
      <c r="AA274" s="23">
        <f t="shared" si="79"/>
        <v>0</v>
      </c>
      <c r="AB274" s="23"/>
      <c r="AC274" s="23">
        <f t="shared" si="80"/>
        <v>0</v>
      </c>
      <c r="AD274" s="23"/>
      <c r="AE274" s="23">
        <f t="shared" si="81"/>
        <v>0</v>
      </c>
      <c r="AF274" s="26">
        <v>927</v>
      </c>
      <c r="AG274" s="26">
        <f t="shared" si="82"/>
        <v>31684.86</v>
      </c>
      <c r="AH274" s="23">
        <v>727</v>
      </c>
      <c r="AI274" s="23">
        <f t="shared" si="83"/>
        <v>24209.1</v>
      </c>
      <c r="AJ274" s="23">
        <v>1814</v>
      </c>
      <c r="AK274" s="23">
        <f t="shared" si="84"/>
        <v>65213.3</v>
      </c>
      <c r="AL274" s="26">
        <v>1903</v>
      </c>
      <c r="AM274" s="26">
        <f t="shared" si="85"/>
        <v>69783.010000000009</v>
      </c>
      <c r="AN274" s="12">
        <f t="shared" si="86"/>
        <v>9063</v>
      </c>
      <c r="AO274" s="22">
        <f t="shared" si="87"/>
        <v>310592.78000000003</v>
      </c>
    </row>
    <row r="275" spans="1:41" x14ac:dyDescent="0.5">
      <c r="A275" s="19">
        <v>271</v>
      </c>
      <c r="B275" s="20" t="s">
        <v>515</v>
      </c>
      <c r="C275" s="21" t="s">
        <v>516</v>
      </c>
      <c r="D275" s="16">
        <v>238</v>
      </c>
      <c r="E275" s="16">
        <v>8</v>
      </c>
      <c r="F275" s="22"/>
      <c r="G275" s="22">
        <f t="shared" si="88"/>
        <v>0</v>
      </c>
      <c r="H275" s="22"/>
      <c r="I275" s="23">
        <f t="shared" si="89"/>
        <v>0</v>
      </c>
      <c r="J275" s="22"/>
      <c r="K275" s="22">
        <f t="shared" si="90"/>
        <v>0</v>
      </c>
      <c r="L275" s="29"/>
      <c r="M275" s="24">
        <f t="shared" si="91"/>
        <v>0</v>
      </c>
      <c r="N275" s="30"/>
      <c r="O275" s="23">
        <f t="shared" si="92"/>
        <v>0</v>
      </c>
      <c r="P275" s="22">
        <v>158</v>
      </c>
      <c r="Q275" s="22">
        <f t="shared" si="93"/>
        <v>6636</v>
      </c>
      <c r="R275" s="25">
        <v>143</v>
      </c>
      <c r="S275" s="25">
        <f t="shared" si="94"/>
        <v>5534.1</v>
      </c>
      <c r="T275" s="25">
        <v>192</v>
      </c>
      <c r="U275" s="25">
        <f t="shared" si="76"/>
        <v>6470.4000000000005</v>
      </c>
      <c r="V275" s="23">
        <v>102</v>
      </c>
      <c r="W275" s="23">
        <f t="shared" si="77"/>
        <v>3345.6</v>
      </c>
      <c r="X275" s="23"/>
      <c r="Y275" s="23">
        <f t="shared" si="78"/>
        <v>0</v>
      </c>
      <c r="Z275" s="23">
        <v>101</v>
      </c>
      <c r="AA275" s="23">
        <f t="shared" si="79"/>
        <v>3500.66</v>
      </c>
      <c r="AB275" s="23"/>
      <c r="AC275" s="23">
        <f t="shared" si="80"/>
        <v>0</v>
      </c>
      <c r="AD275" s="23"/>
      <c r="AE275" s="23">
        <f t="shared" si="81"/>
        <v>0</v>
      </c>
      <c r="AF275" s="26">
        <v>278</v>
      </c>
      <c r="AG275" s="26">
        <f t="shared" si="82"/>
        <v>9502.0399999999991</v>
      </c>
      <c r="AH275" s="23">
        <v>157</v>
      </c>
      <c r="AI275" s="23">
        <f t="shared" si="83"/>
        <v>5228.0999999999995</v>
      </c>
      <c r="AJ275" s="23">
        <v>224</v>
      </c>
      <c r="AK275" s="23">
        <f t="shared" si="84"/>
        <v>8052.8000000000011</v>
      </c>
      <c r="AL275" s="26">
        <v>196</v>
      </c>
      <c r="AM275" s="26">
        <f t="shared" si="85"/>
        <v>7187.3200000000006</v>
      </c>
      <c r="AN275" s="12">
        <f t="shared" si="86"/>
        <v>1551</v>
      </c>
      <c r="AO275" s="22">
        <f t="shared" si="87"/>
        <v>55457.02</v>
      </c>
    </row>
    <row r="276" spans="1:41" x14ac:dyDescent="0.5">
      <c r="A276" s="19">
        <v>272</v>
      </c>
      <c r="B276" s="20" t="s">
        <v>517</v>
      </c>
      <c r="C276" s="21" t="s">
        <v>518</v>
      </c>
      <c r="D276" s="16">
        <v>289</v>
      </c>
      <c r="E276" s="16">
        <v>8</v>
      </c>
      <c r="F276" s="22">
        <v>100</v>
      </c>
      <c r="G276" s="22">
        <f t="shared" si="88"/>
        <v>3112</v>
      </c>
      <c r="H276" s="22">
        <v>61</v>
      </c>
      <c r="I276" s="23">
        <f t="shared" si="89"/>
        <v>1977.0099999999998</v>
      </c>
      <c r="J276" s="22"/>
      <c r="K276" s="22">
        <f t="shared" si="90"/>
        <v>0</v>
      </c>
      <c r="L276" s="29"/>
      <c r="M276" s="24">
        <f t="shared" si="91"/>
        <v>0</v>
      </c>
      <c r="N276" s="30"/>
      <c r="O276" s="23">
        <f t="shared" si="92"/>
        <v>0</v>
      </c>
      <c r="P276" s="22"/>
      <c r="Q276" s="22">
        <f t="shared" si="93"/>
        <v>0</v>
      </c>
      <c r="R276" s="25"/>
      <c r="S276" s="25">
        <f t="shared" si="94"/>
        <v>0</v>
      </c>
      <c r="T276" s="25"/>
      <c r="U276" s="25">
        <f t="shared" si="76"/>
        <v>0</v>
      </c>
      <c r="V276" s="23">
        <v>91</v>
      </c>
      <c r="W276" s="23">
        <f t="shared" si="77"/>
        <v>2984.7999999999997</v>
      </c>
      <c r="X276" s="23"/>
      <c r="Y276" s="23">
        <f t="shared" si="78"/>
        <v>0</v>
      </c>
      <c r="Z276" s="23"/>
      <c r="AA276" s="23">
        <f t="shared" si="79"/>
        <v>0</v>
      </c>
      <c r="AB276" s="23"/>
      <c r="AC276" s="23">
        <f t="shared" si="80"/>
        <v>0</v>
      </c>
      <c r="AD276" s="23"/>
      <c r="AE276" s="23">
        <f t="shared" si="81"/>
        <v>0</v>
      </c>
      <c r="AF276" s="26"/>
      <c r="AG276" s="26">
        <f t="shared" si="82"/>
        <v>0</v>
      </c>
      <c r="AH276" s="23"/>
      <c r="AI276" s="23">
        <f t="shared" si="83"/>
        <v>0</v>
      </c>
      <c r="AJ276" s="23"/>
      <c r="AK276" s="23">
        <f t="shared" si="84"/>
        <v>0</v>
      </c>
      <c r="AL276" s="26"/>
      <c r="AM276" s="26">
        <f t="shared" si="85"/>
        <v>0</v>
      </c>
      <c r="AN276" s="12">
        <f t="shared" si="86"/>
        <v>252</v>
      </c>
      <c r="AO276" s="22">
        <f t="shared" si="87"/>
        <v>8073.8099999999995</v>
      </c>
    </row>
    <row r="277" spans="1:41" x14ac:dyDescent="0.5">
      <c r="A277" s="19">
        <v>273</v>
      </c>
      <c r="B277" s="20" t="s">
        <v>519</v>
      </c>
      <c r="C277" s="21" t="s">
        <v>520</v>
      </c>
      <c r="D277" s="16">
        <v>291</v>
      </c>
      <c r="E277" s="16">
        <v>8</v>
      </c>
      <c r="F277" s="22">
        <v>581</v>
      </c>
      <c r="G277" s="22">
        <f t="shared" si="88"/>
        <v>18080.72</v>
      </c>
      <c r="H277" s="22">
        <v>369</v>
      </c>
      <c r="I277" s="23">
        <f t="shared" si="89"/>
        <v>11959.289999999999</v>
      </c>
      <c r="J277" s="22">
        <v>229</v>
      </c>
      <c r="K277" s="22">
        <f t="shared" si="90"/>
        <v>7559.29</v>
      </c>
      <c r="L277" s="29">
        <v>439</v>
      </c>
      <c r="M277" s="24">
        <f t="shared" si="91"/>
        <v>15417.679999999998</v>
      </c>
      <c r="N277" s="30">
        <v>457</v>
      </c>
      <c r="O277" s="23">
        <f t="shared" si="92"/>
        <v>17480.25</v>
      </c>
      <c r="P277" s="22">
        <v>451</v>
      </c>
      <c r="Q277" s="22">
        <f t="shared" si="93"/>
        <v>18942</v>
      </c>
      <c r="R277" s="25">
        <v>471</v>
      </c>
      <c r="S277" s="25">
        <f t="shared" si="94"/>
        <v>18227.7</v>
      </c>
      <c r="T277" s="25">
        <v>612</v>
      </c>
      <c r="U277" s="25">
        <f t="shared" si="76"/>
        <v>20624.400000000001</v>
      </c>
      <c r="V277" s="23">
        <v>586</v>
      </c>
      <c r="W277" s="23">
        <f t="shared" si="77"/>
        <v>19220.8</v>
      </c>
      <c r="X277" s="23">
        <v>701</v>
      </c>
      <c r="Y277" s="23">
        <f t="shared" si="78"/>
        <v>24640.149999999998</v>
      </c>
      <c r="Z277" s="23">
        <v>613</v>
      </c>
      <c r="AA277" s="23">
        <f t="shared" si="79"/>
        <v>21246.579999999998</v>
      </c>
      <c r="AB277" s="23">
        <v>506</v>
      </c>
      <c r="AC277" s="23">
        <f t="shared" si="80"/>
        <v>18241.3</v>
      </c>
      <c r="AD277" s="23">
        <v>674</v>
      </c>
      <c r="AE277" s="23">
        <f t="shared" si="81"/>
        <v>23616.959999999999</v>
      </c>
      <c r="AF277" s="26">
        <v>713</v>
      </c>
      <c r="AG277" s="26">
        <f t="shared" si="82"/>
        <v>24370.34</v>
      </c>
      <c r="AH277" s="23">
        <v>656</v>
      </c>
      <c r="AI277" s="23">
        <f t="shared" si="83"/>
        <v>21844.799999999999</v>
      </c>
      <c r="AJ277" s="23">
        <v>658</v>
      </c>
      <c r="AK277" s="23">
        <f t="shared" si="84"/>
        <v>23655.100000000002</v>
      </c>
      <c r="AL277" s="26">
        <v>648</v>
      </c>
      <c r="AM277" s="26">
        <f t="shared" si="85"/>
        <v>23762.16</v>
      </c>
      <c r="AN277" s="12">
        <f t="shared" si="86"/>
        <v>9364</v>
      </c>
      <c r="AO277" s="22">
        <f t="shared" si="87"/>
        <v>328889.5199999999</v>
      </c>
    </row>
    <row r="278" spans="1:41" x14ac:dyDescent="0.5">
      <c r="A278" s="19">
        <v>274</v>
      </c>
      <c r="B278" s="20" t="s">
        <v>521</v>
      </c>
      <c r="C278" s="21" t="s">
        <v>522</v>
      </c>
      <c r="D278" s="16">
        <v>293</v>
      </c>
      <c r="E278" s="16">
        <v>8</v>
      </c>
      <c r="F278" s="22">
        <v>333</v>
      </c>
      <c r="G278" s="22">
        <f t="shared" si="88"/>
        <v>10362.960000000001</v>
      </c>
      <c r="H278" s="22"/>
      <c r="I278" s="23">
        <f t="shared" si="89"/>
        <v>0</v>
      </c>
      <c r="J278" s="22"/>
      <c r="K278" s="22">
        <f t="shared" si="90"/>
        <v>0</v>
      </c>
      <c r="L278" s="22"/>
      <c r="M278" s="24">
        <f t="shared" si="91"/>
        <v>0</v>
      </c>
      <c r="N278" s="23"/>
      <c r="O278" s="23">
        <f t="shared" si="92"/>
        <v>0</v>
      </c>
      <c r="P278" s="22">
        <v>398</v>
      </c>
      <c r="Q278" s="22">
        <f t="shared" si="93"/>
        <v>16716</v>
      </c>
      <c r="R278" s="25">
        <v>426</v>
      </c>
      <c r="S278" s="25">
        <f t="shared" si="94"/>
        <v>16486.2</v>
      </c>
      <c r="T278" s="25">
        <v>542</v>
      </c>
      <c r="U278" s="25">
        <f t="shared" si="76"/>
        <v>18265.400000000001</v>
      </c>
      <c r="V278" s="23">
        <v>405</v>
      </c>
      <c r="W278" s="23">
        <f t="shared" si="77"/>
        <v>13283.999999999998</v>
      </c>
      <c r="X278" s="23">
        <v>592</v>
      </c>
      <c r="Y278" s="23">
        <f t="shared" si="78"/>
        <v>20808.8</v>
      </c>
      <c r="Z278" s="23">
        <v>559</v>
      </c>
      <c r="AA278" s="23">
        <f t="shared" si="79"/>
        <v>19374.939999999999</v>
      </c>
      <c r="AB278" s="23">
        <v>525</v>
      </c>
      <c r="AC278" s="23">
        <f t="shared" si="80"/>
        <v>18926.25</v>
      </c>
      <c r="AD278" s="23"/>
      <c r="AE278" s="23">
        <f t="shared" si="81"/>
        <v>0</v>
      </c>
      <c r="AF278" s="26"/>
      <c r="AG278" s="26">
        <f t="shared" si="82"/>
        <v>0</v>
      </c>
      <c r="AH278" s="23"/>
      <c r="AI278" s="23">
        <f t="shared" si="83"/>
        <v>0</v>
      </c>
      <c r="AJ278" s="23">
        <v>602</v>
      </c>
      <c r="AK278" s="23">
        <f t="shared" si="84"/>
        <v>21641.9</v>
      </c>
      <c r="AL278" s="26">
        <v>601</v>
      </c>
      <c r="AM278" s="26">
        <f t="shared" si="85"/>
        <v>22038.670000000002</v>
      </c>
      <c r="AN278" s="12">
        <f t="shared" si="86"/>
        <v>4983</v>
      </c>
      <c r="AO278" s="22">
        <f t="shared" si="87"/>
        <v>177905.12</v>
      </c>
    </row>
    <row r="279" spans="1:41" x14ac:dyDescent="0.5">
      <c r="A279" s="19">
        <v>275</v>
      </c>
      <c r="B279" s="20" t="s">
        <v>74</v>
      </c>
      <c r="C279" s="21" t="s">
        <v>523</v>
      </c>
      <c r="D279" s="16">
        <v>295</v>
      </c>
      <c r="E279" s="16">
        <v>8</v>
      </c>
      <c r="F279" s="22">
        <v>288</v>
      </c>
      <c r="G279" s="22">
        <f t="shared" si="88"/>
        <v>8962.56</v>
      </c>
      <c r="H279" s="22">
        <v>156</v>
      </c>
      <c r="I279" s="23">
        <f t="shared" si="89"/>
        <v>5055.9599999999991</v>
      </c>
      <c r="J279" s="22">
        <v>153</v>
      </c>
      <c r="K279" s="22">
        <f t="shared" si="90"/>
        <v>5050.53</v>
      </c>
      <c r="L279" s="22"/>
      <c r="M279" s="24">
        <f t="shared" si="91"/>
        <v>0</v>
      </c>
      <c r="N279" s="23"/>
      <c r="O279" s="23">
        <f t="shared" si="92"/>
        <v>0</v>
      </c>
      <c r="P279" s="22">
        <v>406</v>
      </c>
      <c r="Q279" s="22">
        <f t="shared" si="93"/>
        <v>17052</v>
      </c>
      <c r="R279" s="25">
        <v>362</v>
      </c>
      <c r="S279" s="25">
        <f t="shared" si="94"/>
        <v>14009.400000000001</v>
      </c>
      <c r="T279" s="25">
        <v>498</v>
      </c>
      <c r="U279" s="25">
        <f t="shared" si="76"/>
        <v>16782.600000000002</v>
      </c>
      <c r="V279" s="23">
        <v>372</v>
      </c>
      <c r="W279" s="23">
        <f t="shared" si="77"/>
        <v>12201.599999999999</v>
      </c>
      <c r="X279" s="23">
        <v>533</v>
      </c>
      <c r="Y279" s="23">
        <f t="shared" si="78"/>
        <v>18734.95</v>
      </c>
      <c r="Z279" s="23">
        <v>404</v>
      </c>
      <c r="AA279" s="23">
        <f t="shared" si="79"/>
        <v>14002.64</v>
      </c>
      <c r="AB279" s="23"/>
      <c r="AC279" s="23">
        <f t="shared" si="80"/>
        <v>0</v>
      </c>
      <c r="AD279" s="23">
        <v>240</v>
      </c>
      <c r="AE279" s="23">
        <f t="shared" si="81"/>
        <v>8409.6</v>
      </c>
      <c r="AF279" s="26">
        <v>423</v>
      </c>
      <c r="AG279" s="26">
        <f t="shared" si="82"/>
        <v>14458.14</v>
      </c>
      <c r="AH279" s="23">
        <v>441</v>
      </c>
      <c r="AI279" s="23">
        <f t="shared" si="83"/>
        <v>14685.3</v>
      </c>
      <c r="AJ279" s="23">
        <v>646</v>
      </c>
      <c r="AK279" s="23">
        <f t="shared" si="84"/>
        <v>23223.7</v>
      </c>
      <c r="AL279" s="26">
        <v>598</v>
      </c>
      <c r="AM279" s="26">
        <f t="shared" si="85"/>
        <v>21928.66</v>
      </c>
      <c r="AN279" s="12">
        <f t="shared" si="86"/>
        <v>5520</v>
      </c>
      <c r="AO279" s="22">
        <f t="shared" si="87"/>
        <v>194557.63999999998</v>
      </c>
    </row>
    <row r="280" spans="1:41" x14ac:dyDescent="0.5">
      <c r="A280" s="19">
        <v>276</v>
      </c>
      <c r="B280" s="20" t="s">
        <v>524</v>
      </c>
      <c r="C280" s="21" t="s">
        <v>525</v>
      </c>
      <c r="D280" s="16">
        <v>300</v>
      </c>
      <c r="E280" s="16">
        <v>8</v>
      </c>
      <c r="F280" s="22">
        <v>358</v>
      </c>
      <c r="G280" s="22">
        <f t="shared" si="88"/>
        <v>11140.960000000001</v>
      </c>
      <c r="H280" s="22">
        <v>157</v>
      </c>
      <c r="I280" s="23">
        <f t="shared" si="89"/>
        <v>5088.37</v>
      </c>
      <c r="J280" s="22"/>
      <c r="K280" s="22">
        <f t="shared" si="90"/>
        <v>0</v>
      </c>
      <c r="L280" s="22"/>
      <c r="M280" s="24">
        <f t="shared" si="91"/>
        <v>0</v>
      </c>
      <c r="N280" s="23"/>
      <c r="O280" s="23">
        <f t="shared" si="92"/>
        <v>0</v>
      </c>
      <c r="P280" s="22">
        <v>554</v>
      </c>
      <c r="Q280" s="22">
        <f t="shared" si="93"/>
        <v>23268</v>
      </c>
      <c r="R280" s="25">
        <v>763</v>
      </c>
      <c r="S280" s="25">
        <f t="shared" si="94"/>
        <v>29528.100000000002</v>
      </c>
      <c r="T280" s="25">
        <v>899</v>
      </c>
      <c r="U280" s="25">
        <f t="shared" si="76"/>
        <v>30296.300000000003</v>
      </c>
      <c r="V280" s="23">
        <v>643</v>
      </c>
      <c r="W280" s="23">
        <f t="shared" si="77"/>
        <v>21090.399999999998</v>
      </c>
      <c r="X280" s="23">
        <v>825</v>
      </c>
      <c r="Y280" s="23">
        <f t="shared" si="78"/>
        <v>28998.75</v>
      </c>
      <c r="Z280" s="23">
        <v>726</v>
      </c>
      <c r="AA280" s="23">
        <f t="shared" si="79"/>
        <v>25163.159999999996</v>
      </c>
      <c r="AB280" s="23">
        <v>670</v>
      </c>
      <c r="AC280" s="23">
        <f t="shared" si="80"/>
        <v>24153.499999999996</v>
      </c>
      <c r="AD280" s="23">
        <v>760</v>
      </c>
      <c r="AE280" s="23">
        <f t="shared" si="81"/>
        <v>26630.399999999998</v>
      </c>
      <c r="AF280" s="26">
        <v>785</v>
      </c>
      <c r="AG280" s="26">
        <f t="shared" si="82"/>
        <v>26831.3</v>
      </c>
      <c r="AH280" s="23">
        <v>726</v>
      </c>
      <c r="AI280" s="23">
        <f t="shared" si="83"/>
        <v>24175.8</v>
      </c>
      <c r="AJ280" s="23">
        <v>797</v>
      </c>
      <c r="AK280" s="23">
        <f t="shared" si="84"/>
        <v>28652.15</v>
      </c>
      <c r="AL280" s="26">
        <v>779</v>
      </c>
      <c r="AM280" s="26">
        <f t="shared" si="85"/>
        <v>28565.93</v>
      </c>
      <c r="AN280" s="12">
        <f t="shared" si="86"/>
        <v>9442</v>
      </c>
      <c r="AO280" s="22">
        <f t="shared" si="87"/>
        <v>333583.12</v>
      </c>
    </row>
    <row r="281" spans="1:41" x14ac:dyDescent="0.5">
      <c r="A281" s="19">
        <v>277</v>
      </c>
      <c r="B281" s="20" t="s">
        <v>526</v>
      </c>
      <c r="C281" s="21" t="s">
        <v>527</v>
      </c>
      <c r="D281" s="16">
        <v>346</v>
      </c>
      <c r="E281" s="16">
        <v>8</v>
      </c>
      <c r="F281" s="22">
        <v>2958</v>
      </c>
      <c r="G281" s="22">
        <f t="shared" si="88"/>
        <v>92052.96</v>
      </c>
      <c r="H281" s="22">
        <v>2029</v>
      </c>
      <c r="I281" s="23">
        <f t="shared" si="89"/>
        <v>65759.89</v>
      </c>
      <c r="J281" s="22">
        <v>1828</v>
      </c>
      <c r="K281" s="22">
        <f t="shared" si="90"/>
        <v>60342.28</v>
      </c>
      <c r="L281" s="22">
        <v>832</v>
      </c>
      <c r="M281" s="24">
        <f t="shared" si="91"/>
        <v>29219.839999999997</v>
      </c>
      <c r="N281" s="23">
        <v>1147</v>
      </c>
      <c r="O281" s="23">
        <f t="shared" si="92"/>
        <v>43872.75</v>
      </c>
      <c r="P281" s="22">
        <v>3353</v>
      </c>
      <c r="Q281" s="22">
        <f t="shared" si="93"/>
        <v>140826</v>
      </c>
      <c r="R281" s="25">
        <v>3430</v>
      </c>
      <c r="S281" s="25">
        <f t="shared" si="94"/>
        <v>132741</v>
      </c>
      <c r="T281" s="25">
        <v>4068</v>
      </c>
      <c r="U281" s="25">
        <f t="shared" si="76"/>
        <v>137091.6</v>
      </c>
      <c r="V281" s="23">
        <v>4572</v>
      </c>
      <c r="W281" s="23">
        <f t="shared" si="77"/>
        <v>149961.59999999998</v>
      </c>
      <c r="X281" s="23">
        <v>4250</v>
      </c>
      <c r="Y281" s="23">
        <f t="shared" si="78"/>
        <v>149387.5</v>
      </c>
      <c r="Z281" s="23">
        <v>3684</v>
      </c>
      <c r="AA281" s="23">
        <f t="shared" si="79"/>
        <v>127687.43999999999</v>
      </c>
      <c r="AB281" s="23">
        <v>2682</v>
      </c>
      <c r="AC281" s="23">
        <f t="shared" si="80"/>
        <v>96686.099999999991</v>
      </c>
      <c r="AD281" s="23">
        <v>4631</v>
      </c>
      <c r="AE281" s="23">
        <f t="shared" si="81"/>
        <v>162270.24</v>
      </c>
      <c r="AF281" s="26">
        <v>4887</v>
      </c>
      <c r="AG281" s="26">
        <f t="shared" si="82"/>
        <v>167037.66</v>
      </c>
      <c r="AH281" s="23"/>
      <c r="AI281" s="23">
        <f t="shared" si="83"/>
        <v>0</v>
      </c>
      <c r="AJ281" s="23"/>
      <c r="AK281" s="23">
        <f t="shared" si="84"/>
        <v>0</v>
      </c>
      <c r="AL281" s="26"/>
      <c r="AM281" s="26">
        <f t="shared" si="85"/>
        <v>0</v>
      </c>
      <c r="AN281" s="12">
        <f t="shared" si="86"/>
        <v>44351</v>
      </c>
      <c r="AO281" s="22">
        <f t="shared" si="87"/>
        <v>1554936.8599999999</v>
      </c>
    </row>
    <row r="282" spans="1:41" x14ac:dyDescent="0.5">
      <c r="A282" s="19">
        <v>278</v>
      </c>
      <c r="B282" s="20" t="s">
        <v>528</v>
      </c>
      <c r="C282" s="21" t="s">
        <v>529</v>
      </c>
      <c r="D282" s="16">
        <v>371</v>
      </c>
      <c r="E282" s="16">
        <v>8</v>
      </c>
      <c r="F282" s="22">
        <v>303</v>
      </c>
      <c r="G282" s="22">
        <f t="shared" si="88"/>
        <v>9429.36</v>
      </c>
      <c r="H282" s="22"/>
      <c r="I282" s="23">
        <f t="shared" si="89"/>
        <v>0</v>
      </c>
      <c r="J282" s="22">
        <v>355</v>
      </c>
      <c r="K282" s="22">
        <f t="shared" si="90"/>
        <v>11718.55</v>
      </c>
      <c r="L282" s="22">
        <v>187</v>
      </c>
      <c r="M282" s="24">
        <f t="shared" si="91"/>
        <v>6567.44</v>
      </c>
      <c r="N282" s="23">
        <v>359</v>
      </c>
      <c r="O282" s="23">
        <f t="shared" si="92"/>
        <v>13731.75</v>
      </c>
      <c r="P282" s="22">
        <v>396</v>
      </c>
      <c r="Q282" s="22">
        <f t="shared" si="93"/>
        <v>16632</v>
      </c>
      <c r="R282" s="25">
        <v>371</v>
      </c>
      <c r="S282" s="25">
        <f t="shared" si="94"/>
        <v>14357.7</v>
      </c>
      <c r="T282" s="25"/>
      <c r="U282" s="25">
        <f t="shared" si="76"/>
        <v>0</v>
      </c>
      <c r="V282" s="23">
        <v>388</v>
      </c>
      <c r="W282" s="23">
        <f t="shared" si="77"/>
        <v>12726.4</v>
      </c>
      <c r="X282" s="23">
        <v>166</v>
      </c>
      <c r="Y282" s="23">
        <f t="shared" si="78"/>
        <v>5834.9</v>
      </c>
      <c r="Z282" s="23">
        <v>311</v>
      </c>
      <c r="AA282" s="23">
        <f t="shared" si="79"/>
        <v>10779.259999999998</v>
      </c>
      <c r="AB282" s="23">
        <v>244</v>
      </c>
      <c r="AC282" s="23">
        <f t="shared" si="80"/>
        <v>8796.1999999999989</v>
      </c>
      <c r="AD282" s="23">
        <v>333</v>
      </c>
      <c r="AE282" s="23">
        <f t="shared" si="81"/>
        <v>11668.32</v>
      </c>
      <c r="AF282" s="26">
        <v>379</v>
      </c>
      <c r="AG282" s="26">
        <f t="shared" si="82"/>
        <v>12954.22</v>
      </c>
      <c r="AH282" s="23">
        <v>418</v>
      </c>
      <c r="AI282" s="23">
        <f t="shared" si="83"/>
        <v>13919.4</v>
      </c>
      <c r="AJ282" s="23">
        <v>473</v>
      </c>
      <c r="AK282" s="23">
        <f t="shared" si="84"/>
        <v>17004.350000000002</v>
      </c>
      <c r="AL282" s="26">
        <v>430</v>
      </c>
      <c r="AM282" s="26">
        <f t="shared" si="85"/>
        <v>15768.1</v>
      </c>
      <c r="AN282" s="12">
        <f t="shared" si="86"/>
        <v>5113</v>
      </c>
      <c r="AO282" s="22">
        <f t="shared" si="87"/>
        <v>181887.94999999998</v>
      </c>
    </row>
    <row r="283" spans="1:41" s="31" customFormat="1" x14ac:dyDescent="0.5">
      <c r="A283" s="19">
        <v>279</v>
      </c>
      <c r="B283" s="20" t="s">
        <v>530</v>
      </c>
      <c r="C283" s="21" t="s">
        <v>531</v>
      </c>
      <c r="D283" s="16">
        <v>380</v>
      </c>
      <c r="E283" s="16">
        <v>8</v>
      </c>
      <c r="F283" s="22"/>
      <c r="G283" s="22">
        <f t="shared" si="88"/>
        <v>0</v>
      </c>
      <c r="H283" s="22"/>
      <c r="I283" s="23">
        <f t="shared" si="89"/>
        <v>0</v>
      </c>
      <c r="J283" s="22"/>
      <c r="K283" s="22">
        <f t="shared" si="90"/>
        <v>0</v>
      </c>
      <c r="L283" s="22"/>
      <c r="M283" s="24">
        <f t="shared" si="91"/>
        <v>0</v>
      </c>
      <c r="N283" s="23"/>
      <c r="O283" s="23">
        <f t="shared" si="92"/>
        <v>0</v>
      </c>
      <c r="P283" s="22"/>
      <c r="Q283" s="22">
        <f t="shared" si="93"/>
        <v>0</v>
      </c>
      <c r="R283" s="25"/>
      <c r="S283" s="25">
        <f t="shared" si="94"/>
        <v>0</v>
      </c>
      <c r="T283" s="25"/>
      <c r="U283" s="25">
        <f t="shared" si="76"/>
        <v>0</v>
      </c>
      <c r="V283" s="23">
        <v>470</v>
      </c>
      <c r="W283" s="23">
        <f t="shared" si="77"/>
        <v>15415.999999999998</v>
      </c>
      <c r="X283" s="23"/>
      <c r="Y283" s="23">
        <f t="shared" si="78"/>
        <v>0</v>
      </c>
      <c r="Z283" s="23"/>
      <c r="AA283" s="23">
        <f t="shared" si="79"/>
        <v>0</v>
      </c>
      <c r="AB283" s="23"/>
      <c r="AC283" s="23">
        <f t="shared" si="80"/>
        <v>0</v>
      </c>
      <c r="AD283" s="23"/>
      <c r="AE283" s="23">
        <f t="shared" si="81"/>
        <v>0</v>
      </c>
      <c r="AF283" s="26"/>
      <c r="AG283" s="26">
        <f t="shared" si="82"/>
        <v>0</v>
      </c>
      <c r="AH283" s="23"/>
      <c r="AI283" s="23">
        <f t="shared" si="83"/>
        <v>0</v>
      </c>
      <c r="AJ283" s="23"/>
      <c r="AK283" s="23">
        <f t="shared" si="84"/>
        <v>0</v>
      </c>
      <c r="AL283" s="26">
        <v>299</v>
      </c>
      <c r="AM283" s="26">
        <f t="shared" si="85"/>
        <v>10964.33</v>
      </c>
      <c r="AN283" s="12">
        <f t="shared" si="86"/>
        <v>769</v>
      </c>
      <c r="AO283" s="22">
        <f t="shared" si="87"/>
        <v>26380.329999999998</v>
      </c>
    </row>
    <row r="284" spans="1:41" s="31" customFormat="1" x14ac:dyDescent="0.5">
      <c r="A284" s="19">
        <v>280</v>
      </c>
      <c r="B284" s="20" t="s">
        <v>532</v>
      </c>
      <c r="C284" s="21" t="s">
        <v>533</v>
      </c>
      <c r="D284" s="16">
        <v>426</v>
      </c>
      <c r="E284" s="16">
        <v>8</v>
      </c>
      <c r="F284" s="22">
        <v>393</v>
      </c>
      <c r="G284" s="22">
        <f t="shared" si="88"/>
        <v>12230.16</v>
      </c>
      <c r="H284" s="22">
        <v>347</v>
      </c>
      <c r="I284" s="23">
        <f t="shared" si="89"/>
        <v>11246.269999999999</v>
      </c>
      <c r="J284" s="22"/>
      <c r="K284" s="22">
        <f t="shared" si="90"/>
        <v>0</v>
      </c>
      <c r="L284" s="22"/>
      <c r="M284" s="24">
        <f t="shared" si="91"/>
        <v>0</v>
      </c>
      <c r="N284" s="23">
        <v>233</v>
      </c>
      <c r="O284" s="23">
        <f t="shared" si="92"/>
        <v>8912.25</v>
      </c>
      <c r="P284" s="22">
        <v>384</v>
      </c>
      <c r="Q284" s="22">
        <f t="shared" si="93"/>
        <v>16128</v>
      </c>
      <c r="R284" s="25">
        <v>311</v>
      </c>
      <c r="S284" s="25">
        <f t="shared" si="94"/>
        <v>12035.7</v>
      </c>
      <c r="T284" s="25">
        <v>449</v>
      </c>
      <c r="U284" s="25">
        <f t="shared" si="76"/>
        <v>15131.300000000001</v>
      </c>
      <c r="V284" s="23">
        <v>438</v>
      </c>
      <c r="W284" s="23">
        <f t="shared" si="77"/>
        <v>14366.4</v>
      </c>
      <c r="X284" s="23">
        <v>406</v>
      </c>
      <c r="Y284" s="23">
        <f t="shared" si="78"/>
        <v>14270.9</v>
      </c>
      <c r="Z284" s="23">
        <v>283</v>
      </c>
      <c r="AA284" s="23">
        <f t="shared" si="79"/>
        <v>9808.7799999999988</v>
      </c>
      <c r="AB284" s="23">
        <v>280</v>
      </c>
      <c r="AC284" s="23">
        <f t="shared" si="80"/>
        <v>10094</v>
      </c>
      <c r="AD284" s="23">
        <v>390</v>
      </c>
      <c r="AE284" s="23">
        <f t="shared" si="81"/>
        <v>13665.6</v>
      </c>
      <c r="AF284" s="26">
        <v>327</v>
      </c>
      <c r="AG284" s="26">
        <f t="shared" si="82"/>
        <v>11176.86</v>
      </c>
      <c r="AH284" s="23">
        <v>404</v>
      </c>
      <c r="AI284" s="23">
        <f t="shared" si="83"/>
        <v>13453.199999999999</v>
      </c>
      <c r="AJ284" s="23">
        <v>436</v>
      </c>
      <c r="AK284" s="23">
        <f t="shared" si="84"/>
        <v>15674.2</v>
      </c>
      <c r="AL284" s="26">
        <v>529</v>
      </c>
      <c r="AM284" s="26">
        <f t="shared" si="85"/>
        <v>19398.43</v>
      </c>
      <c r="AN284" s="12">
        <f t="shared" si="86"/>
        <v>5610</v>
      </c>
      <c r="AO284" s="22">
        <f t="shared" si="87"/>
        <v>197592.05</v>
      </c>
    </row>
    <row r="285" spans="1:41" x14ac:dyDescent="0.5">
      <c r="A285" s="19">
        <v>281</v>
      </c>
      <c r="B285" s="27" t="s">
        <v>534</v>
      </c>
      <c r="C285" s="28" t="s">
        <v>535</v>
      </c>
      <c r="D285" s="16">
        <v>444</v>
      </c>
      <c r="E285" s="16">
        <v>8</v>
      </c>
      <c r="F285" s="22">
        <v>227</v>
      </c>
      <c r="G285" s="22">
        <f t="shared" si="88"/>
        <v>7064.24</v>
      </c>
      <c r="H285" s="22">
        <v>136</v>
      </c>
      <c r="I285" s="23">
        <f t="shared" si="89"/>
        <v>4407.7599999999993</v>
      </c>
      <c r="J285" s="22">
        <v>150</v>
      </c>
      <c r="K285" s="22">
        <f t="shared" si="90"/>
        <v>4951.5</v>
      </c>
      <c r="L285" s="29">
        <v>148</v>
      </c>
      <c r="M285" s="24">
        <f t="shared" si="91"/>
        <v>5197.7599999999993</v>
      </c>
      <c r="N285" s="30">
        <v>330</v>
      </c>
      <c r="O285" s="23">
        <f t="shared" si="92"/>
        <v>12622.5</v>
      </c>
      <c r="P285" s="22">
        <v>234</v>
      </c>
      <c r="Q285" s="22">
        <f t="shared" si="93"/>
        <v>9828</v>
      </c>
      <c r="R285" s="25">
        <v>370</v>
      </c>
      <c r="S285" s="25">
        <f>R285*38.7</f>
        <v>14319.000000000002</v>
      </c>
      <c r="T285" s="25">
        <v>441</v>
      </c>
      <c r="U285" s="25">
        <f t="shared" si="76"/>
        <v>14861.7</v>
      </c>
      <c r="V285" s="23">
        <v>395</v>
      </c>
      <c r="W285" s="23">
        <f t="shared" si="77"/>
        <v>12955.999999999998</v>
      </c>
      <c r="X285" s="23">
        <v>280</v>
      </c>
      <c r="Y285" s="23">
        <f t="shared" si="78"/>
        <v>9842</v>
      </c>
      <c r="Z285" s="23">
        <v>308</v>
      </c>
      <c r="AA285" s="23">
        <f t="shared" si="79"/>
        <v>10675.279999999999</v>
      </c>
      <c r="AB285" s="23">
        <v>169</v>
      </c>
      <c r="AC285" s="23">
        <f t="shared" si="80"/>
        <v>6092.45</v>
      </c>
      <c r="AD285" s="23">
        <v>333</v>
      </c>
      <c r="AE285" s="23">
        <f t="shared" si="81"/>
        <v>11668.32</v>
      </c>
      <c r="AF285" s="26">
        <v>350</v>
      </c>
      <c r="AG285" s="26">
        <f t="shared" si="82"/>
        <v>11963</v>
      </c>
      <c r="AH285" s="23">
        <v>348</v>
      </c>
      <c r="AI285" s="23">
        <f t="shared" si="83"/>
        <v>11588.4</v>
      </c>
      <c r="AJ285" s="23">
        <v>343</v>
      </c>
      <c r="AK285" s="23">
        <f t="shared" si="84"/>
        <v>12330.85</v>
      </c>
      <c r="AL285" s="23">
        <v>412</v>
      </c>
      <c r="AM285" s="26">
        <f t="shared" si="85"/>
        <v>15108.04</v>
      </c>
      <c r="AN285" s="12">
        <f t="shared" si="86"/>
        <v>4974</v>
      </c>
      <c r="AO285" s="22">
        <f t="shared" si="87"/>
        <v>175476.8</v>
      </c>
    </row>
    <row r="286" spans="1:41" s="31" customFormat="1" x14ac:dyDescent="0.5">
      <c r="A286" s="19">
        <v>282</v>
      </c>
      <c r="B286" s="20" t="s">
        <v>536</v>
      </c>
      <c r="C286" s="21" t="s">
        <v>537</v>
      </c>
      <c r="D286" s="16">
        <v>446</v>
      </c>
      <c r="E286" s="16">
        <v>8</v>
      </c>
      <c r="F286" s="22">
        <v>745</v>
      </c>
      <c r="G286" s="22">
        <f t="shared" si="88"/>
        <v>23184.400000000001</v>
      </c>
      <c r="H286" s="22">
        <v>488</v>
      </c>
      <c r="I286" s="23">
        <f t="shared" si="89"/>
        <v>15816.079999999998</v>
      </c>
      <c r="J286" s="22">
        <v>216</v>
      </c>
      <c r="K286" s="22">
        <f t="shared" si="90"/>
        <v>7130.16</v>
      </c>
      <c r="L286" s="22">
        <v>105</v>
      </c>
      <c r="M286" s="24">
        <f t="shared" si="91"/>
        <v>3687.6</v>
      </c>
      <c r="N286" s="23">
        <v>131</v>
      </c>
      <c r="O286" s="23">
        <f t="shared" si="92"/>
        <v>5010.75</v>
      </c>
      <c r="P286" s="22">
        <v>135</v>
      </c>
      <c r="Q286" s="22">
        <f t="shared" si="93"/>
        <v>5670</v>
      </c>
      <c r="R286" s="25">
        <v>598</v>
      </c>
      <c r="S286" s="25">
        <f t="shared" si="94"/>
        <v>23142.600000000002</v>
      </c>
      <c r="T286" s="25">
        <v>691</v>
      </c>
      <c r="U286" s="25">
        <f t="shared" si="76"/>
        <v>23286.7</v>
      </c>
      <c r="V286" s="23">
        <v>652</v>
      </c>
      <c r="W286" s="23">
        <f t="shared" si="77"/>
        <v>21385.599999999999</v>
      </c>
      <c r="X286" s="23">
        <v>837</v>
      </c>
      <c r="Y286" s="23">
        <f t="shared" si="78"/>
        <v>29420.55</v>
      </c>
      <c r="Z286" s="23">
        <v>740</v>
      </c>
      <c r="AA286" s="23">
        <f t="shared" si="79"/>
        <v>25648.399999999998</v>
      </c>
      <c r="AB286" s="23">
        <v>525</v>
      </c>
      <c r="AC286" s="23">
        <f t="shared" si="80"/>
        <v>18926.25</v>
      </c>
      <c r="AD286" s="23">
        <v>864</v>
      </c>
      <c r="AE286" s="23">
        <f t="shared" si="81"/>
        <v>30274.559999999998</v>
      </c>
      <c r="AF286" s="26">
        <v>761</v>
      </c>
      <c r="AG286" s="26">
        <f t="shared" si="82"/>
        <v>26010.98</v>
      </c>
      <c r="AH286" s="23">
        <v>745</v>
      </c>
      <c r="AI286" s="23">
        <f t="shared" si="83"/>
        <v>24808.499999999996</v>
      </c>
      <c r="AJ286" s="23">
        <v>447</v>
      </c>
      <c r="AK286" s="23">
        <f t="shared" si="84"/>
        <v>16069.650000000001</v>
      </c>
      <c r="AL286" s="26">
        <v>792</v>
      </c>
      <c r="AM286" s="26">
        <f t="shared" si="85"/>
        <v>29042.640000000003</v>
      </c>
      <c r="AN286" s="12">
        <f t="shared" si="86"/>
        <v>9472</v>
      </c>
      <c r="AO286" s="22">
        <f t="shared" si="87"/>
        <v>328515.42</v>
      </c>
    </row>
    <row r="287" spans="1:41" s="31" customFormat="1" x14ac:dyDescent="0.5">
      <c r="A287" s="19">
        <v>283</v>
      </c>
      <c r="B287" s="27" t="s">
        <v>538</v>
      </c>
      <c r="C287" s="28" t="s">
        <v>539</v>
      </c>
      <c r="D287" s="16">
        <v>519</v>
      </c>
      <c r="E287" s="16">
        <v>8</v>
      </c>
      <c r="F287" s="22"/>
      <c r="G287" s="22">
        <f t="shared" si="88"/>
        <v>0</v>
      </c>
      <c r="H287" s="22"/>
      <c r="I287" s="23">
        <f t="shared" si="89"/>
        <v>0</v>
      </c>
      <c r="J287" s="22"/>
      <c r="K287" s="22">
        <f t="shared" si="90"/>
        <v>0</v>
      </c>
      <c r="L287" s="22"/>
      <c r="M287" s="24">
        <f t="shared" si="91"/>
        <v>0</v>
      </c>
      <c r="N287" s="23">
        <v>416</v>
      </c>
      <c r="O287" s="23">
        <f t="shared" si="92"/>
        <v>15912</v>
      </c>
      <c r="P287" s="22">
        <v>558</v>
      </c>
      <c r="Q287" s="22">
        <f t="shared" si="93"/>
        <v>23436</v>
      </c>
      <c r="R287" s="25">
        <v>591</v>
      </c>
      <c r="S287" s="25">
        <f t="shared" si="94"/>
        <v>22871.7</v>
      </c>
      <c r="T287" s="25">
        <v>658</v>
      </c>
      <c r="U287" s="25">
        <f t="shared" si="76"/>
        <v>22174.600000000002</v>
      </c>
      <c r="V287" s="23">
        <v>725</v>
      </c>
      <c r="W287" s="23">
        <f t="shared" si="77"/>
        <v>23779.999999999996</v>
      </c>
      <c r="X287" s="23">
        <v>1190</v>
      </c>
      <c r="Y287" s="23">
        <f t="shared" si="78"/>
        <v>41828.5</v>
      </c>
      <c r="Z287" s="23">
        <v>1514</v>
      </c>
      <c r="AA287" s="23">
        <f t="shared" si="79"/>
        <v>52475.24</v>
      </c>
      <c r="AB287" s="23">
        <v>753</v>
      </c>
      <c r="AC287" s="23">
        <f t="shared" si="80"/>
        <v>27145.649999999998</v>
      </c>
      <c r="AD287" s="23">
        <v>249</v>
      </c>
      <c r="AE287" s="23">
        <f t="shared" si="81"/>
        <v>8724.9599999999991</v>
      </c>
      <c r="AF287" s="26"/>
      <c r="AG287" s="26">
        <f t="shared" si="82"/>
        <v>0</v>
      </c>
      <c r="AH287" s="23">
        <v>405</v>
      </c>
      <c r="AI287" s="23">
        <f t="shared" si="83"/>
        <v>13486.499999999998</v>
      </c>
      <c r="AJ287" s="23">
        <v>587</v>
      </c>
      <c r="AK287" s="23">
        <f t="shared" si="84"/>
        <v>21102.65</v>
      </c>
      <c r="AL287" s="23"/>
      <c r="AM287" s="26">
        <f t="shared" si="85"/>
        <v>0</v>
      </c>
      <c r="AN287" s="12">
        <f t="shared" si="86"/>
        <v>7646</v>
      </c>
      <c r="AO287" s="22">
        <f t="shared" si="87"/>
        <v>272937.8</v>
      </c>
    </row>
    <row r="288" spans="1:41" x14ac:dyDescent="0.5">
      <c r="A288" s="19">
        <v>284</v>
      </c>
      <c r="B288" s="20" t="s">
        <v>540</v>
      </c>
      <c r="C288" s="21" t="s">
        <v>541</v>
      </c>
      <c r="D288" s="16">
        <v>534</v>
      </c>
      <c r="E288" s="16">
        <v>8</v>
      </c>
      <c r="F288" s="22">
        <v>221</v>
      </c>
      <c r="G288" s="22">
        <f t="shared" si="88"/>
        <v>6877.52</v>
      </c>
      <c r="H288" s="22">
        <v>198</v>
      </c>
      <c r="I288" s="23">
        <f t="shared" si="89"/>
        <v>6417.1799999999994</v>
      </c>
      <c r="J288" s="22">
        <v>225</v>
      </c>
      <c r="K288" s="22">
        <f t="shared" si="90"/>
        <v>7427.25</v>
      </c>
      <c r="L288" s="29">
        <v>186</v>
      </c>
      <c r="M288" s="24">
        <f t="shared" si="91"/>
        <v>6532.32</v>
      </c>
      <c r="N288" s="30">
        <v>218</v>
      </c>
      <c r="O288" s="23">
        <f t="shared" si="92"/>
        <v>8338.5</v>
      </c>
      <c r="P288" s="22">
        <v>226</v>
      </c>
      <c r="Q288" s="22">
        <f t="shared" si="93"/>
        <v>9492</v>
      </c>
      <c r="R288" s="25">
        <v>221</v>
      </c>
      <c r="S288" s="25">
        <f t="shared" si="94"/>
        <v>8552.7000000000007</v>
      </c>
      <c r="T288" s="25">
        <v>379</v>
      </c>
      <c r="U288" s="25">
        <f t="shared" si="76"/>
        <v>12772.300000000001</v>
      </c>
      <c r="V288" s="23">
        <v>395</v>
      </c>
      <c r="W288" s="23">
        <f t="shared" si="77"/>
        <v>12955.999999999998</v>
      </c>
      <c r="X288" s="23">
        <v>337</v>
      </c>
      <c r="Y288" s="23">
        <f t="shared" si="78"/>
        <v>11845.55</v>
      </c>
      <c r="Z288" s="23">
        <v>436</v>
      </c>
      <c r="AA288" s="23">
        <f t="shared" si="79"/>
        <v>15111.759999999998</v>
      </c>
      <c r="AB288" s="23">
        <v>595</v>
      </c>
      <c r="AC288" s="23">
        <f t="shared" si="80"/>
        <v>21449.75</v>
      </c>
      <c r="AD288" s="23">
        <v>392</v>
      </c>
      <c r="AE288" s="23">
        <f t="shared" si="81"/>
        <v>13735.68</v>
      </c>
      <c r="AF288" s="26">
        <v>426</v>
      </c>
      <c r="AG288" s="26">
        <f t="shared" si="82"/>
        <v>14560.68</v>
      </c>
      <c r="AH288" s="23">
        <v>299</v>
      </c>
      <c r="AI288" s="23">
        <f t="shared" si="83"/>
        <v>9956.6999999999989</v>
      </c>
      <c r="AJ288" s="23">
        <v>342</v>
      </c>
      <c r="AK288" s="23">
        <f t="shared" si="84"/>
        <v>12294.900000000001</v>
      </c>
      <c r="AL288" s="26">
        <v>336</v>
      </c>
      <c r="AM288" s="26">
        <f t="shared" si="85"/>
        <v>12321.12</v>
      </c>
      <c r="AN288" s="12">
        <f t="shared" si="86"/>
        <v>5432</v>
      </c>
      <c r="AO288" s="22">
        <f t="shared" si="87"/>
        <v>190641.91</v>
      </c>
    </row>
    <row r="289" spans="1:41" s="31" customFormat="1" x14ac:dyDescent="0.5">
      <c r="A289" s="19">
        <v>285</v>
      </c>
      <c r="B289" s="20" t="s">
        <v>542</v>
      </c>
      <c r="C289" s="21" t="s">
        <v>543</v>
      </c>
      <c r="D289" s="16">
        <v>537</v>
      </c>
      <c r="E289" s="16">
        <v>8</v>
      </c>
      <c r="F289" s="22">
        <v>922</v>
      </c>
      <c r="G289" s="22">
        <f t="shared" si="88"/>
        <v>28692.639999999999</v>
      </c>
      <c r="H289" s="22">
        <v>644</v>
      </c>
      <c r="I289" s="23">
        <f t="shared" si="89"/>
        <v>20872.039999999997</v>
      </c>
      <c r="J289" s="22">
        <v>388</v>
      </c>
      <c r="K289" s="22">
        <f t="shared" si="90"/>
        <v>12807.88</v>
      </c>
      <c r="L289" s="22"/>
      <c r="M289" s="24">
        <f t="shared" si="91"/>
        <v>0</v>
      </c>
      <c r="N289" s="23"/>
      <c r="O289" s="23">
        <f t="shared" si="92"/>
        <v>0</v>
      </c>
      <c r="P289" s="22"/>
      <c r="Q289" s="22">
        <f t="shared" si="93"/>
        <v>0</v>
      </c>
      <c r="R289" s="25"/>
      <c r="S289" s="25">
        <f t="shared" si="94"/>
        <v>0</v>
      </c>
      <c r="T289" s="25"/>
      <c r="U289" s="25">
        <f t="shared" si="76"/>
        <v>0</v>
      </c>
      <c r="V289" s="23"/>
      <c r="W289" s="23">
        <f t="shared" si="77"/>
        <v>0</v>
      </c>
      <c r="X289" s="23"/>
      <c r="Y289" s="23">
        <f t="shared" si="78"/>
        <v>0</v>
      </c>
      <c r="Z289" s="23">
        <v>415</v>
      </c>
      <c r="AA289" s="23">
        <f t="shared" si="79"/>
        <v>14383.899999999998</v>
      </c>
      <c r="AB289" s="23"/>
      <c r="AC289" s="23">
        <f t="shared" si="80"/>
        <v>0</v>
      </c>
      <c r="AD289" s="23"/>
      <c r="AE289" s="23">
        <f t="shared" si="81"/>
        <v>0</v>
      </c>
      <c r="AF289" s="26"/>
      <c r="AG289" s="26">
        <f t="shared" si="82"/>
        <v>0</v>
      </c>
      <c r="AH289" s="23"/>
      <c r="AI289" s="23">
        <f t="shared" si="83"/>
        <v>0</v>
      </c>
      <c r="AJ289" s="23"/>
      <c r="AK289" s="23">
        <f t="shared" si="84"/>
        <v>0</v>
      </c>
      <c r="AL289" s="26"/>
      <c r="AM289" s="26">
        <f t="shared" si="85"/>
        <v>0</v>
      </c>
      <c r="AN289" s="12">
        <f t="shared" si="86"/>
        <v>2369</v>
      </c>
      <c r="AO289" s="22">
        <f t="shared" si="87"/>
        <v>76756.459999999992</v>
      </c>
    </row>
    <row r="290" spans="1:41" x14ac:dyDescent="0.5">
      <c r="A290" s="19">
        <v>286</v>
      </c>
      <c r="B290" s="20" t="s">
        <v>544</v>
      </c>
      <c r="C290" s="21" t="s">
        <v>545</v>
      </c>
      <c r="D290" s="16">
        <v>605</v>
      </c>
      <c r="E290" s="16">
        <v>8</v>
      </c>
      <c r="F290" s="22">
        <v>761</v>
      </c>
      <c r="G290" s="22">
        <f t="shared" si="88"/>
        <v>23682.32</v>
      </c>
      <c r="H290" s="22">
        <v>496</v>
      </c>
      <c r="I290" s="23">
        <f t="shared" si="89"/>
        <v>16075.359999999999</v>
      </c>
      <c r="J290" s="22"/>
      <c r="K290" s="22">
        <f t="shared" si="90"/>
        <v>0</v>
      </c>
      <c r="L290" s="29"/>
      <c r="M290" s="24">
        <f t="shared" si="91"/>
        <v>0</v>
      </c>
      <c r="N290" s="30"/>
      <c r="O290" s="23">
        <f t="shared" si="92"/>
        <v>0</v>
      </c>
      <c r="P290" s="22"/>
      <c r="Q290" s="22">
        <f t="shared" si="93"/>
        <v>0</v>
      </c>
      <c r="R290" s="25">
        <v>328</v>
      </c>
      <c r="S290" s="25">
        <f t="shared" si="94"/>
        <v>12693.6</v>
      </c>
      <c r="T290" s="25"/>
      <c r="U290" s="25">
        <f t="shared" si="76"/>
        <v>0</v>
      </c>
      <c r="V290" s="23">
        <v>335</v>
      </c>
      <c r="W290" s="23">
        <f t="shared" si="77"/>
        <v>10987.999999999998</v>
      </c>
      <c r="X290" s="23"/>
      <c r="Y290" s="23">
        <f t="shared" si="78"/>
        <v>0</v>
      </c>
      <c r="Z290" s="23"/>
      <c r="AA290" s="23">
        <f t="shared" si="79"/>
        <v>0</v>
      </c>
      <c r="AB290" s="23"/>
      <c r="AC290" s="23">
        <f t="shared" si="80"/>
        <v>0</v>
      </c>
      <c r="AD290" s="23"/>
      <c r="AE290" s="23">
        <f t="shared" si="81"/>
        <v>0</v>
      </c>
      <c r="AF290" s="26"/>
      <c r="AG290" s="26">
        <f t="shared" si="82"/>
        <v>0</v>
      </c>
      <c r="AH290" s="23">
        <v>985</v>
      </c>
      <c r="AI290" s="23">
        <f t="shared" si="83"/>
        <v>32800.5</v>
      </c>
      <c r="AJ290" s="23"/>
      <c r="AK290" s="23">
        <f t="shared" si="84"/>
        <v>0</v>
      </c>
      <c r="AL290" s="26"/>
      <c r="AM290" s="26">
        <f t="shared" si="85"/>
        <v>0</v>
      </c>
      <c r="AN290" s="12">
        <f t="shared" si="86"/>
        <v>2905</v>
      </c>
      <c r="AO290" s="22">
        <f t="shared" si="87"/>
        <v>96239.78</v>
      </c>
    </row>
    <row r="291" spans="1:41" x14ac:dyDescent="0.5">
      <c r="A291" s="19">
        <v>287</v>
      </c>
      <c r="B291" s="27" t="s">
        <v>546</v>
      </c>
      <c r="C291" s="28" t="s">
        <v>547</v>
      </c>
      <c r="D291" s="16">
        <v>647</v>
      </c>
      <c r="E291" s="16">
        <v>8</v>
      </c>
      <c r="F291" s="22">
        <v>357</v>
      </c>
      <c r="G291" s="22">
        <f t="shared" si="88"/>
        <v>11109.84</v>
      </c>
      <c r="H291" s="22"/>
      <c r="I291" s="23">
        <f t="shared" si="89"/>
        <v>0</v>
      </c>
      <c r="J291" s="22">
        <v>205</v>
      </c>
      <c r="K291" s="22">
        <f t="shared" si="90"/>
        <v>6767.0499999999993</v>
      </c>
      <c r="L291" s="29"/>
      <c r="M291" s="24">
        <f t="shared" si="91"/>
        <v>0</v>
      </c>
      <c r="N291" s="30"/>
      <c r="O291" s="23">
        <f t="shared" si="92"/>
        <v>0</v>
      </c>
      <c r="P291" s="22">
        <v>414</v>
      </c>
      <c r="Q291" s="22">
        <f t="shared" si="93"/>
        <v>17388</v>
      </c>
      <c r="R291" s="25">
        <v>462</v>
      </c>
      <c r="S291" s="25">
        <f t="shared" si="94"/>
        <v>17879.400000000001</v>
      </c>
      <c r="T291" s="25">
        <v>681</v>
      </c>
      <c r="U291" s="25">
        <f t="shared" si="76"/>
        <v>22949.7</v>
      </c>
      <c r="V291" s="23">
        <v>561</v>
      </c>
      <c r="W291" s="23">
        <f t="shared" si="77"/>
        <v>18400.8</v>
      </c>
      <c r="X291" s="23">
        <v>514</v>
      </c>
      <c r="Y291" s="23">
        <f t="shared" si="78"/>
        <v>18067.099999999999</v>
      </c>
      <c r="Z291" s="23">
        <v>610</v>
      </c>
      <c r="AA291" s="23">
        <f t="shared" si="79"/>
        <v>21142.6</v>
      </c>
      <c r="AB291" s="23">
        <v>212</v>
      </c>
      <c r="AC291" s="23">
        <f t="shared" si="80"/>
        <v>7642.5999999999995</v>
      </c>
      <c r="AD291" s="23">
        <v>696</v>
      </c>
      <c r="AE291" s="23">
        <f t="shared" si="81"/>
        <v>24387.84</v>
      </c>
      <c r="AF291" s="26">
        <v>408</v>
      </c>
      <c r="AG291" s="26">
        <f t="shared" si="82"/>
        <v>13945.44</v>
      </c>
      <c r="AH291" s="23">
        <v>514</v>
      </c>
      <c r="AI291" s="23">
        <f t="shared" si="83"/>
        <v>17116.199999999997</v>
      </c>
      <c r="AJ291" s="23">
        <v>607</v>
      </c>
      <c r="AK291" s="23">
        <f t="shared" si="84"/>
        <v>21821.65</v>
      </c>
      <c r="AL291" s="23">
        <v>647</v>
      </c>
      <c r="AM291" s="26">
        <f t="shared" si="85"/>
        <v>23725.49</v>
      </c>
      <c r="AN291" s="12">
        <f t="shared" si="86"/>
        <v>6888</v>
      </c>
      <c r="AO291" s="22">
        <f t="shared" si="87"/>
        <v>242343.71</v>
      </c>
    </row>
    <row r="292" spans="1:41" s="31" customFormat="1" x14ac:dyDescent="0.5">
      <c r="A292" s="19">
        <v>288</v>
      </c>
      <c r="B292" s="20" t="s">
        <v>548</v>
      </c>
      <c r="C292" s="21" t="s">
        <v>547</v>
      </c>
      <c r="D292" s="16">
        <v>648</v>
      </c>
      <c r="E292" s="16">
        <v>8</v>
      </c>
      <c r="F292" s="22">
        <v>429</v>
      </c>
      <c r="G292" s="22">
        <f t="shared" si="88"/>
        <v>13350.48</v>
      </c>
      <c r="H292" s="22"/>
      <c r="I292" s="23">
        <f t="shared" si="89"/>
        <v>0</v>
      </c>
      <c r="J292" s="22">
        <v>281</v>
      </c>
      <c r="K292" s="22">
        <f t="shared" si="90"/>
        <v>9275.81</v>
      </c>
      <c r="L292" s="22"/>
      <c r="M292" s="24">
        <f t="shared" si="91"/>
        <v>0</v>
      </c>
      <c r="N292" s="23"/>
      <c r="O292" s="23">
        <f t="shared" si="92"/>
        <v>0</v>
      </c>
      <c r="P292" s="22">
        <v>219</v>
      </c>
      <c r="Q292" s="22">
        <f t="shared" si="93"/>
        <v>9198</v>
      </c>
      <c r="R292" s="25">
        <v>352</v>
      </c>
      <c r="S292" s="25">
        <f t="shared" si="94"/>
        <v>13622.400000000001</v>
      </c>
      <c r="T292" s="25">
        <v>444</v>
      </c>
      <c r="U292" s="25">
        <f t="shared" si="76"/>
        <v>14962.800000000001</v>
      </c>
      <c r="V292" s="23">
        <v>569</v>
      </c>
      <c r="W292" s="23">
        <f t="shared" si="77"/>
        <v>18663.199999999997</v>
      </c>
      <c r="X292" s="23">
        <v>684</v>
      </c>
      <c r="Y292" s="23">
        <f t="shared" si="78"/>
        <v>24042.6</v>
      </c>
      <c r="Z292" s="23">
        <v>415</v>
      </c>
      <c r="AA292" s="23">
        <f t="shared" si="79"/>
        <v>14383.899999999998</v>
      </c>
      <c r="AB292" s="23"/>
      <c r="AC292" s="23">
        <f t="shared" si="80"/>
        <v>0</v>
      </c>
      <c r="AD292" s="23">
        <v>616</v>
      </c>
      <c r="AE292" s="23">
        <f t="shared" si="81"/>
        <v>21584.639999999999</v>
      </c>
      <c r="AF292" s="26"/>
      <c r="AG292" s="26">
        <f t="shared" si="82"/>
        <v>0</v>
      </c>
      <c r="AH292" s="23">
        <v>660</v>
      </c>
      <c r="AI292" s="23">
        <f t="shared" si="83"/>
        <v>21977.999999999996</v>
      </c>
      <c r="AJ292" s="23">
        <v>621</v>
      </c>
      <c r="AK292" s="23">
        <f t="shared" si="84"/>
        <v>22324.95</v>
      </c>
      <c r="AL292" s="26">
        <v>584</v>
      </c>
      <c r="AM292" s="26">
        <f t="shared" si="85"/>
        <v>21415.280000000002</v>
      </c>
      <c r="AN292" s="12">
        <f t="shared" si="86"/>
        <v>5874</v>
      </c>
      <c r="AO292" s="22">
        <f t="shared" si="87"/>
        <v>204802.06000000003</v>
      </c>
    </row>
    <row r="293" spans="1:41" x14ac:dyDescent="0.5">
      <c r="A293" s="19">
        <v>289</v>
      </c>
      <c r="B293" s="20" t="s">
        <v>549</v>
      </c>
      <c r="C293" s="21" t="s">
        <v>550</v>
      </c>
      <c r="D293" s="16">
        <v>673</v>
      </c>
      <c r="E293" s="16">
        <v>8</v>
      </c>
      <c r="F293" s="22">
        <v>672</v>
      </c>
      <c r="G293" s="22">
        <f t="shared" si="88"/>
        <v>20912.64</v>
      </c>
      <c r="H293" s="22">
        <v>498</v>
      </c>
      <c r="I293" s="23">
        <f t="shared" si="89"/>
        <v>16140.179999999998</v>
      </c>
      <c r="J293" s="22">
        <v>117</v>
      </c>
      <c r="K293" s="22">
        <f t="shared" si="90"/>
        <v>3862.1699999999996</v>
      </c>
      <c r="L293" s="22"/>
      <c r="M293" s="24">
        <f t="shared" si="91"/>
        <v>0</v>
      </c>
      <c r="N293" s="23"/>
      <c r="O293" s="23">
        <f t="shared" si="92"/>
        <v>0</v>
      </c>
      <c r="P293" s="22">
        <v>164</v>
      </c>
      <c r="Q293" s="22">
        <f t="shared" si="93"/>
        <v>6888</v>
      </c>
      <c r="R293" s="25">
        <v>250</v>
      </c>
      <c r="S293" s="25">
        <f t="shared" si="94"/>
        <v>9675</v>
      </c>
      <c r="T293" s="25">
        <v>601</v>
      </c>
      <c r="U293" s="25">
        <f t="shared" si="76"/>
        <v>20253.7</v>
      </c>
      <c r="V293" s="23">
        <v>528</v>
      </c>
      <c r="W293" s="23">
        <f t="shared" si="77"/>
        <v>17318.399999999998</v>
      </c>
      <c r="X293" s="23">
        <v>530</v>
      </c>
      <c r="Y293" s="23">
        <f t="shared" si="78"/>
        <v>18629.5</v>
      </c>
      <c r="Z293" s="23">
        <v>428</v>
      </c>
      <c r="AA293" s="23">
        <f t="shared" si="79"/>
        <v>14834.479999999998</v>
      </c>
      <c r="AB293" s="23">
        <v>433</v>
      </c>
      <c r="AC293" s="23">
        <f t="shared" si="80"/>
        <v>15609.65</v>
      </c>
      <c r="AD293" s="23">
        <v>471</v>
      </c>
      <c r="AE293" s="23">
        <f t="shared" si="81"/>
        <v>16503.84</v>
      </c>
      <c r="AF293" s="26">
        <v>539</v>
      </c>
      <c r="AG293" s="26">
        <f t="shared" si="82"/>
        <v>18423.02</v>
      </c>
      <c r="AH293" s="23">
        <v>580</v>
      </c>
      <c r="AI293" s="23">
        <f t="shared" si="83"/>
        <v>19314</v>
      </c>
      <c r="AJ293" s="23">
        <v>570</v>
      </c>
      <c r="AK293" s="23">
        <f t="shared" si="84"/>
        <v>20491.5</v>
      </c>
      <c r="AL293" s="26">
        <v>582</v>
      </c>
      <c r="AM293" s="26">
        <f t="shared" si="85"/>
        <v>21341.940000000002</v>
      </c>
      <c r="AN293" s="12">
        <f t="shared" si="86"/>
        <v>6963</v>
      </c>
      <c r="AO293" s="22">
        <f t="shared" si="87"/>
        <v>240198.02</v>
      </c>
    </row>
    <row r="294" spans="1:41" x14ac:dyDescent="0.5">
      <c r="A294" s="19">
        <v>290</v>
      </c>
      <c r="B294" s="27" t="s">
        <v>551</v>
      </c>
      <c r="C294" s="28" t="s">
        <v>552</v>
      </c>
      <c r="D294" s="16">
        <v>674</v>
      </c>
      <c r="E294" s="16">
        <v>8</v>
      </c>
      <c r="F294" s="22">
        <v>562</v>
      </c>
      <c r="G294" s="22">
        <f t="shared" si="88"/>
        <v>17489.440000000002</v>
      </c>
      <c r="H294" s="22">
        <v>277</v>
      </c>
      <c r="I294" s="23">
        <f t="shared" si="89"/>
        <v>8977.57</v>
      </c>
      <c r="J294" s="22"/>
      <c r="K294" s="22">
        <f t="shared" si="90"/>
        <v>0</v>
      </c>
      <c r="L294" s="22"/>
      <c r="M294" s="24">
        <f t="shared" si="91"/>
        <v>0</v>
      </c>
      <c r="N294" s="23"/>
      <c r="O294" s="23">
        <f t="shared" si="92"/>
        <v>0</v>
      </c>
      <c r="P294" s="22"/>
      <c r="Q294" s="22">
        <f t="shared" si="93"/>
        <v>0</v>
      </c>
      <c r="R294" s="25"/>
      <c r="S294" s="25">
        <f t="shared" si="94"/>
        <v>0</v>
      </c>
      <c r="T294" s="25">
        <v>309</v>
      </c>
      <c r="U294" s="25">
        <f t="shared" si="76"/>
        <v>10413.300000000001</v>
      </c>
      <c r="V294" s="23"/>
      <c r="W294" s="23">
        <f t="shared" si="77"/>
        <v>0</v>
      </c>
      <c r="X294" s="23">
        <v>381</v>
      </c>
      <c r="Y294" s="23">
        <f t="shared" si="78"/>
        <v>13392.15</v>
      </c>
      <c r="Z294" s="23"/>
      <c r="AA294" s="23">
        <f t="shared" si="79"/>
        <v>0</v>
      </c>
      <c r="AB294" s="23"/>
      <c r="AC294" s="23">
        <f t="shared" si="80"/>
        <v>0</v>
      </c>
      <c r="AD294" s="23">
        <v>651</v>
      </c>
      <c r="AE294" s="23">
        <f t="shared" si="81"/>
        <v>22811.040000000001</v>
      </c>
      <c r="AF294" s="26">
        <v>734</v>
      </c>
      <c r="AG294" s="26">
        <f t="shared" si="82"/>
        <v>25088.12</v>
      </c>
      <c r="AH294" s="23">
        <v>653</v>
      </c>
      <c r="AI294" s="23">
        <f t="shared" si="83"/>
        <v>21744.899999999998</v>
      </c>
      <c r="AJ294" s="23">
        <v>830</v>
      </c>
      <c r="AK294" s="23">
        <f t="shared" si="84"/>
        <v>29838.500000000004</v>
      </c>
      <c r="AL294" s="23">
        <v>637</v>
      </c>
      <c r="AM294" s="26">
        <f t="shared" si="85"/>
        <v>23358.79</v>
      </c>
      <c r="AN294" s="12">
        <f t="shared" si="86"/>
        <v>5034</v>
      </c>
      <c r="AO294" s="22">
        <f t="shared" si="87"/>
        <v>173113.81</v>
      </c>
    </row>
    <row r="295" spans="1:41" s="31" customFormat="1" x14ac:dyDescent="0.5">
      <c r="A295" s="19">
        <v>291</v>
      </c>
      <c r="B295" s="20" t="s">
        <v>553</v>
      </c>
      <c r="C295" s="21" t="s">
        <v>554</v>
      </c>
      <c r="D295" s="16">
        <v>678</v>
      </c>
      <c r="E295" s="16">
        <v>8</v>
      </c>
      <c r="F295" s="22">
        <v>1193</v>
      </c>
      <c r="G295" s="22">
        <f t="shared" si="88"/>
        <v>37126.160000000003</v>
      </c>
      <c r="H295" s="22">
        <v>398</v>
      </c>
      <c r="I295" s="23">
        <f t="shared" si="89"/>
        <v>12899.179999999998</v>
      </c>
      <c r="J295" s="22">
        <v>408</v>
      </c>
      <c r="K295" s="22">
        <f t="shared" si="90"/>
        <v>13468.08</v>
      </c>
      <c r="L295" s="22">
        <v>466</v>
      </c>
      <c r="M295" s="24">
        <f t="shared" si="91"/>
        <v>16365.919999999998</v>
      </c>
      <c r="N295" s="23">
        <v>510</v>
      </c>
      <c r="O295" s="23">
        <f t="shared" si="92"/>
        <v>19507.5</v>
      </c>
      <c r="P295" s="22">
        <v>463</v>
      </c>
      <c r="Q295" s="22">
        <f t="shared" si="93"/>
        <v>19446</v>
      </c>
      <c r="R295" s="25">
        <v>799</v>
      </c>
      <c r="S295" s="25">
        <f t="shared" si="94"/>
        <v>30921.300000000003</v>
      </c>
      <c r="T295" s="25">
        <v>965</v>
      </c>
      <c r="U295" s="25">
        <f t="shared" si="76"/>
        <v>32520.500000000004</v>
      </c>
      <c r="V295" s="23">
        <v>1497</v>
      </c>
      <c r="W295" s="23">
        <f t="shared" si="77"/>
        <v>49101.599999999999</v>
      </c>
      <c r="X295" s="23">
        <v>1417</v>
      </c>
      <c r="Y295" s="23">
        <f t="shared" si="78"/>
        <v>49807.549999999996</v>
      </c>
      <c r="Z295" s="23">
        <v>1169</v>
      </c>
      <c r="AA295" s="23">
        <f t="shared" si="79"/>
        <v>40517.539999999994</v>
      </c>
      <c r="AB295" s="23">
        <v>1156</v>
      </c>
      <c r="AC295" s="23">
        <f t="shared" si="80"/>
        <v>41673.799999999996</v>
      </c>
      <c r="AD295" s="23">
        <v>1128</v>
      </c>
      <c r="AE295" s="23">
        <f t="shared" si="81"/>
        <v>39525.120000000003</v>
      </c>
      <c r="AF295" s="26">
        <v>1676</v>
      </c>
      <c r="AG295" s="26">
        <f t="shared" si="82"/>
        <v>57285.68</v>
      </c>
      <c r="AH295" s="23">
        <v>1319</v>
      </c>
      <c r="AI295" s="23">
        <f t="shared" si="83"/>
        <v>43922.7</v>
      </c>
      <c r="AJ295" s="23">
        <v>1414</v>
      </c>
      <c r="AK295" s="23">
        <f t="shared" si="84"/>
        <v>50833.3</v>
      </c>
      <c r="AL295" s="26">
        <v>1735</v>
      </c>
      <c r="AM295" s="26">
        <f t="shared" si="85"/>
        <v>63622.450000000004</v>
      </c>
      <c r="AN295" s="12">
        <f t="shared" si="86"/>
        <v>17713</v>
      </c>
      <c r="AO295" s="22">
        <f t="shared" si="87"/>
        <v>618544.38</v>
      </c>
    </row>
    <row r="296" spans="1:41" s="31" customFormat="1" x14ac:dyDescent="0.5">
      <c r="A296" s="19">
        <v>292</v>
      </c>
      <c r="B296" s="20" t="s">
        <v>555</v>
      </c>
      <c r="C296" s="21" t="s">
        <v>556</v>
      </c>
      <c r="D296" s="16">
        <v>714</v>
      </c>
      <c r="E296" s="16">
        <v>8</v>
      </c>
      <c r="F296" s="22">
        <v>198</v>
      </c>
      <c r="G296" s="22">
        <f t="shared" si="88"/>
        <v>6161.76</v>
      </c>
      <c r="H296" s="22">
        <v>240</v>
      </c>
      <c r="I296" s="23">
        <f t="shared" si="89"/>
        <v>7778.4</v>
      </c>
      <c r="J296" s="22">
        <v>193</v>
      </c>
      <c r="K296" s="22">
        <f t="shared" si="90"/>
        <v>6370.9299999999994</v>
      </c>
      <c r="L296" s="22"/>
      <c r="M296" s="24">
        <f t="shared" si="91"/>
        <v>0</v>
      </c>
      <c r="N296" s="23"/>
      <c r="O296" s="23">
        <f t="shared" si="92"/>
        <v>0</v>
      </c>
      <c r="P296" s="22">
        <v>149</v>
      </c>
      <c r="Q296" s="22">
        <f t="shared" si="93"/>
        <v>6258</v>
      </c>
      <c r="R296" s="25">
        <v>293</v>
      </c>
      <c r="S296" s="25">
        <f t="shared" si="94"/>
        <v>11339.1</v>
      </c>
      <c r="T296" s="25">
        <v>279</v>
      </c>
      <c r="U296" s="25">
        <f t="shared" si="76"/>
        <v>9402.3000000000011</v>
      </c>
      <c r="V296" s="23">
        <v>267</v>
      </c>
      <c r="W296" s="23">
        <f t="shared" si="77"/>
        <v>8757.5999999999985</v>
      </c>
      <c r="X296" s="23"/>
      <c r="Y296" s="23">
        <f t="shared" si="78"/>
        <v>0</v>
      </c>
      <c r="Z296" s="23"/>
      <c r="AA296" s="23">
        <f t="shared" si="79"/>
        <v>0</v>
      </c>
      <c r="AB296" s="23"/>
      <c r="AC296" s="23">
        <f t="shared" si="80"/>
        <v>0</v>
      </c>
      <c r="AD296" s="23"/>
      <c r="AE296" s="23">
        <f t="shared" si="81"/>
        <v>0</v>
      </c>
      <c r="AF296" s="26">
        <v>239</v>
      </c>
      <c r="AG296" s="26">
        <f t="shared" si="82"/>
        <v>8169.0199999999995</v>
      </c>
      <c r="AH296" s="23">
        <v>259</v>
      </c>
      <c r="AI296" s="23">
        <f t="shared" si="83"/>
        <v>8624.6999999999989</v>
      </c>
      <c r="AJ296" s="23">
        <v>328</v>
      </c>
      <c r="AK296" s="23">
        <f t="shared" si="84"/>
        <v>11791.6</v>
      </c>
      <c r="AL296" s="26"/>
      <c r="AM296" s="26">
        <f t="shared" si="85"/>
        <v>0</v>
      </c>
      <c r="AN296" s="12">
        <f t="shared" si="86"/>
        <v>2445</v>
      </c>
      <c r="AO296" s="22">
        <f t="shared" si="87"/>
        <v>84653.41</v>
      </c>
    </row>
    <row r="297" spans="1:41" s="31" customFormat="1" x14ac:dyDescent="0.5">
      <c r="A297" s="19">
        <v>293</v>
      </c>
      <c r="B297" s="27" t="s">
        <v>557</v>
      </c>
      <c r="C297" s="28" t="s">
        <v>558</v>
      </c>
      <c r="D297" s="16">
        <v>730</v>
      </c>
      <c r="E297" s="16">
        <v>8</v>
      </c>
      <c r="F297" s="22"/>
      <c r="G297" s="22">
        <f t="shared" si="88"/>
        <v>0</v>
      </c>
      <c r="H297" s="22"/>
      <c r="I297" s="23">
        <f t="shared" si="89"/>
        <v>0</v>
      </c>
      <c r="J297" s="22"/>
      <c r="K297" s="22">
        <f t="shared" si="90"/>
        <v>0</v>
      </c>
      <c r="L297" s="22"/>
      <c r="M297" s="24">
        <f t="shared" si="91"/>
        <v>0</v>
      </c>
      <c r="N297" s="23"/>
      <c r="O297" s="23">
        <f t="shared" si="92"/>
        <v>0</v>
      </c>
      <c r="P297" s="22"/>
      <c r="Q297" s="22">
        <f t="shared" si="93"/>
        <v>0</v>
      </c>
      <c r="R297" s="25"/>
      <c r="S297" s="25">
        <f t="shared" si="94"/>
        <v>0</v>
      </c>
      <c r="T297" s="25"/>
      <c r="U297" s="25">
        <f t="shared" si="76"/>
        <v>0</v>
      </c>
      <c r="V297" s="23"/>
      <c r="W297" s="23">
        <f t="shared" si="77"/>
        <v>0</v>
      </c>
      <c r="X297" s="23"/>
      <c r="Y297" s="23">
        <f t="shared" si="78"/>
        <v>0</v>
      </c>
      <c r="Z297" s="23"/>
      <c r="AA297" s="23">
        <f t="shared" si="79"/>
        <v>0</v>
      </c>
      <c r="AB297" s="23"/>
      <c r="AC297" s="23">
        <f t="shared" si="80"/>
        <v>0</v>
      </c>
      <c r="AD297" s="23"/>
      <c r="AE297" s="23">
        <f t="shared" si="81"/>
        <v>0</v>
      </c>
      <c r="AF297" s="26"/>
      <c r="AG297" s="26">
        <f t="shared" si="82"/>
        <v>0</v>
      </c>
      <c r="AH297" s="23"/>
      <c r="AI297" s="23">
        <f t="shared" si="83"/>
        <v>0</v>
      </c>
      <c r="AJ297" s="23"/>
      <c r="AK297" s="23">
        <f t="shared" si="84"/>
        <v>0</v>
      </c>
      <c r="AL297" s="23"/>
      <c r="AM297" s="26">
        <f t="shared" si="85"/>
        <v>0</v>
      </c>
      <c r="AN297" s="12">
        <f t="shared" si="86"/>
        <v>0</v>
      </c>
      <c r="AO297" s="22">
        <f t="shared" si="87"/>
        <v>0</v>
      </c>
    </row>
    <row r="298" spans="1:41" s="31" customFormat="1" x14ac:dyDescent="0.5">
      <c r="A298" s="19">
        <v>294</v>
      </c>
      <c r="B298" s="27" t="s">
        <v>76</v>
      </c>
      <c r="C298" s="28" t="s">
        <v>559</v>
      </c>
      <c r="D298" s="16">
        <v>734</v>
      </c>
      <c r="E298" s="16">
        <v>8</v>
      </c>
      <c r="F298" s="22"/>
      <c r="G298" s="22">
        <f t="shared" si="88"/>
        <v>0</v>
      </c>
      <c r="H298" s="22"/>
      <c r="I298" s="23">
        <f t="shared" si="89"/>
        <v>0</v>
      </c>
      <c r="J298" s="22"/>
      <c r="K298" s="22">
        <f t="shared" si="90"/>
        <v>0</v>
      </c>
      <c r="L298" s="22"/>
      <c r="M298" s="24">
        <f t="shared" si="91"/>
        <v>0</v>
      </c>
      <c r="N298" s="23"/>
      <c r="O298" s="23">
        <f t="shared" si="92"/>
        <v>0</v>
      </c>
      <c r="P298" s="22"/>
      <c r="Q298" s="22">
        <f t="shared" si="93"/>
        <v>0</v>
      </c>
      <c r="R298" s="25"/>
      <c r="S298" s="25">
        <f t="shared" si="94"/>
        <v>0</v>
      </c>
      <c r="T298" s="25"/>
      <c r="U298" s="25">
        <f t="shared" si="76"/>
        <v>0</v>
      </c>
      <c r="V298" s="23"/>
      <c r="W298" s="23">
        <f t="shared" si="77"/>
        <v>0</v>
      </c>
      <c r="X298" s="23"/>
      <c r="Y298" s="23">
        <f t="shared" si="78"/>
        <v>0</v>
      </c>
      <c r="Z298" s="23"/>
      <c r="AA298" s="23">
        <f t="shared" si="79"/>
        <v>0</v>
      </c>
      <c r="AB298" s="23"/>
      <c r="AC298" s="23">
        <f t="shared" si="80"/>
        <v>0</v>
      </c>
      <c r="AD298" s="23"/>
      <c r="AE298" s="23">
        <f t="shared" si="81"/>
        <v>0</v>
      </c>
      <c r="AF298" s="26"/>
      <c r="AG298" s="26">
        <f t="shared" si="82"/>
        <v>0</v>
      </c>
      <c r="AH298" s="23"/>
      <c r="AI298" s="23">
        <f t="shared" si="83"/>
        <v>0</v>
      </c>
      <c r="AJ298" s="23"/>
      <c r="AK298" s="23">
        <f t="shared" si="84"/>
        <v>0</v>
      </c>
      <c r="AL298" s="23"/>
      <c r="AM298" s="26">
        <f t="shared" si="85"/>
        <v>0</v>
      </c>
      <c r="AN298" s="12">
        <f t="shared" si="86"/>
        <v>0</v>
      </c>
      <c r="AO298" s="22">
        <f t="shared" si="87"/>
        <v>0</v>
      </c>
    </row>
    <row r="299" spans="1:41" x14ac:dyDescent="0.5">
      <c r="A299" s="19">
        <v>295</v>
      </c>
      <c r="B299" s="27" t="s">
        <v>560</v>
      </c>
      <c r="C299" s="28" t="s">
        <v>539</v>
      </c>
      <c r="D299" s="16">
        <v>735</v>
      </c>
      <c r="E299" s="16">
        <v>8</v>
      </c>
      <c r="F299" s="22"/>
      <c r="G299" s="22">
        <f t="shared" si="88"/>
        <v>0</v>
      </c>
      <c r="H299" s="22"/>
      <c r="I299" s="23">
        <f t="shared" si="89"/>
        <v>0</v>
      </c>
      <c r="J299" s="22"/>
      <c r="K299" s="22">
        <f t="shared" si="90"/>
        <v>0</v>
      </c>
      <c r="L299" s="22"/>
      <c r="M299" s="24">
        <f t="shared" si="91"/>
        <v>0</v>
      </c>
      <c r="N299" s="23"/>
      <c r="O299" s="23">
        <f t="shared" si="92"/>
        <v>0</v>
      </c>
      <c r="P299" s="22"/>
      <c r="Q299" s="22">
        <f t="shared" si="93"/>
        <v>0</v>
      </c>
      <c r="R299" s="25">
        <v>150</v>
      </c>
      <c r="S299" s="25">
        <f t="shared" si="94"/>
        <v>5805</v>
      </c>
      <c r="T299" s="25">
        <v>128</v>
      </c>
      <c r="U299" s="25">
        <f t="shared" si="76"/>
        <v>4313.6000000000004</v>
      </c>
      <c r="V299" s="23"/>
      <c r="W299" s="23">
        <f t="shared" si="77"/>
        <v>0</v>
      </c>
      <c r="X299" s="23"/>
      <c r="Y299" s="23">
        <f t="shared" si="78"/>
        <v>0</v>
      </c>
      <c r="Z299" s="23"/>
      <c r="AA299" s="23">
        <f t="shared" si="79"/>
        <v>0</v>
      </c>
      <c r="AB299" s="23"/>
      <c r="AC299" s="23">
        <f t="shared" si="80"/>
        <v>0</v>
      </c>
      <c r="AD299" s="23"/>
      <c r="AE299" s="23">
        <f t="shared" si="81"/>
        <v>0</v>
      </c>
      <c r="AF299" s="26"/>
      <c r="AG299" s="26">
        <f t="shared" si="82"/>
        <v>0</v>
      </c>
      <c r="AH299" s="23"/>
      <c r="AI299" s="23">
        <f t="shared" si="83"/>
        <v>0</v>
      </c>
      <c r="AJ299" s="23"/>
      <c r="AK299" s="23">
        <f t="shared" si="84"/>
        <v>0</v>
      </c>
      <c r="AL299" s="23"/>
      <c r="AM299" s="26">
        <f t="shared" si="85"/>
        <v>0</v>
      </c>
      <c r="AN299" s="12">
        <f t="shared" si="86"/>
        <v>278</v>
      </c>
      <c r="AO299" s="22">
        <f t="shared" si="87"/>
        <v>10118.6</v>
      </c>
    </row>
    <row r="300" spans="1:41" x14ac:dyDescent="0.5">
      <c r="A300" s="19">
        <v>296</v>
      </c>
      <c r="B300" s="27" t="s">
        <v>431</v>
      </c>
      <c r="C300" s="28" t="s">
        <v>561</v>
      </c>
      <c r="D300" s="16">
        <v>736</v>
      </c>
      <c r="E300" s="16">
        <v>8</v>
      </c>
      <c r="F300" s="22"/>
      <c r="G300" s="22">
        <f t="shared" si="88"/>
        <v>0</v>
      </c>
      <c r="H300" s="22"/>
      <c r="I300" s="23">
        <f t="shared" si="89"/>
        <v>0</v>
      </c>
      <c r="J300" s="22"/>
      <c r="K300" s="22">
        <f t="shared" si="90"/>
        <v>0</v>
      </c>
      <c r="L300" s="29"/>
      <c r="M300" s="24">
        <f t="shared" si="91"/>
        <v>0</v>
      </c>
      <c r="N300" s="30"/>
      <c r="O300" s="23">
        <f t="shared" si="92"/>
        <v>0</v>
      </c>
      <c r="P300" s="22"/>
      <c r="Q300" s="22">
        <f t="shared" si="93"/>
        <v>0</v>
      </c>
      <c r="R300" s="25"/>
      <c r="S300" s="25">
        <f t="shared" si="94"/>
        <v>0</v>
      </c>
      <c r="T300" s="25"/>
      <c r="U300" s="25">
        <f t="shared" si="76"/>
        <v>0</v>
      </c>
      <c r="V300" s="23"/>
      <c r="W300" s="23">
        <f t="shared" si="77"/>
        <v>0</v>
      </c>
      <c r="X300" s="23"/>
      <c r="Y300" s="23">
        <f t="shared" si="78"/>
        <v>0</v>
      </c>
      <c r="Z300" s="23"/>
      <c r="AA300" s="23">
        <f t="shared" si="79"/>
        <v>0</v>
      </c>
      <c r="AB300" s="23"/>
      <c r="AC300" s="23">
        <f t="shared" si="80"/>
        <v>0</v>
      </c>
      <c r="AD300" s="23"/>
      <c r="AE300" s="23">
        <f t="shared" si="81"/>
        <v>0</v>
      </c>
      <c r="AF300" s="26"/>
      <c r="AG300" s="26">
        <f t="shared" si="82"/>
        <v>0</v>
      </c>
      <c r="AH300" s="23"/>
      <c r="AI300" s="23">
        <f t="shared" si="83"/>
        <v>0</v>
      </c>
      <c r="AJ300" s="23"/>
      <c r="AK300" s="23">
        <f t="shared" si="84"/>
        <v>0</v>
      </c>
      <c r="AL300" s="23"/>
      <c r="AM300" s="26">
        <f t="shared" si="85"/>
        <v>0</v>
      </c>
      <c r="AN300" s="12">
        <f t="shared" si="86"/>
        <v>0</v>
      </c>
      <c r="AO300" s="22">
        <f t="shared" si="87"/>
        <v>0</v>
      </c>
    </row>
    <row r="301" spans="1:41" x14ac:dyDescent="0.5">
      <c r="A301" s="19">
        <v>297</v>
      </c>
      <c r="B301" s="20" t="s">
        <v>562</v>
      </c>
      <c r="C301" s="21" t="s">
        <v>563</v>
      </c>
      <c r="D301" s="16">
        <v>751</v>
      </c>
      <c r="E301" s="16">
        <v>8</v>
      </c>
      <c r="F301" s="22">
        <v>601</v>
      </c>
      <c r="G301" s="22">
        <f t="shared" si="88"/>
        <v>18703.12</v>
      </c>
      <c r="H301" s="22">
        <v>270</v>
      </c>
      <c r="I301" s="23">
        <f t="shared" si="89"/>
        <v>8750.6999999999989</v>
      </c>
      <c r="J301" s="22"/>
      <c r="K301" s="22">
        <f t="shared" si="90"/>
        <v>0</v>
      </c>
      <c r="L301" s="22"/>
      <c r="M301" s="24">
        <f t="shared" si="91"/>
        <v>0</v>
      </c>
      <c r="N301" s="23"/>
      <c r="O301" s="23">
        <f t="shared" si="92"/>
        <v>0</v>
      </c>
      <c r="P301" s="22">
        <v>564</v>
      </c>
      <c r="Q301" s="22">
        <f t="shared" si="93"/>
        <v>23688</v>
      </c>
      <c r="R301" s="25">
        <v>415</v>
      </c>
      <c r="S301" s="25">
        <f t="shared" si="94"/>
        <v>16060.500000000002</v>
      </c>
      <c r="T301" s="25">
        <v>487</v>
      </c>
      <c r="U301" s="25">
        <f t="shared" si="76"/>
        <v>16411.900000000001</v>
      </c>
      <c r="V301" s="23">
        <v>839</v>
      </c>
      <c r="W301" s="23">
        <f t="shared" si="77"/>
        <v>27519.199999999997</v>
      </c>
      <c r="X301" s="23"/>
      <c r="Y301" s="23">
        <f t="shared" si="78"/>
        <v>0</v>
      </c>
      <c r="Z301" s="23"/>
      <c r="AA301" s="23">
        <f t="shared" si="79"/>
        <v>0</v>
      </c>
      <c r="AB301" s="23">
        <v>623</v>
      </c>
      <c r="AC301" s="23">
        <f t="shared" si="80"/>
        <v>22459.149999999998</v>
      </c>
      <c r="AD301" s="23"/>
      <c r="AE301" s="23">
        <f t="shared" si="81"/>
        <v>0</v>
      </c>
      <c r="AF301" s="26"/>
      <c r="AG301" s="26">
        <f t="shared" si="82"/>
        <v>0</v>
      </c>
      <c r="AH301" s="23">
        <v>522</v>
      </c>
      <c r="AI301" s="23">
        <f t="shared" si="83"/>
        <v>17382.599999999999</v>
      </c>
      <c r="AJ301" s="23"/>
      <c r="AK301" s="23">
        <f t="shared" si="84"/>
        <v>0</v>
      </c>
      <c r="AL301" s="26"/>
      <c r="AM301" s="26">
        <f t="shared" si="85"/>
        <v>0</v>
      </c>
      <c r="AN301" s="12">
        <f t="shared" si="86"/>
        <v>4321</v>
      </c>
      <c r="AO301" s="22">
        <f t="shared" si="87"/>
        <v>150975.17000000001</v>
      </c>
    </row>
    <row r="302" spans="1:41" x14ac:dyDescent="0.5">
      <c r="A302" s="19">
        <v>298</v>
      </c>
      <c r="B302" s="20" t="s">
        <v>564</v>
      </c>
      <c r="C302" s="21" t="s">
        <v>565</v>
      </c>
      <c r="D302" s="16">
        <v>769</v>
      </c>
      <c r="E302" s="16">
        <v>8</v>
      </c>
      <c r="F302" s="22">
        <v>150</v>
      </c>
      <c r="G302" s="22">
        <f t="shared" si="88"/>
        <v>4668</v>
      </c>
      <c r="H302" s="22">
        <v>92</v>
      </c>
      <c r="I302" s="23">
        <f t="shared" si="89"/>
        <v>2981.72</v>
      </c>
      <c r="J302" s="22">
        <v>262</v>
      </c>
      <c r="K302" s="22">
        <f t="shared" si="90"/>
        <v>8648.619999999999</v>
      </c>
      <c r="L302" s="29">
        <v>168</v>
      </c>
      <c r="M302" s="24">
        <f t="shared" si="91"/>
        <v>5900.16</v>
      </c>
      <c r="N302" s="30">
        <v>147</v>
      </c>
      <c r="O302" s="23">
        <f t="shared" si="92"/>
        <v>5622.75</v>
      </c>
      <c r="P302" s="22"/>
      <c r="Q302" s="22">
        <f t="shared" si="93"/>
        <v>0</v>
      </c>
      <c r="R302" s="25">
        <v>205</v>
      </c>
      <c r="S302" s="25">
        <f t="shared" si="94"/>
        <v>7933.5000000000009</v>
      </c>
      <c r="T302" s="25">
        <v>180</v>
      </c>
      <c r="U302" s="25">
        <f t="shared" si="76"/>
        <v>6066.0000000000009</v>
      </c>
      <c r="V302" s="23">
        <v>157</v>
      </c>
      <c r="W302" s="23">
        <f t="shared" si="77"/>
        <v>5149.5999999999995</v>
      </c>
      <c r="X302" s="23">
        <v>248</v>
      </c>
      <c r="Y302" s="23">
        <f t="shared" si="78"/>
        <v>8717.1999999999989</v>
      </c>
      <c r="Z302" s="23">
        <v>224</v>
      </c>
      <c r="AA302" s="23">
        <f t="shared" si="79"/>
        <v>7763.8399999999992</v>
      </c>
      <c r="AB302" s="23">
        <v>209</v>
      </c>
      <c r="AC302" s="23">
        <f t="shared" si="80"/>
        <v>7534.45</v>
      </c>
      <c r="AD302" s="23">
        <v>205</v>
      </c>
      <c r="AE302" s="23">
        <f t="shared" si="81"/>
        <v>7183.2</v>
      </c>
      <c r="AF302" s="26">
        <v>268</v>
      </c>
      <c r="AG302" s="26">
        <f t="shared" si="82"/>
        <v>9160.24</v>
      </c>
      <c r="AH302" s="23">
        <v>201</v>
      </c>
      <c r="AI302" s="23">
        <f t="shared" si="83"/>
        <v>6693.2999999999993</v>
      </c>
      <c r="AJ302" s="23">
        <v>250</v>
      </c>
      <c r="AK302" s="23">
        <f t="shared" si="84"/>
        <v>8987.5</v>
      </c>
      <c r="AL302" s="26">
        <v>242</v>
      </c>
      <c r="AM302" s="26">
        <f t="shared" si="85"/>
        <v>8874.1400000000012</v>
      </c>
      <c r="AN302" s="12">
        <f t="shared" si="86"/>
        <v>3208</v>
      </c>
      <c r="AO302" s="22">
        <f t="shared" si="87"/>
        <v>111884.22</v>
      </c>
    </row>
    <row r="303" spans="1:41" x14ac:dyDescent="0.5">
      <c r="A303" s="19">
        <v>299</v>
      </c>
      <c r="B303" s="20" t="s">
        <v>383</v>
      </c>
      <c r="C303" s="21" t="s">
        <v>566</v>
      </c>
      <c r="D303" s="16">
        <v>770</v>
      </c>
      <c r="E303" s="16">
        <v>8</v>
      </c>
      <c r="F303" s="22">
        <v>633</v>
      </c>
      <c r="G303" s="22">
        <f t="shared" si="88"/>
        <v>19698.96</v>
      </c>
      <c r="H303" s="22">
        <v>224</v>
      </c>
      <c r="I303" s="23">
        <f t="shared" si="89"/>
        <v>7259.8399999999992</v>
      </c>
      <c r="J303" s="22">
        <v>581</v>
      </c>
      <c r="K303" s="22">
        <f t="shared" si="90"/>
        <v>19178.809999999998</v>
      </c>
      <c r="L303" s="22">
        <v>266</v>
      </c>
      <c r="M303" s="24">
        <f t="shared" si="91"/>
        <v>9341.92</v>
      </c>
      <c r="N303" s="23"/>
      <c r="O303" s="23">
        <f t="shared" si="92"/>
        <v>0</v>
      </c>
      <c r="P303" s="22">
        <v>573</v>
      </c>
      <c r="Q303" s="22">
        <f t="shared" si="93"/>
        <v>24066</v>
      </c>
      <c r="R303" s="25">
        <v>613</v>
      </c>
      <c r="S303" s="25">
        <f t="shared" si="94"/>
        <v>23723.100000000002</v>
      </c>
      <c r="T303" s="25">
        <v>591</v>
      </c>
      <c r="U303" s="25">
        <f t="shared" si="76"/>
        <v>19916.7</v>
      </c>
      <c r="V303" s="23">
        <v>683</v>
      </c>
      <c r="W303" s="23">
        <f t="shared" si="77"/>
        <v>22402.399999999998</v>
      </c>
      <c r="X303" s="23">
        <v>555</v>
      </c>
      <c r="Y303" s="23">
        <f t="shared" si="78"/>
        <v>19508.25</v>
      </c>
      <c r="Z303" s="23">
        <v>752</v>
      </c>
      <c r="AA303" s="23">
        <f t="shared" si="79"/>
        <v>26064.319999999996</v>
      </c>
      <c r="AB303" s="23">
        <v>707</v>
      </c>
      <c r="AC303" s="23">
        <f t="shared" si="80"/>
        <v>25487.35</v>
      </c>
      <c r="AD303" s="23">
        <v>790</v>
      </c>
      <c r="AE303" s="23">
        <f t="shared" si="81"/>
        <v>27681.599999999999</v>
      </c>
      <c r="AF303" s="26">
        <v>739</v>
      </c>
      <c r="AG303" s="26">
        <f t="shared" si="82"/>
        <v>25259.02</v>
      </c>
      <c r="AH303" s="23">
        <v>887</v>
      </c>
      <c r="AI303" s="23">
        <f t="shared" si="83"/>
        <v>29537.1</v>
      </c>
      <c r="AJ303" s="23">
        <v>1164</v>
      </c>
      <c r="AK303" s="23">
        <f t="shared" si="84"/>
        <v>41845.800000000003</v>
      </c>
      <c r="AL303" s="26">
        <v>1059</v>
      </c>
      <c r="AM303" s="26">
        <f t="shared" si="85"/>
        <v>38833.53</v>
      </c>
      <c r="AN303" s="12">
        <f t="shared" si="86"/>
        <v>10817</v>
      </c>
      <c r="AO303" s="22">
        <f t="shared" si="87"/>
        <v>379804.69999999995</v>
      </c>
    </row>
    <row r="304" spans="1:41" s="31" customFormat="1" x14ac:dyDescent="0.5">
      <c r="A304" s="19">
        <v>300</v>
      </c>
      <c r="B304" s="20" t="s">
        <v>567</v>
      </c>
      <c r="C304" s="21" t="s">
        <v>518</v>
      </c>
      <c r="D304" s="16">
        <v>772</v>
      </c>
      <c r="E304" s="16">
        <v>8</v>
      </c>
      <c r="F304" s="22">
        <v>512</v>
      </c>
      <c r="G304" s="22">
        <f t="shared" si="88"/>
        <v>15933.44</v>
      </c>
      <c r="H304" s="22">
        <v>465</v>
      </c>
      <c r="I304" s="23">
        <f t="shared" si="89"/>
        <v>15070.649999999998</v>
      </c>
      <c r="J304" s="22">
        <v>449</v>
      </c>
      <c r="K304" s="22">
        <f t="shared" si="90"/>
        <v>14821.49</v>
      </c>
      <c r="L304" s="22">
        <v>265</v>
      </c>
      <c r="M304" s="24">
        <f t="shared" si="91"/>
        <v>9306.7999999999993</v>
      </c>
      <c r="N304" s="23">
        <v>371</v>
      </c>
      <c r="O304" s="23">
        <f t="shared" si="92"/>
        <v>14190.75</v>
      </c>
      <c r="P304" s="22">
        <v>403</v>
      </c>
      <c r="Q304" s="22">
        <f t="shared" si="93"/>
        <v>16926</v>
      </c>
      <c r="R304" s="25">
        <v>392</v>
      </c>
      <c r="S304" s="25">
        <f t="shared" si="94"/>
        <v>15170.400000000001</v>
      </c>
      <c r="T304" s="25">
        <v>537</v>
      </c>
      <c r="U304" s="25">
        <f t="shared" si="76"/>
        <v>18096.900000000001</v>
      </c>
      <c r="V304" s="23">
        <v>464</v>
      </c>
      <c r="W304" s="23">
        <f t="shared" si="77"/>
        <v>15219.199999999999</v>
      </c>
      <c r="X304" s="23">
        <v>499</v>
      </c>
      <c r="Y304" s="23">
        <f t="shared" si="78"/>
        <v>17539.849999999999</v>
      </c>
      <c r="Z304" s="23">
        <v>422</v>
      </c>
      <c r="AA304" s="23">
        <f t="shared" si="79"/>
        <v>14626.519999999999</v>
      </c>
      <c r="AB304" s="23">
        <v>514</v>
      </c>
      <c r="AC304" s="23">
        <f t="shared" si="80"/>
        <v>18529.699999999997</v>
      </c>
      <c r="AD304" s="23">
        <v>521</v>
      </c>
      <c r="AE304" s="23">
        <f t="shared" si="81"/>
        <v>18255.84</v>
      </c>
      <c r="AF304" s="26">
        <v>669</v>
      </c>
      <c r="AG304" s="26">
        <f t="shared" si="82"/>
        <v>22866.42</v>
      </c>
      <c r="AH304" s="23">
        <v>534</v>
      </c>
      <c r="AI304" s="23">
        <f t="shared" si="83"/>
        <v>17782.199999999997</v>
      </c>
      <c r="AJ304" s="23">
        <v>577</v>
      </c>
      <c r="AK304" s="23">
        <f t="shared" si="84"/>
        <v>20743.150000000001</v>
      </c>
      <c r="AL304" s="26">
        <v>604</v>
      </c>
      <c r="AM304" s="26">
        <f t="shared" si="85"/>
        <v>22148.68</v>
      </c>
      <c r="AN304" s="12">
        <f t="shared" si="86"/>
        <v>8198</v>
      </c>
      <c r="AO304" s="22">
        <f t="shared" si="87"/>
        <v>287227.99000000005</v>
      </c>
    </row>
    <row r="305" spans="1:41" x14ac:dyDescent="0.5">
      <c r="A305" s="19">
        <v>301</v>
      </c>
      <c r="B305" s="20" t="s">
        <v>568</v>
      </c>
      <c r="C305" s="21" t="s">
        <v>510</v>
      </c>
      <c r="D305" s="16">
        <v>801</v>
      </c>
      <c r="E305" s="16">
        <v>8</v>
      </c>
      <c r="F305" s="22">
        <v>515</v>
      </c>
      <c r="G305" s="22">
        <f t="shared" si="88"/>
        <v>16026.800000000001</v>
      </c>
      <c r="H305" s="22">
        <v>447</v>
      </c>
      <c r="I305" s="23">
        <f t="shared" si="89"/>
        <v>14487.269999999999</v>
      </c>
      <c r="J305" s="22">
        <v>540</v>
      </c>
      <c r="K305" s="22">
        <f t="shared" si="90"/>
        <v>17825.399999999998</v>
      </c>
      <c r="L305" s="22"/>
      <c r="M305" s="24">
        <f t="shared" si="91"/>
        <v>0</v>
      </c>
      <c r="N305" s="23">
        <v>209</v>
      </c>
      <c r="O305" s="23">
        <f t="shared" si="92"/>
        <v>7994.25</v>
      </c>
      <c r="P305" s="22">
        <v>417</v>
      </c>
      <c r="Q305" s="22">
        <f t="shared" si="93"/>
        <v>17514</v>
      </c>
      <c r="R305" s="25">
        <v>403</v>
      </c>
      <c r="S305" s="25">
        <f t="shared" si="94"/>
        <v>15596.1</v>
      </c>
      <c r="T305" s="25">
        <v>326</v>
      </c>
      <c r="U305" s="25">
        <f t="shared" si="76"/>
        <v>10986.2</v>
      </c>
      <c r="V305" s="23">
        <v>327</v>
      </c>
      <c r="W305" s="23">
        <f t="shared" si="77"/>
        <v>10725.599999999999</v>
      </c>
      <c r="X305" s="23">
        <v>360</v>
      </c>
      <c r="Y305" s="23">
        <f t="shared" si="78"/>
        <v>12654</v>
      </c>
      <c r="Z305" s="23">
        <v>343</v>
      </c>
      <c r="AA305" s="23">
        <f t="shared" si="79"/>
        <v>11888.38</v>
      </c>
      <c r="AB305" s="23">
        <v>388</v>
      </c>
      <c r="AC305" s="23">
        <f t="shared" si="80"/>
        <v>13987.4</v>
      </c>
      <c r="AD305" s="23">
        <v>408</v>
      </c>
      <c r="AE305" s="23">
        <f t="shared" si="81"/>
        <v>14296.32</v>
      </c>
      <c r="AF305" s="26">
        <v>953</v>
      </c>
      <c r="AG305" s="26">
        <f t="shared" si="82"/>
        <v>32573.54</v>
      </c>
      <c r="AH305" s="23">
        <v>339</v>
      </c>
      <c r="AI305" s="23">
        <f t="shared" si="83"/>
        <v>11288.699999999999</v>
      </c>
      <c r="AJ305" s="23">
        <v>478</v>
      </c>
      <c r="AK305" s="23">
        <f t="shared" si="84"/>
        <v>17184.100000000002</v>
      </c>
      <c r="AL305" s="26">
        <v>966</v>
      </c>
      <c r="AM305" s="26">
        <f t="shared" si="85"/>
        <v>35423.22</v>
      </c>
      <c r="AN305" s="12">
        <f t="shared" si="86"/>
        <v>7419</v>
      </c>
      <c r="AO305" s="22">
        <f t="shared" si="87"/>
        <v>260451.28000000003</v>
      </c>
    </row>
    <row r="306" spans="1:41" x14ac:dyDescent="0.5">
      <c r="A306" s="19">
        <v>302</v>
      </c>
      <c r="B306" s="27" t="s">
        <v>569</v>
      </c>
      <c r="C306" s="28" t="s">
        <v>570</v>
      </c>
      <c r="D306" s="16">
        <v>802</v>
      </c>
      <c r="E306" s="16">
        <v>8</v>
      </c>
      <c r="F306" s="22"/>
      <c r="G306" s="22">
        <f t="shared" si="88"/>
        <v>0</v>
      </c>
      <c r="H306" s="22"/>
      <c r="I306" s="23">
        <f t="shared" si="89"/>
        <v>0</v>
      </c>
      <c r="J306" s="22"/>
      <c r="K306" s="22">
        <f t="shared" si="90"/>
        <v>0</v>
      </c>
      <c r="L306" s="22"/>
      <c r="M306" s="24">
        <f t="shared" si="91"/>
        <v>0</v>
      </c>
      <c r="N306" s="23"/>
      <c r="O306" s="23">
        <f t="shared" si="92"/>
        <v>0</v>
      </c>
      <c r="P306" s="22"/>
      <c r="Q306" s="22">
        <f t="shared" si="93"/>
        <v>0</v>
      </c>
      <c r="R306" s="25"/>
      <c r="S306" s="25">
        <f t="shared" si="94"/>
        <v>0</v>
      </c>
      <c r="T306" s="25"/>
      <c r="U306" s="25">
        <f t="shared" si="76"/>
        <v>0</v>
      </c>
      <c r="V306" s="23"/>
      <c r="W306" s="23">
        <f t="shared" si="77"/>
        <v>0</v>
      </c>
      <c r="X306" s="23"/>
      <c r="Y306" s="23">
        <f t="shared" si="78"/>
        <v>0</v>
      </c>
      <c r="Z306" s="23"/>
      <c r="AA306" s="23">
        <f t="shared" si="79"/>
        <v>0</v>
      </c>
      <c r="AB306" s="23"/>
      <c r="AC306" s="23">
        <f t="shared" si="80"/>
        <v>0</v>
      </c>
      <c r="AD306" s="23"/>
      <c r="AE306" s="23">
        <f t="shared" si="81"/>
        <v>0</v>
      </c>
      <c r="AF306" s="26"/>
      <c r="AG306" s="26">
        <f t="shared" si="82"/>
        <v>0</v>
      </c>
      <c r="AH306" s="23"/>
      <c r="AI306" s="23">
        <f t="shared" si="83"/>
        <v>0</v>
      </c>
      <c r="AJ306" s="23"/>
      <c r="AK306" s="23">
        <f t="shared" si="84"/>
        <v>0</v>
      </c>
      <c r="AL306" s="23"/>
      <c r="AM306" s="26">
        <f t="shared" si="85"/>
        <v>0</v>
      </c>
      <c r="AN306" s="12">
        <f t="shared" si="86"/>
        <v>0</v>
      </c>
      <c r="AO306" s="22">
        <f t="shared" si="87"/>
        <v>0</v>
      </c>
    </row>
    <row r="307" spans="1:41" x14ac:dyDescent="0.5">
      <c r="A307" s="19">
        <v>303</v>
      </c>
      <c r="B307" s="20" t="s">
        <v>571</v>
      </c>
      <c r="C307" s="21" t="s">
        <v>572</v>
      </c>
      <c r="D307" s="16">
        <v>803</v>
      </c>
      <c r="E307" s="16">
        <v>8</v>
      </c>
      <c r="F307" s="22">
        <v>729</v>
      </c>
      <c r="G307" s="22">
        <f t="shared" si="88"/>
        <v>22686.48</v>
      </c>
      <c r="H307" s="22">
        <v>461</v>
      </c>
      <c r="I307" s="23">
        <f t="shared" si="89"/>
        <v>14941.009999999998</v>
      </c>
      <c r="J307" s="22">
        <v>575</v>
      </c>
      <c r="K307" s="22">
        <f t="shared" si="90"/>
        <v>18980.75</v>
      </c>
      <c r="L307" s="22">
        <v>549</v>
      </c>
      <c r="M307" s="24">
        <f t="shared" si="91"/>
        <v>19280.879999999997</v>
      </c>
      <c r="N307" s="23">
        <v>597</v>
      </c>
      <c r="O307" s="23">
        <f t="shared" si="92"/>
        <v>22835.25</v>
      </c>
      <c r="P307" s="22">
        <v>836</v>
      </c>
      <c r="Q307" s="22">
        <f t="shared" si="93"/>
        <v>35112</v>
      </c>
      <c r="R307" s="25">
        <v>636</v>
      </c>
      <c r="S307" s="25">
        <f t="shared" si="94"/>
        <v>24613.200000000001</v>
      </c>
      <c r="T307" s="25">
        <v>754</v>
      </c>
      <c r="U307" s="25">
        <f t="shared" si="76"/>
        <v>25409.800000000003</v>
      </c>
      <c r="V307" s="23">
        <v>851</v>
      </c>
      <c r="W307" s="23">
        <f t="shared" si="77"/>
        <v>27912.799999999999</v>
      </c>
      <c r="X307" s="23">
        <v>827</v>
      </c>
      <c r="Y307" s="23">
        <f t="shared" si="78"/>
        <v>29069.05</v>
      </c>
      <c r="Z307" s="23">
        <v>722</v>
      </c>
      <c r="AA307" s="23">
        <f t="shared" si="79"/>
        <v>25024.519999999997</v>
      </c>
      <c r="AB307" s="23"/>
      <c r="AC307" s="23">
        <f t="shared" si="80"/>
        <v>0</v>
      </c>
      <c r="AD307" s="23">
        <v>833</v>
      </c>
      <c r="AE307" s="23">
        <f t="shared" si="81"/>
        <v>29188.32</v>
      </c>
      <c r="AF307" s="26">
        <v>928</v>
      </c>
      <c r="AG307" s="26">
        <f t="shared" si="82"/>
        <v>31719.040000000001</v>
      </c>
      <c r="AH307" s="23">
        <v>758</v>
      </c>
      <c r="AI307" s="23">
        <f t="shared" si="83"/>
        <v>25241.399999999998</v>
      </c>
      <c r="AJ307" s="23">
        <v>950</v>
      </c>
      <c r="AK307" s="23">
        <f t="shared" si="84"/>
        <v>34152.5</v>
      </c>
      <c r="AL307" s="26">
        <v>903</v>
      </c>
      <c r="AM307" s="26">
        <f t="shared" si="85"/>
        <v>33113.01</v>
      </c>
      <c r="AN307" s="12">
        <f t="shared" si="86"/>
        <v>11909</v>
      </c>
      <c r="AO307" s="22">
        <f t="shared" si="87"/>
        <v>419280.01</v>
      </c>
    </row>
    <row r="308" spans="1:41" x14ac:dyDescent="0.5">
      <c r="A308" s="19">
        <v>304</v>
      </c>
      <c r="B308" s="20" t="s">
        <v>573</v>
      </c>
      <c r="C308" s="21" t="s">
        <v>574</v>
      </c>
      <c r="D308" s="16">
        <v>807</v>
      </c>
      <c r="E308" s="16">
        <v>8</v>
      </c>
      <c r="F308" s="22"/>
      <c r="G308" s="22">
        <f t="shared" si="88"/>
        <v>0</v>
      </c>
      <c r="H308" s="22"/>
      <c r="I308" s="23">
        <f t="shared" si="89"/>
        <v>0</v>
      </c>
      <c r="J308" s="22"/>
      <c r="K308" s="22">
        <f t="shared" si="90"/>
        <v>0</v>
      </c>
      <c r="L308" s="29"/>
      <c r="M308" s="24">
        <f t="shared" si="91"/>
        <v>0</v>
      </c>
      <c r="N308" s="30">
        <v>178</v>
      </c>
      <c r="O308" s="23">
        <f t="shared" si="92"/>
        <v>6808.5</v>
      </c>
      <c r="P308" s="22">
        <v>243</v>
      </c>
      <c r="Q308" s="22">
        <f t="shared" si="93"/>
        <v>10206</v>
      </c>
      <c r="R308" s="25"/>
      <c r="S308" s="25">
        <f t="shared" si="94"/>
        <v>0</v>
      </c>
      <c r="T308" s="25"/>
      <c r="U308" s="25">
        <f t="shared" si="76"/>
        <v>0</v>
      </c>
      <c r="V308" s="23"/>
      <c r="W308" s="23">
        <f t="shared" si="77"/>
        <v>0</v>
      </c>
      <c r="X308" s="23"/>
      <c r="Y308" s="23">
        <f t="shared" si="78"/>
        <v>0</v>
      </c>
      <c r="Z308" s="23"/>
      <c r="AA308" s="23">
        <f t="shared" si="79"/>
        <v>0</v>
      </c>
      <c r="AB308" s="23"/>
      <c r="AC308" s="23">
        <f t="shared" si="80"/>
        <v>0</v>
      </c>
      <c r="AD308" s="23"/>
      <c r="AE308" s="23">
        <f t="shared" si="81"/>
        <v>0</v>
      </c>
      <c r="AF308" s="26"/>
      <c r="AG308" s="26">
        <f t="shared" si="82"/>
        <v>0</v>
      </c>
      <c r="AH308" s="23"/>
      <c r="AI308" s="23">
        <f t="shared" si="83"/>
        <v>0</v>
      </c>
      <c r="AJ308" s="23"/>
      <c r="AK308" s="23">
        <f t="shared" si="84"/>
        <v>0</v>
      </c>
      <c r="AL308" s="26"/>
      <c r="AM308" s="26">
        <f t="shared" si="85"/>
        <v>0</v>
      </c>
      <c r="AN308" s="12">
        <f t="shared" si="86"/>
        <v>421</v>
      </c>
      <c r="AO308" s="22">
        <f t="shared" si="87"/>
        <v>17014.5</v>
      </c>
    </row>
    <row r="309" spans="1:41" s="31" customFormat="1" x14ac:dyDescent="0.5">
      <c r="A309" s="19">
        <v>305</v>
      </c>
      <c r="B309" s="20" t="s">
        <v>575</v>
      </c>
      <c r="C309" s="21" t="s">
        <v>576</v>
      </c>
      <c r="D309" s="16">
        <v>808</v>
      </c>
      <c r="E309" s="16">
        <v>8</v>
      </c>
      <c r="F309" s="22">
        <v>91</v>
      </c>
      <c r="G309" s="22">
        <f t="shared" si="88"/>
        <v>2831.92</v>
      </c>
      <c r="H309" s="22"/>
      <c r="I309" s="23">
        <f t="shared" si="89"/>
        <v>0</v>
      </c>
      <c r="J309" s="22">
        <v>104</v>
      </c>
      <c r="K309" s="22">
        <f t="shared" si="90"/>
        <v>3433.04</v>
      </c>
      <c r="L309" s="29">
        <v>395</v>
      </c>
      <c r="M309" s="24">
        <f t="shared" si="91"/>
        <v>13872.4</v>
      </c>
      <c r="N309" s="30">
        <v>133</v>
      </c>
      <c r="O309" s="23">
        <f t="shared" si="92"/>
        <v>5087.25</v>
      </c>
      <c r="P309" s="22">
        <v>134</v>
      </c>
      <c r="Q309" s="22">
        <f t="shared" si="93"/>
        <v>5628</v>
      </c>
      <c r="R309" s="25">
        <v>212</v>
      </c>
      <c r="S309" s="25">
        <f t="shared" si="94"/>
        <v>8204.4000000000015</v>
      </c>
      <c r="T309" s="25">
        <v>161</v>
      </c>
      <c r="U309" s="25">
        <f t="shared" si="76"/>
        <v>5425.7000000000007</v>
      </c>
      <c r="V309" s="23">
        <v>211</v>
      </c>
      <c r="W309" s="23">
        <f t="shared" si="77"/>
        <v>6920.7999999999993</v>
      </c>
      <c r="X309" s="23">
        <v>254</v>
      </c>
      <c r="Y309" s="23">
        <f t="shared" si="78"/>
        <v>8928.1</v>
      </c>
      <c r="Z309" s="23">
        <v>251</v>
      </c>
      <c r="AA309" s="23">
        <f t="shared" si="79"/>
        <v>8699.66</v>
      </c>
      <c r="AB309" s="23"/>
      <c r="AC309" s="23">
        <f t="shared" si="80"/>
        <v>0</v>
      </c>
      <c r="AD309" s="23">
        <v>190</v>
      </c>
      <c r="AE309" s="23">
        <f t="shared" si="81"/>
        <v>6657.5999999999995</v>
      </c>
      <c r="AF309" s="26">
        <v>179</v>
      </c>
      <c r="AG309" s="26">
        <f t="shared" si="82"/>
        <v>6118.22</v>
      </c>
      <c r="AH309" s="23">
        <v>232</v>
      </c>
      <c r="AI309" s="23">
        <f t="shared" si="83"/>
        <v>7725.5999999999995</v>
      </c>
      <c r="AJ309" s="23">
        <v>262</v>
      </c>
      <c r="AK309" s="23">
        <f t="shared" si="84"/>
        <v>9418.9000000000015</v>
      </c>
      <c r="AL309" s="26">
        <v>247</v>
      </c>
      <c r="AM309" s="26">
        <f t="shared" si="85"/>
        <v>9057.49</v>
      </c>
      <c r="AN309" s="12">
        <f t="shared" si="86"/>
        <v>3056</v>
      </c>
      <c r="AO309" s="22">
        <f t="shared" si="87"/>
        <v>108009.08000000003</v>
      </c>
    </row>
    <row r="310" spans="1:41" x14ac:dyDescent="0.5">
      <c r="A310" s="19">
        <v>306</v>
      </c>
      <c r="B310" s="20" t="s">
        <v>577</v>
      </c>
      <c r="C310" s="21" t="s">
        <v>578</v>
      </c>
      <c r="D310" s="16">
        <v>809</v>
      </c>
      <c r="E310" s="16">
        <v>8</v>
      </c>
      <c r="F310" s="22">
        <v>307</v>
      </c>
      <c r="G310" s="22">
        <f t="shared" si="88"/>
        <v>9553.84</v>
      </c>
      <c r="H310" s="22">
        <v>60</v>
      </c>
      <c r="I310" s="23">
        <f t="shared" si="89"/>
        <v>1944.6</v>
      </c>
      <c r="J310" s="22">
        <v>360</v>
      </c>
      <c r="K310" s="22">
        <f t="shared" si="90"/>
        <v>11883.599999999999</v>
      </c>
      <c r="L310" s="29">
        <v>331</v>
      </c>
      <c r="M310" s="24">
        <f t="shared" si="91"/>
        <v>11624.72</v>
      </c>
      <c r="N310" s="30">
        <v>357</v>
      </c>
      <c r="O310" s="23">
        <f t="shared" si="92"/>
        <v>13655.25</v>
      </c>
      <c r="P310" s="22">
        <v>549</v>
      </c>
      <c r="Q310" s="22">
        <f t="shared" si="93"/>
        <v>23058</v>
      </c>
      <c r="R310" s="25">
        <v>632</v>
      </c>
      <c r="S310" s="25">
        <f t="shared" si="94"/>
        <v>24458.400000000001</v>
      </c>
      <c r="T310" s="25">
        <v>675</v>
      </c>
      <c r="U310" s="25">
        <f t="shared" si="76"/>
        <v>22747.500000000004</v>
      </c>
      <c r="V310" s="23">
        <v>646</v>
      </c>
      <c r="W310" s="23">
        <f t="shared" si="77"/>
        <v>21188.799999999999</v>
      </c>
      <c r="X310" s="23">
        <v>701</v>
      </c>
      <c r="Y310" s="23">
        <f t="shared" si="78"/>
        <v>24640.149999999998</v>
      </c>
      <c r="Z310" s="23">
        <v>331</v>
      </c>
      <c r="AA310" s="23">
        <f t="shared" si="79"/>
        <v>11472.46</v>
      </c>
      <c r="AB310" s="23">
        <v>336</v>
      </c>
      <c r="AC310" s="23">
        <f t="shared" si="80"/>
        <v>12112.8</v>
      </c>
      <c r="AD310" s="23">
        <v>589</v>
      </c>
      <c r="AE310" s="23">
        <f t="shared" si="81"/>
        <v>20638.560000000001</v>
      </c>
      <c r="AF310" s="26">
        <v>669</v>
      </c>
      <c r="AG310" s="26">
        <f t="shared" si="82"/>
        <v>22866.42</v>
      </c>
      <c r="AH310" s="23">
        <v>599</v>
      </c>
      <c r="AI310" s="23">
        <f t="shared" si="83"/>
        <v>19946.699999999997</v>
      </c>
      <c r="AJ310" s="23">
        <v>650</v>
      </c>
      <c r="AK310" s="23">
        <f t="shared" si="84"/>
        <v>23367.500000000004</v>
      </c>
      <c r="AL310" s="26">
        <v>641</v>
      </c>
      <c r="AM310" s="26">
        <f t="shared" si="85"/>
        <v>23505.47</v>
      </c>
      <c r="AN310" s="12">
        <f t="shared" si="86"/>
        <v>8433</v>
      </c>
      <c r="AO310" s="22">
        <f t="shared" si="87"/>
        <v>298664.77</v>
      </c>
    </row>
    <row r="311" spans="1:41" s="31" customFormat="1" x14ac:dyDescent="0.5">
      <c r="A311" s="19">
        <v>307</v>
      </c>
      <c r="B311" s="27" t="s">
        <v>579</v>
      </c>
      <c r="C311" s="28" t="s">
        <v>300</v>
      </c>
      <c r="D311" s="16">
        <v>810</v>
      </c>
      <c r="E311" s="16">
        <v>8</v>
      </c>
      <c r="F311" s="22">
        <v>528</v>
      </c>
      <c r="G311" s="22">
        <f t="shared" si="88"/>
        <v>16431.36</v>
      </c>
      <c r="H311" s="22">
        <v>447</v>
      </c>
      <c r="I311" s="23">
        <f t="shared" si="89"/>
        <v>14487.269999999999</v>
      </c>
      <c r="J311" s="22">
        <v>517</v>
      </c>
      <c r="K311" s="22">
        <f t="shared" si="90"/>
        <v>17066.169999999998</v>
      </c>
      <c r="L311" s="29">
        <v>253</v>
      </c>
      <c r="M311" s="24">
        <f t="shared" si="91"/>
        <v>8885.3599999999988</v>
      </c>
      <c r="N311" s="30">
        <v>297</v>
      </c>
      <c r="O311" s="23">
        <f t="shared" si="92"/>
        <v>11360.25</v>
      </c>
      <c r="P311" s="22">
        <v>399</v>
      </c>
      <c r="Q311" s="22">
        <f t="shared" si="93"/>
        <v>16758</v>
      </c>
      <c r="R311" s="25">
        <v>398</v>
      </c>
      <c r="S311" s="25">
        <f t="shared" si="94"/>
        <v>15402.6</v>
      </c>
      <c r="T311" s="25">
        <v>412</v>
      </c>
      <c r="U311" s="25">
        <f t="shared" si="76"/>
        <v>13884.400000000001</v>
      </c>
      <c r="V311" s="23">
        <v>347</v>
      </c>
      <c r="W311" s="23">
        <f t="shared" si="77"/>
        <v>11381.599999999999</v>
      </c>
      <c r="X311" s="23">
        <v>635</v>
      </c>
      <c r="Y311" s="23">
        <f t="shared" si="78"/>
        <v>22320.25</v>
      </c>
      <c r="Z311" s="23"/>
      <c r="AA311" s="23">
        <f t="shared" si="79"/>
        <v>0</v>
      </c>
      <c r="AB311" s="23">
        <v>421</v>
      </c>
      <c r="AC311" s="23">
        <f t="shared" si="80"/>
        <v>15177.05</v>
      </c>
      <c r="AD311" s="23">
        <v>529</v>
      </c>
      <c r="AE311" s="23">
        <f t="shared" si="81"/>
        <v>18536.16</v>
      </c>
      <c r="AF311" s="26">
        <v>749</v>
      </c>
      <c r="AG311" s="26">
        <f t="shared" si="82"/>
        <v>25600.82</v>
      </c>
      <c r="AH311" s="23">
        <v>387</v>
      </c>
      <c r="AI311" s="23">
        <f t="shared" si="83"/>
        <v>12887.099999999999</v>
      </c>
      <c r="AJ311" s="23">
        <v>726</v>
      </c>
      <c r="AK311" s="23">
        <f t="shared" si="84"/>
        <v>26099.7</v>
      </c>
      <c r="AL311" s="23">
        <v>631</v>
      </c>
      <c r="AM311" s="26">
        <f t="shared" si="85"/>
        <v>23138.77</v>
      </c>
      <c r="AN311" s="12">
        <f t="shared" si="86"/>
        <v>7676</v>
      </c>
      <c r="AO311" s="22">
        <f t="shared" si="87"/>
        <v>269416.86000000004</v>
      </c>
    </row>
    <row r="312" spans="1:41" x14ac:dyDescent="0.5">
      <c r="A312" s="19">
        <v>308</v>
      </c>
      <c r="B312" s="20" t="s">
        <v>580</v>
      </c>
      <c r="C312" s="21" t="s">
        <v>581</v>
      </c>
      <c r="D312" s="16">
        <v>811</v>
      </c>
      <c r="E312" s="16">
        <v>8</v>
      </c>
      <c r="F312" s="22"/>
      <c r="G312" s="22">
        <f t="shared" si="88"/>
        <v>0</v>
      </c>
      <c r="H312" s="22"/>
      <c r="I312" s="23">
        <f t="shared" si="89"/>
        <v>0</v>
      </c>
      <c r="J312" s="22"/>
      <c r="K312" s="22">
        <f t="shared" si="90"/>
        <v>0</v>
      </c>
      <c r="L312" s="29"/>
      <c r="M312" s="24">
        <f t="shared" si="91"/>
        <v>0</v>
      </c>
      <c r="N312" s="30">
        <v>815</v>
      </c>
      <c r="O312" s="23">
        <f t="shared" si="92"/>
        <v>31173.75</v>
      </c>
      <c r="P312" s="22">
        <v>589</v>
      </c>
      <c r="Q312" s="22">
        <f t="shared" si="93"/>
        <v>24738</v>
      </c>
      <c r="R312" s="25">
        <v>628</v>
      </c>
      <c r="S312" s="25">
        <f t="shared" si="94"/>
        <v>24303.600000000002</v>
      </c>
      <c r="T312" s="25">
        <v>757</v>
      </c>
      <c r="U312" s="25">
        <f t="shared" si="76"/>
        <v>25510.9</v>
      </c>
      <c r="V312" s="23">
        <v>818</v>
      </c>
      <c r="W312" s="23">
        <f t="shared" si="77"/>
        <v>26830.399999999998</v>
      </c>
      <c r="X312" s="23">
        <v>743</v>
      </c>
      <c r="Y312" s="23">
        <f t="shared" si="78"/>
        <v>26116.45</v>
      </c>
      <c r="Z312" s="23">
        <v>769</v>
      </c>
      <c r="AA312" s="23">
        <f t="shared" si="79"/>
        <v>26653.539999999997</v>
      </c>
      <c r="AB312" s="23">
        <v>610</v>
      </c>
      <c r="AC312" s="23">
        <f t="shared" si="80"/>
        <v>21990.5</v>
      </c>
      <c r="AD312" s="23">
        <v>745</v>
      </c>
      <c r="AE312" s="23">
        <f t="shared" si="81"/>
        <v>26104.799999999999</v>
      </c>
      <c r="AF312" s="26">
        <v>939</v>
      </c>
      <c r="AG312" s="26">
        <f t="shared" si="82"/>
        <v>32095.02</v>
      </c>
      <c r="AH312" s="23">
        <v>895</v>
      </c>
      <c r="AI312" s="23">
        <f t="shared" si="83"/>
        <v>29803.499999999996</v>
      </c>
      <c r="AJ312" s="23">
        <v>823</v>
      </c>
      <c r="AK312" s="23">
        <f t="shared" si="84"/>
        <v>29586.850000000002</v>
      </c>
      <c r="AL312" s="26">
        <v>853</v>
      </c>
      <c r="AM312" s="26">
        <f t="shared" si="85"/>
        <v>31279.510000000002</v>
      </c>
      <c r="AN312" s="12">
        <f t="shared" si="86"/>
        <v>9984</v>
      </c>
      <c r="AO312" s="22">
        <f t="shared" si="87"/>
        <v>356186.82</v>
      </c>
    </row>
    <row r="313" spans="1:41" x14ac:dyDescent="0.5">
      <c r="A313" s="19">
        <v>309</v>
      </c>
      <c r="B313" s="27" t="s">
        <v>582</v>
      </c>
      <c r="C313" s="28" t="s">
        <v>520</v>
      </c>
      <c r="D313" s="16">
        <v>812</v>
      </c>
      <c r="E313" s="16">
        <v>8</v>
      </c>
      <c r="F313" s="22">
        <v>1081</v>
      </c>
      <c r="G313" s="22">
        <f t="shared" si="88"/>
        <v>33640.720000000001</v>
      </c>
      <c r="H313" s="22"/>
      <c r="I313" s="23">
        <f t="shared" si="89"/>
        <v>0</v>
      </c>
      <c r="J313" s="22">
        <v>594</v>
      </c>
      <c r="K313" s="22">
        <f t="shared" si="90"/>
        <v>19607.939999999999</v>
      </c>
      <c r="L313" s="22">
        <v>658</v>
      </c>
      <c r="M313" s="24">
        <f t="shared" si="91"/>
        <v>23108.959999999999</v>
      </c>
      <c r="N313" s="23">
        <v>1095</v>
      </c>
      <c r="O313" s="23">
        <f t="shared" si="92"/>
        <v>41883.75</v>
      </c>
      <c r="P313" s="22">
        <v>1524</v>
      </c>
      <c r="Q313" s="22">
        <f t="shared" si="93"/>
        <v>64008</v>
      </c>
      <c r="R313" s="25">
        <v>1257</v>
      </c>
      <c r="S313" s="25">
        <f t="shared" si="94"/>
        <v>48645.9</v>
      </c>
      <c r="T313" s="25">
        <v>1445</v>
      </c>
      <c r="U313" s="25">
        <f t="shared" si="76"/>
        <v>48696.500000000007</v>
      </c>
      <c r="V313" s="23">
        <v>1595</v>
      </c>
      <c r="W313" s="23">
        <f t="shared" si="77"/>
        <v>52315.999999999993</v>
      </c>
      <c r="X313" s="23">
        <v>1549</v>
      </c>
      <c r="Y313" s="23">
        <f t="shared" si="78"/>
        <v>54447.35</v>
      </c>
      <c r="Z313" s="23">
        <v>1499</v>
      </c>
      <c r="AA313" s="23">
        <f t="shared" si="79"/>
        <v>51955.34</v>
      </c>
      <c r="AB313" s="23"/>
      <c r="AC313" s="23">
        <f t="shared" si="80"/>
        <v>0</v>
      </c>
      <c r="AD313" s="23">
        <v>800</v>
      </c>
      <c r="AE313" s="23">
        <f t="shared" si="81"/>
        <v>28032</v>
      </c>
      <c r="AF313" s="26">
        <v>1423</v>
      </c>
      <c r="AG313" s="26">
        <f t="shared" si="82"/>
        <v>48638.14</v>
      </c>
      <c r="AH313" s="23">
        <v>1454</v>
      </c>
      <c r="AI313" s="23">
        <f t="shared" si="83"/>
        <v>48418.2</v>
      </c>
      <c r="AJ313" s="23">
        <v>1788</v>
      </c>
      <c r="AK313" s="23">
        <f t="shared" si="84"/>
        <v>64278.600000000006</v>
      </c>
      <c r="AL313" s="23">
        <v>1633</v>
      </c>
      <c r="AM313" s="26">
        <f t="shared" si="85"/>
        <v>59882.11</v>
      </c>
      <c r="AN313" s="12">
        <f t="shared" si="86"/>
        <v>19395</v>
      </c>
      <c r="AO313" s="22">
        <f t="shared" si="87"/>
        <v>687559.50999999989</v>
      </c>
    </row>
    <row r="314" spans="1:41" s="31" customFormat="1" x14ac:dyDescent="0.5">
      <c r="A314" s="19">
        <v>310</v>
      </c>
      <c r="B314" s="20" t="s">
        <v>583</v>
      </c>
      <c r="C314" s="21" t="s">
        <v>584</v>
      </c>
      <c r="D314" s="16">
        <v>816</v>
      </c>
      <c r="E314" s="16">
        <v>8</v>
      </c>
      <c r="F314" s="22">
        <v>1044</v>
      </c>
      <c r="G314" s="22">
        <f t="shared" si="88"/>
        <v>32489.280000000002</v>
      </c>
      <c r="H314" s="22">
        <v>695</v>
      </c>
      <c r="I314" s="23">
        <f t="shared" si="89"/>
        <v>22524.949999999997</v>
      </c>
      <c r="J314" s="22"/>
      <c r="K314" s="22">
        <f t="shared" si="90"/>
        <v>0</v>
      </c>
      <c r="L314" s="22"/>
      <c r="M314" s="24">
        <f t="shared" si="91"/>
        <v>0</v>
      </c>
      <c r="N314" s="23"/>
      <c r="O314" s="23">
        <f t="shared" si="92"/>
        <v>0</v>
      </c>
      <c r="P314" s="22">
        <v>843</v>
      </c>
      <c r="Q314" s="22">
        <f t="shared" si="93"/>
        <v>35406</v>
      </c>
      <c r="R314" s="25">
        <v>960</v>
      </c>
      <c r="S314" s="25">
        <f t="shared" si="94"/>
        <v>37152</v>
      </c>
      <c r="T314" s="25">
        <v>1159</v>
      </c>
      <c r="U314" s="25">
        <f t="shared" si="76"/>
        <v>39058.300000000003</v>
      </c>
      <c r="V314" s="23">
        <v>1229</v>
      </c>
      <c r="W314" s="23">
        <f t="shared" si="77"/>
        <v>40311.199999999997</v>
      </c>
      <c r="X314" s="23">
        <v>1194</v>
      </c>
      <c r="Y314" s="23">
        <f t="shared" si="78"/>
        <v>41969.1</v>
      </c>
      <c r="Z314" s="23">
        <v>974</v>
      </c>
      <c r="AA314" s="23">
        <f t="shared" si="79"/>
        <v>33758.839999999997</v>
      </c>
      <c r="AB314" s="23">
        <v>1101</v>
      </c>
      <c r="AC314" s="23">
        <f t="shared" si="80"/>
        <v>39691.049999999996</v>
      </c>
      <c r="AD314" s="23">
        <v>1253</v>
      </c>
      <c r="AE314" s="23">
        <f t="shared" si="81"/>
        <v>43905.119999999995</v>
      </c>
      <c r="AF314" s="26">
        <v>1190</v>
      </c>
      <c r="AG314" s="26">
        <f t="shared" si="82"/>
        <v>40674.199999999997</v>
      </c>
      <c r="AH314" s="23">
        <v>1199</v>
      </c>
      <c r="AI314" s="23">
        <f t="shared" si="83"/>
        <v>39926.699999999997</v>
      </c>
      <c r="AJ314" s="23">
        <v>1302</v>
      </c>
      <c r="AK314" s="23">
        <f t="shared" si="84"/>
        <v>46806.9</v>
      </c>
      <c r="AL314" s="26">
        <v>1227</v>
      </c>
      <c r="AM314" s="26">
        <f t="shared" si="85"/>
        <v>44994.090000000004</v>
      </c>
      <c r="AN314" s="12">
        <f t="shared" si="86"/>
        <v>15370</v>
      </c>
      <c r="AO314" s="22">
        <f t="shared" si="87"/>
        <v>538667.73</v>
      </c>
    </row>
    <row r="315" spans="1:41" x14ac:dyDescent="0.5">
      <c r="A315" s="19">
        <v>311</v>
      </c>
      <c r="B315" s="20" t="s">
        <v>585</v>
      </c>
      <c r="C315" s="21" t="s">
        <v>586</v>
      </c>
      <c r="D315" s="16">
        <v>820</v>
      </c>
      <c r="E315" s="16">
        <v>8</v>
      </c>
      <c r="F315" s="22">
        <v>398</v>
      </c>
      <c r="G315" s="22">
        <f t="shared" si="88"/>
        <v>12385.76</v>
      </c>
      <c r="H315" s="22">
        <v>207</v>
      </c>
      <c r="I315" s="23">
        <f t="shared" si="89"/>
        <v>6708.869999999999</v>
      </c>
      <c r="J315" s="22">
        <v>125</v>
      </c>
      <c r="K315" s="22">
        <f t="shared" si="90"/>
        <v>4126.25</v>
      </c>
      <c r="L315" s="22"/>
      <c r="M315" s="24">
        <f t="shared" si="91"/>
        <v>0</v>
      </c>
      <c r="N315" s="23"/>
      <c r="O315" s="23">
        <f t="shared" si="92"/>
        <v>0</v>
      </c>
      <c r="P315" s="22"/>
      <c r="Q315" s="22">
        <f t="shared" si="93"/>
        <v>0</v>
      </c>
      <c r="R315" s="25"/>
      <c r="S315" s="25">
        <f t="shared" si="94"/>
        <v>0</v>
      </c>
      <c r="T315" s="25">
        <v>350</v>
      </c>
      <c r="U315" s="25">
        <f t="shared" si="76"/>
        <v>11795.000000000002</v>
      </c>
      <c r="V315" s="23">
        <v>305</v>
      </c>
      <c r="W315" s="23">
        <f t="shared" si="77"/>
        <v>10004</v>
      </c>
      <c r="X315" s="23"/>
      <c r="Y315" s="23">
        <f t="shared" si="78"/>
        <v>0</v>
      </c>
      <c r="Z315" s="23"/>
      <c r="AA315" s="23">
        <f t="shared" si="79"/>
        <v>0</v>
      </c>
      <c r="AB315" s="23"/>
      <c r="AC315" s="23">
        <f t="shared" si="80"/>
        <v>0</v>
      </c>
      <c r="AD315" s="23"/>
      <c r="AE315" s="23">
        <f t="shared" si="81"/>
        <v>0</v>
      </c>
      <c r="AF315" s="26"/>
      <c r="AG315" s="26">
        <f t="shared" si="82"/>
        <v>0</v>
      </c>
      <c r="AH315" s="23"/>
      <c r="AI315" s="23">
        <f t="shared" si="83"/>
        <v>0</v>
      </c>
      <c r="AJ315" s="23"/>
      <c r="AK315" s="23">
        <f t="shared" si="84"/>
        <v>0</v>
      </c>
      <c r="AL315" s="26">
        <v>320</v>
      </c>
      <c r="AM315" s="26">
        <f t="shared" si="85"/>
        <v>11734.400000000001</v>
      </c>
      <c r="AN315" s="12">
        <f t="shared" si="86"/>
        <v>1705</v>
      </c>
      <c r="AO315" s="22">
        <f t="shared" si="87"/>
        <v>56754.28</v>
      </c>
    </row>
    <row r="316" spans="1:41" x14ac:dyDescent="0.5">
      <c r="A316" s="19">
        <v>312</v>
      </c>
      <c r="B316" s="20" t="s">
        <v>587</v>
      </c>
      <c r="C316" s="21" t="s">
        <v>588</v>
      </c>
      <c r="D316" s="16">
        <v>833</v>
      </c>
      <c r="E316" s="16">
        <v>8</v>
      </c>
      <c r="F316" s="22">
        <v>879</v>
      </c>
      <c r="G316" s="22">
        <f t="shared" si="88"/>
        <v>27354.48</v>
      </c>
      <c r="H316" s="22">
        <v>498</v>
      </c>
      <c r="I316" s="23">
        <f t="shared" si="89"/>
        <v>16140.179999999998</v>
      </c>
      <c r="J316" s="22">
        <v>471</v>
      </c>
      <c r="K316" s="22">
        <f t="shared" si="90"/>
        <v>15547.71</v>
      </c>
      <c r="L316" s="22">
        <v>734</v>
      </c>
      <c r="M316" s="24">
        <f t="shared" si="91"/>
        <v>25778.079999999998</v>
      </c>
      <c r="N316" s="23">
        <v>499</v>
      </c>
      <c r="O316" s="23">
        <f t="shared" si="92"/>
        <v>19086.75</v>
      </c>
      <c r="P316" s="22">
        <v>775</v>
      </c>
      <c r="Q316" s="22">
        <f t="shared" si="93"/>
        <v>32550</v>
      </c>
      <c r="R316" s="25">
        <v>535</v>
      </c>
      <c r="S316" s="25">
        <f t="shared" si="94"/>
        <v>20704.5</v>
      </c>
      <c r="T316" s="25">
        <v>981</v>
      </c>
      <c r="U316" s="25">
        <f t="shared" si="76"/>
        <v>33059.700000000004</v>
      </c>
      <c r="V316" s="23">
        <v>1382</v>
      </c>
      <c r="W316" s="23">
        <f t="shared" si="77"/>
        <v>45329.599999999999</v>
      </c>
      <c r="X316" s="23">
        <v>1106</v>
      </c>
      <c r="Y316" s="23">
        <f t="shared" si="78"/>
        <v>38875.9</v>
      </c>
      <c r="Z316" s="23">
        <v>838</v>
      </c>
      <c r="AA316" s="23">
        <f t="shared" si="79"/>
        <v>29045.079999999998</v>
      </c>
      <c r="AB316" s="23">
        <v>787</v>
      </c>
      <c r="AC316" s="23">
        <f t="shared" si="80"/>
        <v>28371.35</v>
      </c>
      <c r="AD316" s="23">
        <v>848</v>
      </c>
      <c r="AE316" s="23">
        <f t="shared" si="81"/>
        <v>29713.919999999998</v>
      </c>
      <c r="AF316" s="26">
        <v>1025</v>
      </c>
      <c r="AG316" s="26">
        <f t="shared" si="82"/>
        <v>35034.5</v>
      </c>
      <c r="AH316" s="23">
        <v>917</v>
      </c>
      <c r="AI316" s="23">
        <f t="shared" si="83"/>
        <v>30536.1</v>
      </c>
      <c r="AJ316" s="23">
        <v>1002</v>
      </c>
      <c r="AK316" s="23">
        <f t="shared" si="84"/>
        <v>36021.9</v>
      </c>
      <c r="AL316" s="26">
        <v>958</v>
      </c>
      <c r="AM316" s="26">
        <f t="shared" si="85"/>
        <v>35129.86</v>
      </c>
      <c r="AN316" s="12">
        <f t="shared" si="86"/>
        <v>14235</v>
      </c>
      <c r="AO316" s="22">
        <f t="shared" si="87"/>
        <v>498279.61</v>
      </c>
    </row>
    <row r="317" spans="1:41" x14ac:dyDescent="0.5">
      <c r="A317" s="19">
        <v>313</v>
      </c>
      <c r="B317" s="20" t="s">
        <v>589</v>
      </c>
      <c r="C317" s="21" t="s">
        <v>590</v>
      </c>
      <c r="D317" s="16">
        <v>849</v>
      </c>
      <c r="E317" s="16">
        <v>8</v>
      </c>
      <c r="F317" s="22">
        <v>608</v>
      </c>
      <c r="G317" s="22">
        <f t="shared" si="88"/>
        <v>18920.96</v>
      </c>
      <c r="H317" s="22">
        <v>532</v>
      </c>
      <c r="I317" s="23">
        <f t="shared" si="89"/>
        <v>17242.12</v>
      </c>
      <c r="J317" s="22">
        <v>651</v>
      </c>
      <c r="K317" s="22">
        <f t="shared" si="90"/>
        <v>21489.51</v>
      </c>
      <c r="L317" s="22"/>
      <c r="M317" s="24">
        <f t="shared" si="91"/>
        <v>0</v>
      </c>
      <c r="N317" s="23">
        <v>617</v>
      </c>
      <c r="O317" s="23">
        <f t="shared" si="92"/>
        <v>23600.25</v>
      </c>
      <c r="P317" s="22">
        <v>902</v>
      </c>
      <c r="Q317" s="22">
        <f t="shared" si="93"/>
        <v>37884</v>
      </c>
      <c r="R317" s="25">
        <v>574</v>
      </c>
      <c r="S317" s="25">
        <f t="shared" si="94"/>
        <v>22213.800000000003</v>
      </c>
      <c r="T317" s="25">
        <v>901</v>
      </c>
      <c r="U317" s="25">
        <f t="shared" si="76"/>
        <v>30363.700000000004</v>
      </c>
      <c r="V317" s="23">
        <v>697</v>
      </c>
      <c r="W317" s="23">
        <f t="shared" si="77"/>
        <v>22861.599999999999</v>
      </c>
      <c r="X317" s="23">
        <v>740</v>
      </c>
      <c r="Y317" s="23">
        <f t="shared" si="78"/>
        <v>26011</v>
      </c>
      <c r="Z317" s="23">
        <v>559</v>
      </c>
      <c r="AA317" s="23">
        <f t="shared" si="79"/>
        <v>19374.939999999999</v>
      </c>
      <c r="AB317" s="23">
        <v>664</v>
      </c>
      <c r="AC317" s="23">
        <f t="shared" si="80"/>
        <v>23937.199999999997</v>
      </c>
      <c r="AD317" s="23"/>
      <c r="AE317" s="23">
        <f t="shared" si="81"/>
        <v>0</v>
      </c>
      <c r="AF317" s="26"/>
      <c r="AG317" s="26">
        <f t="shared" si="82"/>
        <v>0</v>
      </c>
      <c r="AH317" s="23"/>
      <c r="AI317" s="23">
        <f t="shared" si="83"/>
        <v>0</v>
      </c>
      <c r="AJ317" s="23"/>
      <c r="AK317" s="23">
        <f t="shared" si="84"/>
        <v>0</v>
      </c>
      <c r="AL317" s="26">
        <v>1024</v>
      </c>
      <c r="AM317" s="26">
        <f t="shared" si="85"/>
        <v>37550.080000000002</v>
      </c>
      <c r="AN317" s="12">
        <f t="shared" si="86"/>
        <v>8469</v>
      </c>
      <c r="AO317" s="22">
        <f t="shared" si="87"/>
        <v>301449.16000000003</v>
      </c>
    </row>
    <row r="318" spans="1:41" x14ac:dyDescent="0.5">
      <c r="A318" s="19">
        <v>314</v>
      </c>
      <c r="B318" s="20" t="s">
        <v>591</v>
      </c>
      <c r="C318" s="21" t="s">
        <v>590</v>
      </c>
      <c r="D318" s="16">
        <v>850</v>
      </c>
      <c r="E318" s="16">
        <v>8</v>
      </c>
      <c r="F318" s="22"/>
      <c r="G318" s="22">
        <f t="shared" si="88"/>
        <v>0</v>
      </c>
      <c r="H318" s="22"/>
      <c r="I318" s="23">
        <f t="shared" si="89"/>
        <v>0</v>
      </c>
      <c r="J318" s="22"/>
      <c r="K318" s="22">
        <f t="shared" si="90"/>
        <v>0</v>
      </c>
      <c r="L318" s="22"/>
      <c r="M318" s="24">
        <f t="shared" si="91"/>
        <v>0</v>
      </c>
      <c r="N318" s="23"/>
      <c r="O318" s="23">
        <f t="shared" si="92"/>
        <v>0</v>
      </c>
      <c r="P318" s="22">
        <v>536</v>
      </c>
      <c r="Q318" s="22">
        <f t="shared" si="93"/>
        <v>22512</v>
      </c>
      <c r="R318" s="25">
        <v>738</v>
      </c>
      <c r="S318" s="25">
        <f t="shared" si="94"/>
        <v>28560.600000000002</v>
      </c>
      <c r="T318" s="25">
        <v>584</v>
      </c>
      <c r="U318" s="25">
        <f t="shared" si="76"/>
        <v>19680.800000000003</v>
      </c>
      <c r="V318" s="23">
        <v>802</v>
      </c>
      <c r="W318" s="23">
        <f t="shared" si="77"/>
        <v>26305.599999999999</v>
      </c>
      <c r="X318" s="23">
        <v>680</v>
      </c>
      <c r="Y318" s="23">
        <f t="shared" si="78"/>
        <v>23902</v>
      </c>
      <c r="Z318" s="23">
        <v>788</v>
      </c>
      <c r="AA318" s="23">
        <f t="shared" si="79"/>
        <v>27312.079999999998</v>
      </c>
      <c r="AB318" s="23"/>
      <c r="AC318" s="23">
        <f t="shared" si="80"/>
        <v>0</v>
      </c>
      <c r="AD318" s="23">
        <v>849</v>
      </c>
      <c r="AE318" s="23">
        <f t="shared" si="81"/>
        <v>29748.959999999999</v>
      </c>
      <c r="AF318" s="26">
        <v>733</v>
      </c>
      <c r="AG318" s="26">
        <f t="shared" si="82"/>
        <v>25053.94</v>
      </c>
      <c r="AH318" s="23">
        <v>681</v>
      </c>
      <c r="AI318" s="23">
        <f t="shared" si="83"/>
        <v>22677.3</v>
      </c>
      <c r="AJ318" s="23">
        <v>1080</v>
      </c>
      <c r="AK318" s="23">
        <f t="shared" si="84"/>
        <v>38826</v>
      </c>
      <c r="AL318" s="26">
        <v>867</v>
      </c>
      <c r="AM318" s="26">
        <f t="shared" si="85"/>
        <v>31792.890000000003</v>
      </c>
      <c r="AN318" s="12">
        <f t="shared" si="86"/>
        <v>8338</v>
      </c>
      <c r="AO318" s="22">
        <f t="shared" si="87"/>
        <v>296372.17</v>
      </c>
    </row>
    <row r="319" spans="1:41" x14ac:dyDescent="0.5">
      <c r="A319" s="19">
        <v>315</v>
      </c>
      <c r="B319" s="20" t="s">
        <v>592</v>
      </c>
      <c r="C319" s="21" t="s">
        <v>590</v>
      </c>
      <c r="D319" s="16">
        <v>857</v>
      </c>
      <c r="E319" s="16">
        <v>8</v>
      </c>
      <c r="F319" s="22"/>
      <c r="G319" s="22">
        <f t="shared" si="88"/>
        <v>0</v>
      </c>
      <c r="H319" s="22"/>
      <c r="I319" s="23">
        <f t="shared" si="89"/>
        <v>0</v>
      </c>
      <c r="J319" s="22"/>
      <c r="K319" s="22">
        <f t="shared" si="90"/>
        <v>0</v>
      </c>
      <c r="L319" s="22"/>
      <c r="M319" s="24">
        <f t="shared" si="91"/>
        <v>0</v>
      </c>
      <c r="N319" s="23"/>
      <c r="O319" s="23">
        <f t="shared" si="92"/>
        <v>0</v>
      </c>
      <c r="P319" s="22"/>
      <c r="Q319" s="22">
        <f t="shared" si="93"/>
        <v>0</v>
      </c>
      <c r="R319" s="25"/>
      <c r="S319" s="25">
        <f t="shared" si="94"/>
        <v>0</v>
      </c>
      <c r="T319" s="25"/>
      <c r="U319" s="25">
        <f t="shared" si="76"/>
        <v>0</v>
      </c>
      <c r="V319" s="23"/>
      <c r="W319" s="23">
        <f t="shared" si="77"/>
        <v>0</v>
      </c>
      <c r="X319" s="23"/>
      <c r="Y319" s="23">
        <f t="shared" si="78"/>
        <v>0</v>
      </c>
      <c r="Z319" s="23">
        <v>94</v>
      </c>
      <c r="AA319" s="23">
        <f t="shared" si="79"/>
        <v>3258.0399999999995</v>
      </c>
      <c r="AB319" s="23"/>
      <c r="AC319" s="23">
        <f t="shared" si="80"/>
        <v>0</v>
      </c>
      <c r="AD319" s="23">
        <v>794</v>
      </c>
      <c r="AE319" s="23">
        <f t="shared" si="81"/>
        <v>27821.759999999998</v>
      </c>
      <c r="AF319" s="26">
        <v>879</v>
      </c>
      <c r="AG319" s="26">
        <f t="shared" si="82"/>
        <v>30044.22</v>
      </c>
      <c r="AH319" s="23">
        <v>702</v>
      </c>
      <c r="AI319" s="23">
        <f t="shared" si="83"/>
        <v>23376.6</v>
      </c>
      <c r="AJ319" s="23">
        <v>872</v>
      </c>
      <c r="AK319" s="23">
        <f t="shared" si="84"/>
        <v>31348.400000000001</v>
      </c>
      <c r="AL319" s="26"/>
      <c r="AM319" s="26">
        <f t="shared" si="85"/>
        <v>0</v>
      </c>
      <c r="AN319" s="12">
        <f t="shared" si="86"/>
        <v>3341</v>
      </c>
      <c r="AO319" s="22">
        <f t="shared" si="87"/>
        <v>115849.01999999999</v>
      </c>
    </row>
    <row r="320" spans="1:41" x14ac:dyDescent="0.5">
      <c r="A320" s="19">
        <v>316</v>
      </c>
      <c r="B320" s="20" t="s">
        <v>471</v>
      </c>
      <c r="C320" s="21" t="s">
        <v>593</v>
      </c>
      <c r="D320" s="16">
        <v>861</v>
      </c>
      <c r="E320" s="16">
        <v>8</v>
      </c>
      <c r="F320" s="22">
        <v>156</v>
      </c>
      <c r="G320" s="22">
        <f t="shared" si="88"/>
        <v>4854.72</v>
      </c>
      <c r="H320" s="22"/>
      <c r="I320" s="23">
        <f t="shared" si="89"/>
        <v>0</v>
      </c>
      <c r="J320" s="22"/>
      <c r="K320" s="22">
        <f t="shared" si="90"/>
        <v>0</v>
      </c>
      <c r="L320" s="22"/>
      <c r="M320" s="24">
        <f t="shared" si="91"/>
        <v>0</v>
      </c>
      <c r="N320" s="23"/>
      <c r="O320" s="23">
        <f t="shared" si="92"/>
        <v>0</v>
      </c>
      <c r="P320" s="22"/>
      <c r="Q320" s="22">
        <f t="shared" si="93"/>
        <v>0</v>
      </c>
      <c r="R320" s="25"/>
      <c r="S320" s="25">
        <f t="shared" si="94"/>
        <v>0</v>
      </c>
      <c r="T320" s="25">
        <v>145</v>
      </c>
      <c r="U320" s="25">
        <f t="shared" si="76"/>
        <v>4886.5</v>
      </c>
      <c r="V320" s="23">
        <v>246</v>
      </c>
      <c r="W320" s="23">
        <f t="shared" si="77"/>
        <v>8068.7999999999993</v>
      </c>
      <c r="X320" s="23">
        <v>267</v>
      </c>
      <c r="Y320" s="23">
        <f t="shared" si="78"/>
        <v>9385.0499999999993</v>
      </c>
      <c r="Z320" s="23">
        <v>192</v>
      </c>
      <c r="AA320" s="23">
        <f t="shared" si="79"/>
        <v>6654.7199999999993</v>
      </c>
      <c r="AB320" s="23">
        <v>166</v>
      </c>
      <c r="AC320" s="23">
        <f t="shared" si="80"/>
        <v>5984.2999999999993</v>
      </c>
      <c r="AD320" s="23">
        <v>167</v>
      </c>
      <c r="AE320" s="23">
        <f t="shared" si="81"/>
        <v>5851.68</v>
      </c>
      <c r="AF320" s="26">
        <v>220</v>
      </c>
      <c r="AG320" s="26">
        <f t="shared" si="82"/>
        <v>7519.6</v>
      </c>
      <c r="AH320" s="23">
        <v>195</v>
      </c>
      <c r="AI320" s="23">
        <f t="shared" si="83"/>
        <v>6493.4999999999991</v>
      </c>
      <c r="AJ320" s="23">
        <v>240</v>
      </c>
      <c r="AK320" s="23">
        <f t="shared" si="84"/>
        <v>8628</v>
      </c>
      <c r="AL320" s="26">
        <v>241</v>
      </c>
      <c r="AM320" s="26">
        <f t="shared" si="85"/>
        <v>8837.4700000000012</v>
      </c>
      <c r="AN320" s="12">
        <f t="shared" si="86"/>
        <v>2235</v>
      </c>
      <c r="AO320" s="22">
        <f t="shared" si="87"/>
        <v>77164.34</v>
      </c>
    </row>
    <row r="321" spans="1:41" s="31" customFormat="1" x14ac:dyDescent="0.5">
      <c r="A321" s="19">
        <v>317</v>
      </c>
      <c r="B321" s="20" t="s">
        <v>594</v>
      </c>
      <c r="C321" s="21" t="s">
        <v>595</v>
      </c>
      <c r="D321" s="16">
        <v>862</v>
      </c>
      <c r="E321" s="16">
        <v>8</v>
      </c>
      <c r="F321" s="22">
        <v>533</v>
      </c>
      <c r="G321" s="22">
        <f t="shared" si="88"/>
        <v>16586.96</v>
      </c>
      <c r="H321" s="22">
        <v>304</v>
      </c>
      <c r="I321" s="23">
        <f t="shared" si="89"/>
        <v>9852.64</v>
      </c>
      <c r="J321" s="22">
        <v>269</v>
      </c>
      <c r="K321" s="22">
        <f t="shared" si="90"/>
        <v>8879.6899999999987</v>
      </c>
      <c r="L321" s="22">
        <v>277</v>
      </c>
      <c r="M321" s="24">
        <f t="shared" si="91"/>
        <v>9728.24</v>
      </c>
      <c r="N321" s="23">
        <v>643</v>
      </c>
      <c r="O321" s="23">
        <f t="shared" si="92"/>
        <v>24594.75</v>
      </c>
      <c r="P321" s="22">
        <v>583</v>
      </c>
      <c r="Q321" s="22">
        <f t="shared" si="93"/>
        <v>24486</v>
      </c>
      <c r="R321" s="25">
        <v>461</v>
      </c>
      <c r="S321" s="25">
        <f t="shared" si="94"/>
        <v>17840.7</v>
      </c>
      <c r="T321" s="25">
        <v>661</v>
      </c>
      <c r="U321" s="25">
        <f t="shared" si="76"/>
        <v>22275.7</v>
      </c>
      <c r="V321" s="23">
        <v>756</v>
      </c>
      <c r="W321" s="23">
        <f t="shared" si="77"/>
        <v>24796.799999999999</v>
      </c>
      <c r="X321" s="23">
        <v>807</v>
      </c>
      <c r="Y321" s="23">
        <f t="shared" si="78"/>
        <v>28366.05</v>
      </c>
      <c r="Z321" s="23">
        <v>462</v>
      </c>
      <c r="AA321" s="23">
        <f t="shared" si="79"/>
        <v>16012.919999999998</v>
      </c>
      <c r="AB321" s="23">
        <v>470</v>
      </c>
      <c r="AC321" s="23">
        <f t="shared" si="80"/>
        <v>16943.5</v>
      </c>
      <c r="AD321" s="23">
        <v>614</v>
      </c>
      <c r="AE321" s="23">
        <f t="shared" si="81"/>
        <v>21514.559999999998</v>
      </c>
      <c r="AF321" s="26">
        <v>773</v>
      </c>
      <c r="AG321" s="26">
        <f t="shared" si="82"/>
        <v>26421.14</v>
      </c>
      <c r="AH321" s="23">
        <v>608</v>
      </c>
      <c r="AI321" s="23">
        <f t="shared" si="83"/>
        <v>20246.399999999998</v>
      </c>
      <c r="AJ321" s="23">
        <v>852</v>
      </c>
      <c r="AK321" s="23">
        <f t="shared" si="84"/>
        <v>30629.4</v>
      </c>
      <c r="AL321" s="26">
        <v>808</v>
      </c>
      <c r="AM321" s="26">
        <f t="shared" si="85"/>
        <v>29629.360000000001</v>
      </c>
      <c r="AN321" s="12">
        <f t="shared" si="86"/>
        <v>9881</v>
      </c>
      <c r="AO321" s="22">
        <f t="shared" si="87"/>
        <v>348804.81</v>
      </c>
    </row>
    <row r="322" spans="1:41" x14ac:dyDescent="0.5">
      <c r="A322" s="19">
        <v>318</v>
      </c>
      <c r="B322" s="20" t="s">
        <v>596</v>
      </c>
      <c r="C322" s="21" t="s">
        <v>597</v>
      </c>
      <c r="D322" s="16">
        <v>864</v>
      </c>
      <c r="E322" s="16">
        <v>8</v>
      </c>
      <c r="F322" s="22"/>
      <c r="G322" s="22">
        <f t="shared" si="88"/>
        <v>0</v>
      </c>
      <c r="H322" s="22">
        <v>426</v>
      </c>
      <c r="I322" s="23">
        <f t="shared" si="89"/>
        <v>13806.659999999998</v>
      </c>
      <c r="J322" s="22"/>
      <c r="K322" s="22">
        <f t="shared" si="90"/>
        <v>0</v>
      </c>
      <c r="L322" s="22"/>
      <c r="M322" s="24">
        <f t="shared" si="91"/>
        <v>0</v>
      </c>
      <c r="N322" s="23"/>
      <c r="O322" s="23">
        <f t="shared" si="92"/>
        <v>0</v>
      </c>
      <c r="P322" s="22"/>
      <c r="Q322" s="22">
        <f t="shared" si="93"/>
        <v>0</v>
      </c>
      <c r="R322" s="25"/>
      <c r="S322" s="25">
        <f t="shared" si="94"/>
        <v>0</v>
      </c>
      <c r="T322" s="25"/>
      <c r="U322" s="25">
        <f t="shared" si="76"/>
        <v>0</v>
      </c>
      <c r="V322" s="23"/>
      <c r="W322" s="23">
        <f t="shared" si="77"/>
        <v>0</v>
      </c>
      <c r="X322" s="23"/>
      <c r="Y322" s="23">
        <f t="shared" si="78"/>
        <v>0</v>
      </c>
      <c r="Z322" s="23"/>
      <c r="AA322" s="23">
        <f t="shared" si="79"/>
        <v>0</v>
      </c>
      <c r="AB322" s="23"/>
      <c r="AC322" s="23">
        <f t="shared" si="80"/>
        <v>0</v>
      </c>
      <c r="AD322" s="23"/>
      <c r="AE322" s="23">
        <f t="shared" si="81"/>
        <v>0</v>
      </c>
      <c r="AF322" s="26"/>
      <c r="AG322" s="26">
        <f t="shared" si="82"/>
        <v>0</v>
      </c>
      <c r="AH322" s="23">
        <v>360</v>
      </c>
      <c r="AI322" s="23">
        <f t="shared" si="83"/>
        <v>11987.999999999998</v>
      </c>
      <c r="AJ322" s="23">
        <v>414</v>
      </c>
      <c r="AK322" s="23">
        <f t="shared" si="84"/>
        <v>14883.300000000001</v>
      </c>
      <c r="AL322" s="26">
        <v>562</v>
      </c>
      <c r="AM322" s="26">
        <f t="shared" si="85"/>
        <v>20608.54</v>
      </c>
      <c r="AN322" s="12">
        <f t="shared" si="86"/>
        <v>1762</v>
      </c>
      <c r="AO322" s="22">
        <f t="shared" si="87"/>
        <v>61286.5</v>
      </c>
    </row>
    <row r="323" spans="1:41" x14ac:dyDescent="0.5">
      <c r="A323" s="19">
        <v>319</v>
      </c>
      <c r="B323" s="27" t="s">
        <v>598</v>
      </c>
      <c r="C323" s="28" t="s">
        <v>599</v>
      </c>
      <c r="D323" s="16">
        <v>889</v>
      </c>
      <c r="E323" s="16">
        <v>8</v>
      </c>
      <c r="F323" s="22"/>
      <c r="G323" s="22">
        <f t="shared" si="88"/>
        <v>0</v>
      </c>
      <c r="H323" s="22"/>
      <c r="I323" s="23">
        <f t="shared" si="89"/>
        <v>0</v>
      </c>
      <c r="J323" s="22"/>
      <c r="K323" s="22">
        <f t="shared" si="90"/>
        <v>0</v>
      </c>
      <c r="L323" s="22"/>
      <c r="M323" s="24">
        <f t="shared" si="91"/>
        <v>0</v>
      </c>
      <c r="N323" s="23"/>
      <c r="O323" s="23">
        <f t="shared" si="92"/>
        <v>0</v>
      </c>
      <c r="P323" s="22"/>
      <c r="Q323" s="22">
        <f t="shared" si="93"/>
        <v>0</v>
      </c>
      <c r="R323" s="25"/>
      <c r="S323" s="25">
        <f t="shared" si="94"/>
        <v>0</v>
      </c>
      <c r="T323" s="25"/>
      <c r="U323" s="25">
        <f t="shared" si="76"/>
        <v>0</v>
      </c>
      <c r="V323" s="23"/>
      <c r="W323" s="23">
        <f t="shared" si="77"/>
        <v>0</v>
      </c>
      <c r="X323" s="23"/>
      <c r="Y323" s="23">
        <f t="shared" si="78"/>
        <v>0</v>
      </c>
      <c r="Z323" s="23"/>
      <c r="AA323" s="23">
        <f t="shared" si="79"/>
        <v>0</v>
      </c>
      <c r="AB323" s="23"/>
      <c r="AC323" s="23">
        <f t="shared" si="80"/>
        <v>0</v>
      </c>
      <c r="AD323" s="23"/>
      <c r="AE323" s="23">
        <f t="shared" si="81"/>
        <v>0</v>
      </c>
      <c r="AF323" s="26"/>
      <c r="AG323" s="26">
        <f t="shared" si="82"/>
        <v>0</v>
      </c>
      <c r="AH323" s="23"/>
      <c r="AI323" s="23">
        <f t="shared" si="83"/>
        <v>0</v>
      </c>
      <c r="AJ323" s="23"/>
      <c r="AK323" s="23">
        <f t="shared" si="84"/>
        <v>0</v>
      </c>
      <c r="AL323" s="23"/>
      <c r="AM323" s="26">
        <f t="shared" si="85"/>
        <v>0</v>
      </c>
      <c r="AN323" s="12">
        <f t="shared" si="86"/>
        <v>0</v>
      </c>
      <c r="AO323" s="22">
        <f t="shared" si="87"/>
        <v>0</v>
      </c>
    </row>
    <row r="324" spans="1:41" x14ac:dyDescent="0.5">
      <c r="A324" s="19">
        <v>320</v>
      </c>
      <c r="B324" s="20" t="s">
        <v>600</v>
      </c>
      <c r="C324" s="21" t="s">
        <v>601</v>
      </c>
      <c r="D324" s="16">
        <v>899</v>
      </c>
      <c r="E324" s="16">
        <v>8</v>
      </c>
      <c r="F324" s="22">
        <v>448</v>
      </c>
      <c r="G324" s="22">
        <f t="shared" si="88"/>
        <v>13941.76</v>
      </c>
      <c r="H324" s="22">
        <v>221</v>
      </c>
      <c r="I324" s="23">
        <f t="shared" si="89"/>
        <v>7162.61</v>
      </c>
      <c r="J324" s="22"/>
      <c r="K324" s="22">
        <f t="shared" si="90"/>
        <v>0</v>
      </c>
      <c r="L324" s="22">
        <v>208</v>
      </c>
      <c r="M324" s="24">
        <f t="shared" si="91"/>
        <v>7304.9599999999991</v>
      </c>
      <c r="N324" s="23"/>
      <c r="O324" s="23">
        <f t="shared" si="92"/>
        <v>0</v>
      </c>
      <c r="P324" s="22">
        <v>369</v>
      </c>
      <c r="Q324" s="22">
        <f t="shared" si="93"/>
        <v>15498</v>
      </c>
      <c r="R324" s="25">
        <v>379</v>
      </c>
      <c r="S324" s="25">
        <f t="shared" si="94"/>
        <v>14667.300000000001</v>
      </c>
      <c r="T324" s="25">
        <v>389</v>
      </c>
      <c r="U324" s="25">
        <f t="shared" si="76"/>
        <v>13109.300000000001</v>
      </c>
      <c r="V324" s="23">
        <v>492</v>
      </c>
      <c r="W324" s="23">
        <f t="shared" si="77"/>
        <v>16137.599999999999</v>
      </c>
      <c r="X324" s="23">
        <v>451</v>
      </c>
      <c r="Y324" s="23">
        <f t="shared" si="78"/>
        <v>15852.65</v>
      </c>
      <c r="Z324" s="23">
        <v>403</v>
      </c>
      <c r="AA324" s="23">
        <f t="shared" si="79"/>
        <v>13967.979999999998</v>
      </c>
      <c r="AB324" s="23">
        <v>262</v>
      </c>
      <c r="AC324" s="23">
        <f t="shared" si="80"/>
        <v>9445.0999999999985</v>
      </c>
      <c r="AD324" s="23">
        <v>327</v>
      </c>
      <c r="AE324" s="23">
        <f t="shared" si="81"/>
        <v>11458.08</v>
      </c>
      <c r="AF324" s="26">
        <v>465</v>
      </c>
      <c r="AG324" s="26">
        <f t="shared" si="82"/>
        <v>15893.7</v>
      </c>
      <c r="AH324" s="23">
        <v>415</v>
      </c>
      <c r="AI324" s="23">
        <f t="shared" si="83"/>
        <v>13819.499999999998</v>
      </c>
      <c r="AJ324" s="23">
        <v>524</v>
      </c>
      <c r="AK324" s="23">
        <f t="shared" si="84"/>
        <v>18837.800000000003</v>
      </c>
      <c r="AL324" s="26">
        <v>455</v>
      </c>
      <c r="AM324" s="26">
        <f t="shared" si="85"/>
        <v>16684.850000000002</v>
      </c>
      <c r="AN324" s="12">
        <f t="shared" si="86"/>
        <v>5808</v>
      </c>
      <c r="AO324" s="22">
        <f t="shared" si="87"/>
        <v>203781.18999999997</v>
      </c>
    </row>
    <row r="325" spans="1:41" s="31" customFormat="1" x14ac:dyDescent="0.5">
      <c r="A325" s="19">
        <v>321</v>
      </c>
      <c r="B325" s="20" t="s">
        <v>602</v>
      </c>
      <c r="C325" s="21" t="s">
        <v>543</v>
      </c>
      <c r="D325" s="16">
        <v>900</v>
      </c>
      <c r="E325" s="16">
        <v>8</v>
      </c>
      <c r="F325" s="22"/>
      <c r="G325" s="22">
        <f t="shared" si="88"/>
        <v>0</v>
      </c>
      <c r="H325" s="22"/>
      <c r="I325" s="23">
        <f t="shared" si="89"/>
        <v>0</v>
      </c>
      <c r="J325" s="22"/>
      <c r="K325" s="22">
        <f t="shared" si="90"/>
        <v>0</v>
      </c>
      <c r="L325" s="22"/>
      <c r="M325" s="24">
        <f t="shared" si="91"/>
        <v>0</v>
      </c>
      <c r="N325" s="23"/>
      <c r="O325" s="23">
        <f t="shared" si="92"/>
        <v>0</v>
      </c>
      <c r="P325" s="22"/>
      <c r="Q325" s="22">
        <f t="shared" si="93"/>
        <v>0</v>
      </c>
      <c r="R325" s="25"/>
      <c r="S325" s="25">
        <f t="shared" si="94"/>
        <v>0</v>
      </c>
      <c r="T325" s="25"/>
      <c r="U325" s="25">
        <f t="shared" si="76"/>
        <v>0</v>
      </c>
      <c r="V325" s="23"/>
      <c r="W325" s="23">
        <f t="shared" si="77"/>
        <v>0</v>
      </c>
      <c r="X325" s="23"/>
      <c r="Y325" s="23">
        <f t="shared" si="78"/>
        <v>0</v>
      </c>
      <c r="Z325" s="23"/>
      <c r="AA325" s="23">
        <f t="shared" si="79"/>
        <v>0</v>
      </c>
      <c r="AB325" s="23"/>
      <c r="AC325" s="23">
        <f t="shared" si="80"/>
        <v>0</v>
      </c>
      <c r="AD325" s="23"/>
      <c r="AE325" s="23">
        <f t="shared" si="81"/>
        <v>0</v>
      </c>
      <c r="AF325" s="26"/>
      <c r="AG325" s="26">
        <f t="shared" si="82"/>
        <v>0</v>
      </c>
      <c r="AH325" s="23"/>
      <c r="AI325" s="23">
        <f t="shared" si="83"/>
        <v>0</v>
      </c>
      <c r="AJ325" s="23"/>
      <c r="AK325" s="23">
        <f t="shared" si="84"/>
        <v>0</v>
      </c>
      <c r="AL325" s="26"/>
      <c r="AM325" s="26">
        <f t="shared" si="85"/>
        <v>0</v>
      </c>
      <c r="AN325" s="12">
        <f t="shared" si="86"/>
        <v>0</v>
      </c>
      <c r="AO325" s="22">
        <f t="shared" si="87"/>
        <v>0</v>
      </c>
    </row>
    <row r="326" spans="1:41" s="31" customFormat="1" x14ac:dyDescent="0.5">
      <c r="A326" s="19">
        <v>322</v>
      </c>
      <c r="B326" s="27" t="s">
        <v>603</v>
      </c>
      <c r="C326" s="28" t="s">
        <v>563</v>
      </c>
      <c r="D326" s="16">
        <v>901</v>
      </c>
      <c r="E326" s="16">
        <v>8</v>
      </c>
      <c r="F326" s="22">
        <v>691</v>
      </c>
      <c r="G326" s="22">
        <f t="shared" si="88"/>
        <v>21503.920000000002</v>
      </c>
      <c r="H326" s="22">
        <v>779</v>
      </c>
      <c r="I326" s="23">
        <f t="shared" si="89"/>
        <v>25247.389999999996</v>
      </c>
      <c r="J326" s="22">
        <v>670</v>
      </c>
      <c r="K326" s="22">
        <f t="shared" si="90"/>
        <v>22116.699999999997</v>
      </c>
      <c r="L326" s="22"/>
      <c r="M326" s="24">
        <f t="shared" si="91"/>
        <v>0</v>
      </c>
      <c r="N326" s="23"/>
      <c r="O326" s="23">
        <f t="shared" si="92"/>
        <v>0</v>
      </c>
      <c r="P326" s="22"/>
      <c r="Q326" s="22">
        <f t="shared" si="93"/>
        <v>0</v>
      </c>
      <c r="R326" s="25">
        <v>757</v>
      </c>
      <c r="S326" s="25">
        <f t="shared" si="94"/>
        <v>29295.9</v>
      </c>
      <c r="T326" s="25">
        <v>1061</v>
      </c>
      <c r="U326" s="25">
        <f t="shared" ref="U326:U389" si="95">T326*33.7</f>
        <v>35755.700000000004</v>
      </c>
      <c r="V326" s="23">
        <v>822</v>
      </c>
      <c r="W326" s="23">
        <f t="shared" ref="W326:W389" si="96">V326*32.8</f>
        <v>26961.599999999999</v>
      </c>
      <c r="X326" s="23"/>
      <c r="Y326" s="23">
        <f t="shared" ref="Y326:Y389" si="97">X326*35.15</f>
        <v>0</v>
      </c>
      <c r="Z326" s="23"/>
      <c r="AA326" s="23">
        <f t="shared" ref="AA326:AA389" si="98">Z326*34.66</f>
        <v>0</v>
      </c>
      <c r="AB326" s="23"/>
      <c r="AC326" s="23">
        <f t="shared" ref="AC326:AC389" si="99">AB326*36.05</f>
        <v>0</v>
      </c>
      <c r="AD326" s="23">
        <v>846</v>
      </c>
      <c r="AE326" s="23">
        <f t="shared" ref="AE326:AE389" si="100">AD326*35.04</f>
        <v>29643.84</v>
      </c>
      <c r="AF326" s="26">
        <v>1003</v>
      </c>
      <c r="AG326" s="26">
        <f t="shared" ref="AG326:AG390" si="101">AF326*34.18</f>
        <v>34282.54</v>
      </c>
      <c r="AH326" s="23">
        <v>1070</v>
      </c>
      <c r="AI326" s="23">
        <f t="shared" ref="AI326:AI390" si="102">AH326*33.3</f>
        <v>35631</v>
      </c>
      <c r="AJ326" s="23">
        <v>1494</v>
      </c>
      <c r="AK326" s="23">
        <f t="shared" ref="AK326:AK389" si="103">AJ326*35.95</f>
        <v>53709.3</v>
      </c>
      <c r="AL326" s="23">
        <v>1366</v>
      </c>
      <c r="AM326" s="26">
        <f t="shared" ref="AM326:AM389" si="104">AL326*36.67</f>
        <v>50091.22</v>
      </c>
      <c r="AN326" s="12">
        <f t="shared" ref="AN326:AN389" si="105">F326+H326+J326+L326+N326+P326+R326+T326+V326+X326+Z326+AB326+AD326+AF326+AH326+AJ326+AL326</f>
        <v>10559</v>
      </c>
      <c r="AO326" s="22">
        <f t="shared" ref="AO326:AO389" si="106">G326+I326+K326+M326+O326+Q326+S326+U326+W326+Y326+AA326+AC326+AE326+AG326+AI326+AK326+AM326</f>
        <v>364239.11</v>
      </c>
    </row>
    <row r="327" spans="1:41" s="31" customFormat="1" x14ac:dyDescent="0.5">
      <c r="A327" s="19">
        <v>323</v>
      </c>
      <c r="B327" s="20" t="s">
        <v>604</v>
      </c>
      <c r="C327" s="21" t="s">
        <v>605</v>
      </c>
      <c r="D327" s="16">
        <v>919</v>
      </c>
      <c r="E327" s="16">
        <v>8</v>
      </c>
      <c r="F327" s="22">
        <v>256</v>
      </c>
      <c r="G327" s="22">
        <f t="shared" si="88"/>
        <v>7966.72</v>
      </c>
      <c r="H327" s="22"/>
      <c r="I327" s="23">
        <f t="shared" si="89"/>
        <v>0</v>
      </c>
      <c r="J327" s="22"/>
      <c r="K327" s="22">
        <f t="shared" si="90"/>
        <v>0</v>
      </c>
      <c r="L327" s="22"/>
      <c r="M327" s="24">
        <f t="shared" si="91"/>
        <v>0</v>
      </c>
      <c r="N327" s="23"/>
      <c r="O327" s="23">
        <f t="shared" si="92"/>
        <v>0</v>
      </c>
      <c r="P327" s="22"/>
      <c r="Q327" s="22">
        <f t="shared" si="93"/>
        <v>0</v>
      </c>
      <c r="R327" s="25">
        <v>302</v>
      </c>
      <c r="S327" s="25">
        <f t="shared" si="94"/>
        <v>11687.400000000001</v>
      </c>
      <c r="T327" s="25">
        <v>257</v>
      </c>
      <c r="U327" s="25">
        <f t="shared" si="95"/>
        <v>8660.9000000000015</v>
      </c>
      <c r="V327" s="23">
        <v>245</v>
      </c>
      <c r="W327" s="23">
        <f t="shared" si="96"/>
        <v>8035.9999999999991</v>
      </c>
      <c r="X327" s="23">
        <v>194</v>
      </c>
      <c r="Y327" s="23">
        <f t="shared" si="97"/>
        <v>6819.0999999999995</v>
      </c>
      <c r="Z327" s="23"/>
      <c r="AA327" s="23">
        <f t="shared" si="98"/>
        <v>0</v>
      </c>
      <c r="AB327" s="23">
        <v>267</v>
      </c>
      <c r="AC327" s="23">
        <f t="shared" si="99"/>
        <v>9625.3499999999985</v>
      </c>
      <c r="AD327" s="23">
        <v>169</v>
      </c>
      <c r="AE327" s="23">
        <f t="shared" si="100"/>
        <v>5921.76</v>
      </c>
      <c r="AF327" s="26">
        <v>239</v>
      </c>
      <c r="AG327" s="26">
        <f t="shared" si="101"/>
        <v>8169.0199999999995</v>
      </c>
      <c r="AH327" s="23">
        <v>184</v>
      </c>
      <c r="AI327" s="23">
        <f t="shared" si="102"/>
        <v>6127.2</v>
      </c>
      <c r="AJ327" s="23">
        <v>212</v>
      </c>
      <c r="AK327" s="23">
        <f t="shared" si="103"/>
        <v>7621.4000000000005</v>
      </c>
      <c r="AL327" s="26">
        <v>275</v>
      </c>
      <c r="AM327" s="26">
        <f t="shared" si="104"/>
        <v>10084.25</v>
      </c>
      <c r="AN327" s="12">
        <f t="shared" si="105"/>
        <v>2600</v>
      </c>
      <c r="AO327" s="22">
        <f t="shared" si="106"/>
        <v>90719.099999999991</v>
      </c>
    </row>
    <row r="328" spans="1:41" x14ac:dyDescent="0.5">
      <c r="A328" s="19">
        <v>324</v>
      </c>
      <c r="B328" s="27" t="s">
        <v>606</v>
      </c>
      <c r="C328" s="28" t="s">
        <v>607</v>
      </c>
      <c r="D328" s="16">
        <v>922</v>
      </c>
      <c r="E328" s="16">
        <v>8</v>
      </c>
      <c r="F328" s="22"/>
      <c r="G328" s="22">
        <f t="shared" si="88"/>
        <v>0</v>
      </c>
      <c r="H328" s="22"/>
      <c r="I328" s="23">
        <f t="shared" si="89"/>
        <v>0</v>
      </c>
      <c r="J328" s="22"/>
      <c r="K328" s="22">
        <f t="shared" si="90"/>
        <v>0</v>
      </c>
      <c r="L328" s="22"/>
      <c r="M328" s="24">
        <f t="shared" si="91"/>
        <v>0</v>
      </c>
      <c r="N328" s="23"/>
      <c r="O328" s="23">
        <f t="shared" si="92"/>
        <v>0</v>
      </c>
      <c r="P328" s="22"/>
      <c r="Q328" s="22">
        <f t="shared" si="93"/>
        <v>0</v>
      </c>
      <c r="R328" s="25"/>
      <c r="S328" s="25">
        <f t="shared" si="94"/>
        <v>0</v>
      </c>
      <c r="T328" s="25"/>
      <c r="U328" s="25">
        <f t="shared" si="95"/>
        <v>0</v>
      </c>
      <c r="V328" s="23"/>
      <c r="W328" s="23">
        <f t="shared" si="96"/>
        <v>0</v>
      </c>
      <c r="X328" s="23"/>
      <c r="Y328" s="23">
        <f t="shared" si="97"/>
        <v>0</v>
      </c>
      <c r="Z328" s="23"/>
      <c r="AA328" s="23">
        <f t="shared" si="98"/>
        <v>0</v>
      </c>
      <c r="AB328" s="23"/>
      <c r="AC328" s="23">
        <f t="shared" si="99"/>
        <v>0</v>
      </c>
      <c r="AD328" s="23"/>
      <c r="AE328" s="23">
        <f t="shared" si="100"/>
        <v>0</v>
      </c>
      <c r="AF328" s="26"/>
      <c r="AG328" s="26">
        <f t="shared" si="101"/>
        <v>0</v>
      </c>
      <c r="AH328" s="23"/>
      <c r="AI328" s="23">
        <f t="shared" si="102"/>
        <v>0</v>
      </c>
      <c r="AJ328" s="23"/>
      <c r="AK328" s="23">
        <f t="shared" si="103"/>
        <v>0</v>
      </c>
      <c r="AL328" s="23"/>
      <c r="AM328" s="26">
        <f t="shared" si="104"/>
        <v>0</v>
      </c>
      <c r="AN328" s="12">
        <f t="shared" si="105"/>
        <v>0</v>
      </c>
      <c r="AO328" s="22">
        <f t="shared" si="106"/>
        <v>0</v>
      </c>
    </row>
    <row r="329" spans="1:41" x14ac:dyDescent="0.5">
      <c r="A329" s="19">
        <v>325</v>
      </c>
      <c r="B329" s="27" t="s">
        <v>608</v>
      </c>
      <c r="C329" s="28" t="s">
        <v>609</v>
      </c>
      <c r="D329" s="16">
        <v>930</v>
      </c>
      <c r="E329" s="16">
        <v>8</v>
      </c>
      <c r="F329" s="22"/>
      <c r="G329" s="22">
        <f t="shared" ref="G329:G395" si="107">F329*31.12</f>
        <v>0</v>
      </c>
      <c r="H329" s="22"/>
      <c r="I329" s="23">
        <f t="shared" ref="I329:I395" si="108">H329*32.41</f>
        <v>0</v>
      </c>
      <c r="J329" s="22"/>
      <c r="K329" s="22">
        <f t="shared" ref="K329:K395" si="109">J329*33.01</f>
        <v>0</v>
      </c>
      <c r="L329" s="22"/>
      <c r="M329" s="24">
        <f t="shared" si="91"/>
        <v>0</v>
      </c>
      <c r="N329" s="23"/>
      <c r="O329" s="23">
        <f t="shared" si="92"/>
        <v>0</v>
      </c>
      <c r="P329" s="22">
        <v>122</v>
      </c>
      <c r="Q329" s="22">
        <f t="shared" si="93"/>
        <v>5124</v>
      </c>
      <c r="R329" s="25">
        <v>56</v>
      </c>
      <c r="S329" s="25">
        <f t="shared" si="94"/>
        <v>2167.2000000000003</v>
      </c>
      <c r="T329" s="25"/>
      <c r="U329" s="25">
        <f t="shared" si="95"/>
        <v>0</v>
      </c>
      <c r="V329" s="23">
        <v>112</v>
      </c>
      <c r="W329" s="23">
        <f t="shared" si="96"/>
        <v>3673.5999999999995</v>
      </c>
      <c r="X329" s="23"/>
      <c r="Y329" s="23">
        <f t="shared" si="97"/>
        <v>0</v>
      </c>
      <c r="Z329" s="23"/>
      <c r="AA329" s="23">
        <f t="shared" si="98"/>
        <v>0</v>
      </c>
      <c r="AB329" s="23"/>
      <c r="AC329" s="23">
        <f t="shared" si="99"/>
        <v>0</v>
      </c>
      <c r="AD329" s="23"/>
      <c r="AE329" s="23">
        <f t="shared" si="100"/>
        <v>0</v>
      </c>
      <c r="AF329" s="26"/>
      <c r="AG329" s="26">
        <f t="shared" si="101"/>
        <v>0</v>
      </c>
      <c r="AH329" s="23"/>
      <c r="AI329" s="23">
        <f t="shared" si="102"/>
        <v>0</v>
      </c>
      <c r="AJ329" s="23"/>
      <c r="AK329" s="23">
        <f t="shared" si="103"/>
        <v>0</v>
      </c>
      <c r="AL329" s="23"/>
      <c r="AM329" s="26">
        <f t="shared" si="104"/>
        <v>0</v>
      </c>
      <c r="AN329" s="12">
        <f t="shared" si="105"/>
        <v>290</v>
      </c>
      <c r="AO329" s="22">
        <f t="shared" si="106"/>
        <v>10964.8</v>
      </c>
    </row>
    <row r="330" spans="1:41" x14ac:dyDescent="0.5">
      <c r="A330" s="19">
        <v>326</v>
      </c>
      <c r="B330" s="27" t="s">
        <v>610</v>
      </c>
      <c r="C330" s="28" t="s">
        <v>607</v>
      </c>
      <c r="D330" s="16">
        <v>942</v>
      </c>
      <c r="E330" s="16">
        <v>8</v>
      </c>
      <c r="F330" s="22"/>
      <c r="G330" s="22">
        <f t="shared" si="107"/>
        <v>0</v>
      </c>
      <c r="H330" s="22"/>
      <c r="I330" s="23">
        <f t="shared" si="108"/>
        <v>0</v>
      </c>
      <c r="J330" s="22"/>
      <c r="K330" s="22">
        <f t="shared" si="109"/>
        <v>0</v>
      </c>
      <c r="L330" s="22"/>
      <c r="M330" s="24">
        <f t="shared" ref="M330:M396" si="110">L330*35.12</f>
        <v>0</v>
      </c>
      <c r="N330" s="23">
        <v>869</v>
      </c>
      <c r="O330" s="23">
        <f t="shared" ref="O330:O396" si="111">N330*38.25</f>
        <v>33239.25</v>
      </c>
      <c r="P330" s="22">
        <v>1050</v>
      </c>
      <c r="Q330" s="22">
        <f t="shared" ref="Q330:Q395" si="112">P330*42</f>
        <v>44100</v>
      </c>
      <c r="R330" s="25">
        <v>838</v>
      </c>
      <c r="S330" s="25">
        <f t="shared" ref="S330:S395" si="113">R330*38.7</f>
        <v>32430.600000000002</v>
      </c>
      <c r="T330" s="25">
        <v>889</v>
      </c>
      <c r="U330" s="25">
        <f t="shared" si="95"/>
        <v>29959.300000000003</v>
      </c>
      <c r="V330" s="23">
        <v>1089</v>
      </c>
      <c r="W330" s="23">
        <f t="shared" si="96"/>
        <v>35719.199999999997</v>
      </c>
      <c r="X330" s="23">
        <v>1099</v>
      </c>
      <c r="Y330" s="23">
        <f t="shared" si="97"/>
        <v>38629.85</v>
      </c>
      <c r="Z330" s="23">
        <v>917</v>
      </c>
      <c r="AA330" s="23">
        <f t="shared" si="98"/>
        <v>31783.219999999998</v>
      </c>
      <c r="AB330" s="23">
        <v>759</v>
      </c>
      <c r="AC330" s="23">
        <f t="shared" si="99"/>
        <v>27361.949999999997</v>
      </c>
      <c r="AD330" s="23">
        <v>908</v>
      </c>
      <c r="AE330" s="23">
        <f t="shared" si="100"/>
        <v>31816.32</v>
      </c>
      <c r="AF330" s="26">
        <v>859</v>
      </c>
      <c r="AG330" s="26">
        <f t="shared" si="101"/>
        <v>29360.62</v>
      </c>
      <c r="AH330" s="23">
        <v>694</v>
      </c>
      <c r="AI330" s="23">
        <f t="shared" si="102"/>
        <v>23110.199999999997</v>
      </c>
      <c r="AJ330" s="23">
        <v>1057</v>
      </c>
      <c r="AK330" s="23">
        <f t="shared" si="103"/>
        <v>37999.15</v>
      </c>
      <c r="AL330" s="23">
        <v>746</v>
      </c>
      <c r="AM330" s="26">
        <f t="shared" si="104"/>
        <v>27355.82</v>
      </c>
      <c r="AN330" s="12">
        <f t="shared" si="105"/>
        <v>11774</v>
      </c>
      <c r="AO330" s="22">
        <f t="shared" si="106"/>
        <v>422865.4800000001</v>
      </c>
    </row>
    <row r="331" spans="1:41" x14ac:dyDescent="0.5">
      <c r="A331" s="19">
        <v>327</v>
      </c>
      <c r="B331" s="20" t="s">
        <v>611</v>
      </c>
      <c r="C331" s="21" t="s">
        <v>533</v>
      </c>
      <c r="D331" s="16">
        <v>943</v>
      </c>
      <c r="E331" s="16">
        <v>8</v>
      </c>
      <c r="F331" s="22">
        <v>812</v>
      </c>
      <c r="G331" s="22">
        <f t="shared" si="107"/>
        <v>25269.440000000002</v>
      </c>
      <c r="H331" s="22">
        <v>300</v>
      </c>
      <c r="I331" s="23">
        <f t="shared" si="108"/>
        <v>9722.9999999999982</v>
      </c>
      <c r="J331" s="22">
        <v>843</v>
      </c>
      <c r="K331" s="22">
        <f t="shared" si="109"/>
        <v>27827.429999999997</v>
      </c>
      <c r="L331" s="22"/>
      <c r="M331" s="24">
        <f t="shared" si="110"/>
        <v>0</v>
      </c>
      <c r="N331" s="23"/>
      <c r="O331" s="23">
        <f t="shared" si="111"/>
        <v>0</v>
      </c>
      <c r="P331" s="22">
        <v>399</v>
      </c>
      <c r="Q331" s="22">
        <f t="shared" si="112"/>
        <v>16758</v>
      </c>
      <c r="R331" s="25">
        <v>333</v>
      </c>
      <c r="S331" s="25">
        <f t="shared" si="113"/>
        <v>12887.1</v>
      </c>
      <c r="T331" s="25">
        <v>587</v>
      </c>
      <c r="U331" s="25">
        <f t="shared" si="95"/>
        <v>19781.900000000001</v>
      </c>
      <c r="V331" s="23">
        <v>388</v>
      </c>
      <c r="W331" s="23">
        <f t="shared" si="96"/>
        <v>12726.4</v>
      </c>
      <c r="X331" s="23">
        <v>158</v>
      </c>
      <c r="Y331" s="23">
        <f t="shared" si="97"/>
        <v>5553.7</v>
      </c>
      <c r="Z331" s="23">
        <v>257</v>
      </c>
      <c r="AA331" s="23">
        <f t="shared" si="98"/>
        <v>8907.619999999999</v>
      </c>
      <c r="AB331" s="23">
        <v>218</v>
      </c>
      <c r="AC331" s="23">
        <f t="shared" si="99"/>
        <v>7858.9</v>
      </c>
      <c r="AD331" s="23">
        <v>376</v>
      </c>
      <c r="AE331" s="23">
        <f t="shared" si="100"/>
        <v>13175.039999999999</v>
      </c>
      <c r="AF331" s="26">
        <v>365</v>
      </c>
      <c r="AG331" s="26">
        <f t="shared" si="101"/>
        <v>12475.7</v>
      </c>
      <c r="AH331" s="23">
        <v>402</v>
      </c>
      <c r="AI331" s="23">
        <f t="shared" si="102"/>
        <v>13386.599999999999</v>
      </c>
      <c r="AJ331" s="23">
        <v>377</v>
      </c>
      <c r="AK331" s="23">
        <f t="shared" si="103"/>
        <v>13553.150000000001</v>
      </c>
      <c r="AL331" s="26">
        <v>492</v>
      </c>
      <c r="AM331" s="26">
        <f t="shared" si="104"/>
        <v>18041.64</v>
      </c>
      <c r="AN331" s="12">
        <f t="shared" si="105"/>
        <v>6307</v>
      </c>
      <c r="AO331" s="22">
        <f t="shared" si="106"/>
        <v>217925.62</v>
      </c>
    </row>
    <row r="332" spans="1:41" x14ac:dyDescent="0.5">
      <c r="A332" s="19">
        <v>328</v>
      </c>
      <c r="B332" s="20" t="s">
        <v>612</v>
      </c>
      <c r="C332" s="21" t="s">
        <v>613</v>
      </c>
      <c r="D332" s="16">
        <v>955</v>
      </c>
      <c r="E332" s="16">
        <v>8</v>
      </c>
      <c r="F332" s="22">
        <v>885</v>
      </c>
      <c r="G332" s="22">
        <f t="shared" si="107"/>
        <v>27541.200000000001</v>
      </c>
      <c r="H332" s="22">
        <v>558</v>
      </c>
      <c r="I332" s="23">
        <f t="shared" si="108"/>
        <v>18084.78</v>
      </c>
      <c r="J332" s="22">
        <v>552</v>
      </c>
      <c r="K332" s="22">
        <f t="shared" si="109"/>
        <v>18221.52</v>
      </c>
      <c r="L332" s="22">
        <v>540</v>
      </c>
      <c r="M332" s="24">
        <f t="shared" si="110"/>
        <v>18964.8</v>
      </c>
      <c r="N332" s="23">
        <v>430</v>
      </c>
      <c r="O332" s="23">
        <f t="shared" si="111"/>
        <v>16447.5</v>
      </c>
      <c r="P332" s="22">
        <v>682</v>
      </c>
      <c r="Q332" s="22">
        <f t="shared" si="112"/>
        <v>28644</v>
      </c>
      <c r="R332" s="25">
        <v>509</v>
      </c>
      <c r="S332" s="25">
        <f t="shared" si="113"/>
        <v>19698.300000000003</v>
      </c>
      <c r="T332" s="25">
        <v>531</v>
      </c>
      <c r="U332" s="25">
        <f t="shared" si="95"/>
        <v>17894.7</v>
      </c>
      <c r="V332" s="23">
        <v>654</v>
      </c>
      <c r="W332" s="23">
        <f t="shared" si="96"/>
        <v>21451.199999999997</v>
      </c>
      <c r="X332" s="23">
        <v>792</v>
      </c>
      <c r="Y332" s="23">
        <f t="shared" si="97"/>
        <v>27838.799999999999</v>
      </c>
      <c r="Z332" s="23">
        <v>723</v>
      </c>
      <c r="AA332" s="23">
        <f t="shared" si="98"/>
        <v>25059.179999999997</v>
      </c>
      <c r="AB332" s="23">
        <v>476</v>
      </c>
      <c r="AC332" s="23">
        <f t="shared" si="99"/>
        <v>17159.8</v>
      </c>
      <c r="AD332" s="23">
        <v>1059</v>
      </c>
      <c r="AE332" s="23">
        <f t="shared" si="100"/>
        <v>37107.360000000001</v>
      </c>
      <c r="AF332" s="26">
        <v>1247</v>
      </c>
      <c r="AG332" s="26">
        <f t="shared" si="101"/>
        <v>42622.46</v>
      </c>
      <c r="AH332" s="23">
        <v>828</v>
      </c>
      <c r="AI332" s="23">
        <f t="shared" si="102"/>
        <v>27572.399999999998</v>
      </c>
      <c r="AJ332" s="23">
        <v>935</v>
      </c>
      <c r="AK332" s="23">
        <f t="shared" si="103"/>
        <v>33613.25</v>
      </c>
      <c r="AL332" s="26">
        <v>987</v>
      </c>
      <c r="AM332" s="26">
        <f t="shared" si="104"/>
        <v>36193.29</v>
      </c>
      <c r="AN332" s="12">
        <f t="shared" si="105"/>
        <v>12388</v>
      </c>
      <c r="AO332" s="22">
        <f t="shared" si="106"/>
        <v>434114.54</v>
      </c>
    </row>
    <row r="333" spans="1:41" x14ac:dyDescent="0.5">
      <c r="A333" s="19">
        <v>329</v>
      </c>
      <c r="B333" s="20" t="s">
        <v>614</v>
      </c>
      <c r="C333" s="21" t="s">
        <v>615</v>
      </c>
      <c r="D333" s="16">
        <v>963</v>
      </c>
      <c r="E333" s="16">
        <v>8</v>
      </c>
      <c r="F333" s="22">
        <v>2052</v>
      </c>
      <c r="G333" s="22">
        <f t="shared" si="107"/>
        <v>63858.240000000005</v>
      </c>
      <c r="H333" s="22">
        <v>267</v>
      </c>
      <c r="I333" s="23">
        <f t="shared" si="108"/>
        <v>8653.4699999999993</v>
      </c>
      <c r="J333" s="22">
        <v>796</v>
      </c>
      <c r="K333" s="22">
        <f t="shared" si="109"/>
        <v>26275.96</v>
      </c>
      <c r="L333" s="22">
        <v>532</v>
      </c>
      <c r="M333" s="24">
        <f t="shared" si="110"/>
        <v>18683.84</v>
      </c>
      <c r="N333" s="23">
        <v>1551</v>
      </c>
      <c r="O333" s="23">
        <f t="shared" si="111"/>
        <v>59325.75</v>
      </c>
      <c r="P333" s="22">
        <v>2252</v>
      </c>
      <c r="Q333" s="22">
        <f t="shared" si="112"/>
        <v>94584</v>
      </c>
      <c r="R333" s="25">
        <v>2007</v>
      </c>
      <c r="S333" s="25">
        <f t="shared" si="113"/>
        <v>77670.900000000009</v>
      </c>
      <c r="T333" s="25">
        <v>2018</v>
      </c>
      <c r="U333" s="25">
        <f t="shared" si="95"/>
        <v>68006.600000000006</v>
      </c>
      <c r="V333" s="23">
        <v>2159</v>
      </c>
      <c r="W333" s="23">
        <f t="shared" si="96"/>
        <v>70815.199999999997</v>
      </c>
      <c r="X333" s="23">
        <v>2638</v>
      </c>
      <c r="Y333" s="23">
        <f t="shared" si="97"/>
        <v>92725.7</v>
      </c>
      <c r="Z333" s="23">
        <v>1750</v>
      </c>
      <c r="AA333" s="23">
        <f t="shared" si="98"/>
        <v>60654.999999999993</v>
      </c>
      <c r="AB333" s="23">
        <v>2068</v>
      </c>
      <c r="AC333" s="23">
        <f t="shared" si="99"/>
        <v>74551.399999999994</v>
      </c>
      <c r="AD333" s="23">
        <v>2210</v>
      </c>
      <c r="AE333" s="23">
        <f t="shared" si="100"/>
        <v>77438.399999999994</v>
      </c>
      <c r="AF333" s="26">
        <v>3015</v>
      </c>
      <c r="AG333" s="26">
        <f t="shared" si="101"/>
        <v>103052.7</v>
      </c>
      <c r="AH333" s="23">
        <v>2462</v>
      </c>
      <c r="AI333" s="23">
        <f t="shared" si="102"/>
        <v>81984.599999999991</v>
      </c>
      <c r="AJ333" s="23">
        <v>2598</v>
      </c>
      <c r="AK333" s="23">
        <f t="shared" si="103"/>
        <v>93398.1</v>
      </c>
      <c r="AL333" s="26">
        <v>2429</v>
      </c>
      <c r="AM333" s="26">
        <f t="shared" si="104"/>
        <v>89071.430000000008</v>
      </c>
      <c r="AN333" s="12">
        <f t="shared" si="105"/>
        <v>32804</v>
      </c>
      <c r="AO333" s="22">
        <f t="shared" si="106"/>
        <v>1160751.29</v>
      </c>
    </row>
    <row r="334" spans="1:41" x14ac:dyDescent="0.5">
      <c r="A334" s="19">
        <v>330</v>
      </c>
      <c r="B334" s="20" t="s">
        <v>616</v>
      </c>
      <c r="C334" s="21" t="s">
        <v>617</v>
      </c>
      <c r="D334" s="16">
        <v>968</v>
      </c>
      <c r="E334" s="16">
        <v>8</v>
      </c>
      <c r="F334" s="22"/>
      <c r="G334" s="22">
        <f t="shared" si="107"/>
        <v>0</v>
      </c>
      <c r="H334" s="22"/>
      <c r="I334" s="23">
        <f t="shared" si="108"/>
        <v>0</v>
      </c>
      <c r="J334" s="22"/>
      <c r="K334" s="22">
        <f t="shared" si="109"/>
        <v>0</v>
      </c>
      <c r="L334" s="22"/>
      <c r="M334" s="24">
        <f t="shared" si="110"/>
        <v>0</v>
      </c>
      <c r="N334" s="23"/>
      <c r="O334" s="23">
        <f t="shared" si="111"/>
        <v>0</v>
      </c>
      <c r="P334" s="22">
        <v>756</v>
      </c>
      <c r="Q334" s="22">
        <f t="shared" si="112"/>
        <v>31752</v>
      </c>
      <c r="R334" s="25">
        <v>489</v>
      </c>
      <c r="S334" s="25">
        <f t="shared" si="113"/>
        <v>18924.300000000003</v>
      </c>
      <c r="T334" s="25">
        <v>698</v>
      </c>
      <c r="U334" s="25">
        <f t="shared" si="95"/>
        <v>23522.600000000002</v>
      </c>
      <c r="V334" s="23"/>
      <c r="W334" s="23">
        <f t="shared" si="96"/>
        <v>0</v>
      </c>
      <c r="X334" s="23"/>
      <c r="Y334" s="23">
        <f t="shared" si="97"/>
        <v>0</v>
      </c>
      <c r="Z334" s="23">
        <v>477</v>
      </c>
      <c r="AA334" s="23">
        <f t="shared" si="98"/>
        <v>16532.82</v>
      </c>
      <c r="AB334" s="23"/>
      <c r="AC334" s="23">
        <f t="shared" si="99"/>
        <v>0</v>
      </c>
      <c r="AD334" s="23">
        <v>504</v>
      </c>
      <c r="AE334" s="23">
        <f t="shared" si="100"/>
        <v>17660.16</v>
      </c>
      <c r="AF334" s="26">
        <v>607</v>
      </c>
      <c r="AG334" s="26">
        <f t="shared" si="101"/>
        <v>20747.259999999998</v>
      </c>
      <c r="AH334" s="23"/>
      <c r="AI334" s="23">
        <f t="shared" si="102"/>
        <v>0</v>
      </c>
      <c r="AJ334" s="23"/>
      <c r="AK334" s="23">
        <f t="shared" si="103"/>
        <v>0</v>
      </c>
      <c r="AL334" s="26">
        <v>862</v>
      </c>
      <c r="AM334" s="26">
        <f t="shared" si="104"/>
        <v>31609.54</v>
      </c>
      <c r="AN334" s="12">
        <f t="shared" si="105"/>
        <v>4393</v>
      </c>
      <c r="AO334" s="22">
        <f t="shared" si="106"/>
        <v>160748.68</v>
      </c>
    </row>
    <row r="335" spans="1:41" x14ac:dyDescent="0.5">
      <c r="A335" s="19">
        <v>331</v>
      </c>
      <c r="B335" s="20" t="s">
        <v>444</v>
      </c>
      <c r="C335" s="21" t="s">
        <v>618</v>
      </c>
      <c r="D335" s="16">
        <v>985</v>
      </c>
      <c r="E335" s="16">
        <v>8</v>
      </c>
      <c r="F335" s="22">
        <v>337</v>
      </c>
      <c r="G335" s="22">
        <f t="shared" si="107"/>
        <v>10487.44</v>
      </c>
      <c r="H335" s="22"/>
      <c r="I335" s="23">
        <f t="shared" si="108"/>
        <v>0</v>
      </c>
      <c r="J335" s="22">
        <v>427</v>
      </c>
      <c r="K335" s="22">
        <f t="shared" si="109"/>
        <v>14095.269999999999</v>
      </c>
      <c r="L335" s="22">
        <v>135</v>
      </c>
      <c r="M335" s="24">
        <f t="shared" si="110"/>
        <v>4741.2</v>
      </c>
      <c r="N335" s="23">
        <v>209</v>
      </c>
      <c r="O335" s="23">
        <f t="shared" si="111"/>
        <v>7994.25</v>
      </c>
      <c r="P335" s="22">
        <v>436</v>
      </c>
      <c r="Q335" s="22">
        <f t="shared" si="112"/>
        <v>18312</v>
      </c>
      <c r="R335" s="25">
        <v>479</v>
      </c>
      <c r="S335" s="25">
        <f t="shared" si="113"/>
        <v>18537.300000000003</v>
      </c>
      <c r="T335" s="25">
        <v>906</v>
      </c>
      <c r="U335" s="25">
        <f t="shared" si="95"/>
        <v>30532.200000000004</v>
      </c>
      <c r="V335" s="23">
        <v>287</v>
      </c>
      <c r="W335" s="23">
        <f t="shared" si="96"/>
        <v>9413.5999999999985</v>
      </c>
      <c r="X335" s="23">
        <v>1017</v>
      </c>
      <c r="Y335" s="23">
        <f t="shared" si="97"/>
        <v>35747.549999999996</v>
      </c>
      <c r="Z335" s="23">
        <v>850</v>
      </c>
      <c r="AA335" s="23">
        <f t="shared" si="98"/>
        <v>29460.999999999996</v>
      </c>
      <c r="AB335" s="23">
        <v>934</v>
      </c>
      <c r="AC335" s="23">
        <f t="shared" si="99"/>
        <v>33670.699999999997</v>
      </c>
      <c r="AD335" s="23">
        <v>879</v>
      </c>
      <c r="AE335" s="23">
        <f t="shared" si="100"/>
        <v>30800.16</v>
      </c>
      <c r="AF335" s="26">
        <v>346</v>
      </c>
      <c r="AG335" s="26">
        <f t="shared" si="101"/>
        <v>11826.28</v>
      </c>
      <c r="AH335" s="23">
        <v>334</v>
      </c>
      <c r="AI335" s="23">
        <f t="shared" si="102"/>
        <v>11122.199999999999</v>
      </c>
      <c r="AJ335" s="23">
        <v>952</v>
      </c>
      <c r="AK335" s="23">
        <f t="shared" si="103"/>
        <v>34224.400000000001</v>
      </c>
      <c r="AL335" s="26">
        <v>863</v>
      </c>
      <c r="AM335" s="26">
        <f t="shared" si="104"/>
        <v>31646.210000000003</v>
      </c>
      <c r="AN335" s="12">
        <f t="shared" si="105"/>
        <v>9391</v>
      </c>
      <c r="AO335" s="22">
        <f t="shared" si="106"/>
        <v>332611.76000000007</v>
      </c>
    </row>
    <row r="336" spans="1:41" x14ac:dyDescent="0.5">
      <c r="A336" s="19">
        <v>332</v>
      </c>
      <c r="B336" s="20" t="s">
        <v>619</v>
      </c>
      <c r="C336" s="21" t="s">
        <v>620</v>
      </c>
      <c r="D336" s="16">
        <v>987</v>
      </c>
      <c r="E336" s="16">
        <v>8</v>
      </c>
      <c r="F336" s="22">
        <v>1204</v>
      </c>
      <c r="G336" s="22">
        <f t="shared" si="107"/>
        <v>37468.480000000003</v>
      </c>
      <c r="H336" s="22">
        <v>771</v>
      </c>
      <c r="I336" s="23">
        <f t="shared" si="108"/>
        <v>24988.109999999997</v>
      </c>
      <c r="J336" s="22">
        <v>936</v>
      </c>
      <c r="K336" s="22">
        <f t="shared" si="109"/>
        <v>30897.359999999997</v>
      </c>
      <c r="L336" s="22">
        <v>849</v>
      </c>
      <c r="M336" s="24">
        <f t="shared" si="110"/>
        <v>29816.879999999997</v>
      </c>
      <c r="N336" s="23">
        <v>757</v>
      </c>
      <c r="O336" s="23">
        <f t="shared" si="111"/>
        <v>28955.25</v>
      </c>
      <c r="P336" s="22">
        <v>727</v>
      </c>
      <c r="Q336" s="22">
        <f t="shared" si="112"/>
        <v>30534</v>
      </c>
      <c r="R336" s="25">
        <v>1107</v>
      </c>
      <c r="S336" s="25">
        <f t="shared" si="113"/>
        <v>42840.9</v>
      </c>
      <c r="T336" s="25">
        <v>2174</v>
      </c>
      <c r="U336" s="25">
        <f t="shared" si="95"/>
        <v>73263.8</v>
      </c>
      <c r="V336" s="23">
        <v>1473</v>
      </c>
      <c r="W336" s="23">
        <f t="shared" si="96"/>
        <v>48314.399999999994</v>
      </c>
      <c r="X336" s="23">
        <v>1562</v>
      </c>
      <c r="Y336" s="23">
        <f t="shared" si="97"/>
        <v>54904.299999999996</v>
      </c>
      <c r="Z336" s="23">
        <v>1255</v>
      </c>
      <c r="AA336" s="23">
        <f t="shared" si="98"/>
        <v>43498.299999999996</v>
      </c>
      <c r="AB336" s="23">
        <v>1167</v>
      </c>
      <c r="AC336" s="23">
        <f t="shared" si="99"/>
        <v>42070.35</v>
      </c>
      <c r="AD336" s="23">
        <v>1925</v>
      </c>
      <c r="AE336" s="23">
        <f t="shared" si="100"/>
        <v>67452</v>
      </c>
      <c r="AF336" s="26">
        <v>1674</v>
      </c>
      <c r="AG336" s="26">
        <f t="shared" si="101"/>
        <v>57217.32</v>
      </c>
      <c r="AH336" s="23">
        <v>1699</v>
      </c>
      <c r="AI336" s="23">
        <f t="shared" si="102"/>
        <v>56576.7</v>
      </c>
      <c r="AJ336" s="23">
        <v>1607</v>
      </c>
      <c r="AK336" s="23">
        <f t="shared" si="103"/>
        <v>57771.65</v>
      </c>
      <c r="AL336" s="26">
        <v>1567</v>
      </c>
      <c r="AM336" s="26">
        <f t="shared" si="104"/>
        <v>57461.89</v>
      </c>
      <c r="AN336" s="12">
        <f t="shared" si="105"/>
        <v>22454</v>
      </c>
      <c r="AO336" s="22">
        <f t="shared" si="106"/>
        <v>784031.68999999983</v>
      </c>
    </row>
    <row r="337" spans="1:41" x14ac:dyDescent="0.5">
      <c r="A337" s="19">
        <v>333</v>
      </c>
      <c r="B337" s="20" t="s">
        <v>621</v>
      </c>
      <c r="C337" s="21" t="s">
        <v>622</v>
      </c>
      <c r="D337" s="16">
        <v>995</v>
      </c>
      <c r="E337" s="16">
        <v>8</v>
      </c>
      <c r="F337" s="22">
        <v>875</v>
      </c>
      <c r="G337" s="22">
        <f t="shared" si="107"/>
        <v>27230</v>
      </c>
      <c r="H337" s="22">
        <v>616</v>
      </c>
      <c r="I337" s="23">
        <f t="shared" si="108"/>
        <v>19964.559999999998</v>
      </c>
      <c r="J337" s="22">
        <v>522</v>
      </c>
      <c r="K337" s="22">
        <f t="shared" si="109"/>
        <v>17231.219999999998</v>
      </c>
      <c r="L337" s="22">
        <v>356</v>
      </c>
      <c r="M337" s="24">
        <f t="shared" si="110"/>
        <v>12502.72</v>
      </c>
      <c r="N337" s="23">
        <v>724</v>
      </c>
      <c r="O337" s="23">
        <f t="shared" si="111"/>
        <v>27693</v>
      </c>
      <c r="P337" s="22">
        <v>591</v>
      </c>
      <c r="Q337" s="22">
        <f t="shared" si="112"/>
        <v>24822</v>
      </c>
      <c r="R337" s="25">
        <v>491</v>
      </c>
      <c r="S337" s="25">
        <f t="shared" si="113"/>
        <v>19001.7</v>
      </c>
      <c r="T337" s="25">
        <v>649</v>
      </c>
      <c r="U337" s="25">
        <f t="shared" si="95"/>
        <v>21871.300000000003</v>
      </c>
      <c r="V337" s="23">
        <v>658</v>
      </c>
      <c r="W337" s="23">
        <f t="shared" si="96"/>
        <v>21582.399999999998</v>
      </c>
      <c r="X337" s="23">
        <v>158</v>
      </c>
      <c r="Y337" s="23">
        <f t="shared" si="97"/>
        <v>5553.7</v>
      </c>
      <c r="Z337" s="23">
        <v>519</v>
      </c>
      <c r="AA337" s="23">
        <f t="shared" si="98"/>
        <v>17988.539999999997</v>
      </c>
      <c r="AB337" s="23">
        <v>149</v>
      </c>
      <c r="AC337" s="23">
        <f t="shared" si="99"/>
        <v>5371.45</v>
      </c>
      <c r="AD337" s="23">
        <v>195</v>
      </c>
      <c r="AE337" s="23">
        <f t="shared" si="100"/>
        <v>6832.8</v>
      </c>
      <c r="AF337" s="26">
        <v>171</v>
      </c>
      <c r="AG337" s="26">
        <f t="shared" si="101"/>
        <v>5844.78</v>
      </c>
      <c r="AH337" s="23">
        <v>184</v>
      </c>
      <c r="AI337" s="23">
        <f t="shared" si="102"/>
        <v>6127.2</v>
      </c>
      <c r="AJ337" s="23">
        <v>256</v>
      </c>
      <c r="AK337" s="23">
        <f t="shared" si="103"/>
        <v>9203.2000000000007</v>
      </c>
      <c r="AL337" s="26">
        <v>726</v>
      </c>
      <c r="AM337" s="26">
        <f t="shared" si="104"/>
        <v>26622.420000000002</v>
      </c>
      <c r="AN337" s="12">
        <f t="shared" si="105"/>
        <v>7840</v>
      </c>
      <c r="AO337" s="22">
        <f t="shared" si="106"/>
        <v>275442.99000000005</v>
      </c>
    </row>
    <row r="338" spans="1:41" x14ac:dyDescent="0.5">
      <c r="A338" s="19">
        <v>334</v>
      </c>
      <c r="B338" s="20" t="s">
        <v>623</v>
      </c>
      <c r="C338" s="21" t="s">
        <v>523</v>
      </c>
      <c r="D338" s="16">
        <v>1008</v>
      </c>
      <c r="E338" s="16">
        <v>8</v>
      </c>
      <c r="F338" s="22">
        <v>414</v>
      </c>
      <c r="G338" s="22">
        <f t="shared" si="107"/>
        <v>12883.68</v>
      </c>
      <c r="H338" s="22"/>
      <c r="I338" s="23">
        <f t="shared" si="108"/>
        <v>0</v>
      </c>
      <c r="J338" s="22"/>
      <c r="K338" s="22">
        <f t="shared" si="109"/>
        <v>0</v>
      </c>
      <c r="L338" s="22"/>
      <c r="M338" s="24">
        <f t="shared" si="110"/>
        <v>0</v>
      </c>
      <c r="N338" s="23"/>
      <c r="O338" s="23">
        <f t="shared" si="111"/>
        <v>0</v>
      </c>
      <c r="P338" s="22">
        <v>350</v>
      </c>
      <c r="Q338" s="22">
        <f t="shared" si="112"/>
        <v>14700</v>
      </c>
      <c r="R338" s="25">
        <v>403</v>
      </c>
      <c r="S338" s="25">
        <f t="shared" si="113"/>
        <v>15596.1</v>
      </c>
      <c r="T338" s="25">
        <v>387</v>
      </c>
      <c r="U338" s="25">
        <f t="shared" si="95"/>
        <v>13041.900000000001</v>
      </c>
      <c r="V338" s="23">
        <v>169</v>
      </c>
      <c r="W338" s="23">
        <f t="shared" si="96"/>
        <v>5543.2</v>
      </c>
      <c r="X338" s="23">
        <v>482</v>
      </c>
      <c r="Y338" s="23">
        <f t="shared" si="97"/>
        <v>16942.3</v>
      </c>
      <c r="Z338" s="23">
        <v>352</v>
      </c>
      <c r="AA338" s="23">
        <f t="shared" si="98"/>
        <v>12200.32</v>
      </c>
      <c r="AB338" s="23"/>
      <c r="AC338" s="23">
        <f t="shared" si="99"/>
        <v>0</v>
      </c>
      <c r="AD338" s="23">
        <v>630</v>
      </c>
      <c r="AE338" s="23">
        <f t="shared" si="100"/>
        <v>22075.200000000001</v>
      </c>
      <c r="AF338" s="26">
        <v>543</v>
      </c>
      <c r="AG338" s="26">
        <f t="shared" si="101"/>
        <v>18559.740000000002</v>
      </c>
      <c r="AH338" s="23">
        <v>523</v>
      </c>
      <c r="AI338" s="23">
        <f t="shared" si="102"/>
        <v>17415.899999999998</v>
      </c>
      <c r="AJ338" s="23">
        <v>670</v>
      </c>
      <c r="AK338" s="23">
        <f t="shared" si="103"/>
        <v>24086.500000000004</v>
      </c>
      <c r="AL338" s="26">
        <v>601</v>
      </c>
      <c r="AM338" s="26">
        <f t="shared" si="104"/>
        <v>22038.670000000002</v>
      </c>
      <c r="AN338" s="12">
        <f t="shared" si="105"/>
        <v>5524</v>
      </c>
      <c r="AO338" s="22">
        <f t="shared" si="106"/>
        <v>195083.51</v>
      </c>
    </row>
    <row r="339" spans="1:41" x14ac:dyDescent="0.5">
      <c r="A339" s="19">
        <v>335</v>
      </c>
      <c r="B339" s="20" t="s">
        <v>624</v>
      </c>
      <c r="C339" s="21" t="s">
        <v>625</v>
      </c>
      <c r="D339" s="16">
        <v>1009</v>
      </c>
      <c r="E339" s="16">
        <v>8</v>
      </c>
      <c r="F339" s="22">
        <v>455</v>
      </c>
      <c r="G339" s="22">
        <f t="shared" si="107"/>
        <v>14159.6</v>
      </c>
      <c r="H339" s="22">
        <v>1001</v>
      </c>
      <c r="I339" s="23">
        <f t="shared" si="108"/>
        <v>32442.409999999996</v>
      </c>
      <c r="J339" s="22">
        <v>1576</v>
      </c>
      <c r="K339" s="22">
        <f t="shared" si="109"/>
        <v>52023.759999999995</v>
      </c>
      <c r="L339" s="22">
        <v>617</v>
      </c>
      <c r="M339" s="24">
        <f t="shared" si="110"/>
        <v>21669.039999999997</v>
      </c>
      <c r="N339" s="23">
        <v>1020</v>
      </c>
      <c r="O339" s="23">
        <f t="shared" si="111"/>
        <v>39015</v>
      </c>
      <c r="P339" s="22">
        <v>1250</v>
      </c>
      <c r="Q339" s="22">
        <f t="shared" si="112"/>
        <v>52500</v>
      </c>
      <c r="R339" s="25">
        <v>990</v>
      </c>
      <c r="S339" s="25">
        <f t="shared" si="113"/>
        <v>38313</v>
      </c>
      <c r="T339" s="25">
        <v>1719</v>
      </c>
      <c r="U339" s="25">
        <f t="shared" si="95"/>
        <v>57930.3</v>
      </c>
      <c r="V339" s="23">
        <v>1846</v>
      </c>
      <c r="W339" s="23">
        <f t="shared" si="96"/>
        <v>60548.799999999996</v>
      </c>
      <c r="X339" s="23">
        <v>1911</v>
      </c>
      <c r="Y339" s="23">
        <f t="shared" si="97"/>
        <v>67171.649999999994</v>
      </c>
      <c r="Z339" s="23">
        <v>1808</v>
      </c>
      <c r="AA339" s="23">
        <f t="shared" si="98"/>
        <v>62665.279999999992</v>
      </c>
      <c r="AB339" s="23">
        <v>1072</v>
      </c>
      <c r="AC339" s="23">
        <f t="shared" si="99"/>
        <v>38645.599999999999</v>
      </c>
      <c r="AD339" s="23">
        <v>1949</v>
      </c>
      <c r="AE339" s="23">
        <f t="shared" si="100"/>
        <v>68292.959999999992</v>
      </c>
      <c r="AF339" s="26">
        <v>2011</v>
      </c>
      <c r="AG339" s="26">
        <f t="shared" si="101"/>
        <v>68735.98</v>
      </c>
      <c r="AH339" s="23">
        <v>1588</v>
      </c>
      <c r="AI339" s="23">
        <f t="shared" si="102"/>
        <v>52880.399999999994</v>
      </c>
      <c r="AJ339" s="23">
        <v>1630</v>
      </c>
      <c r="AK339" s="23">
        <f t="shared" si="103"/>
        <v>58598.500000000007</v>
      </c>
      <c r="AL339" s="26">
        <v>1582</v>
      </c>
      <c r="AM339" s="26">
        <f t="shared" si="104"/>
        <v>58011.94</v>
      </c>
      <c r="AN339" s="12">
        <f t="shared" si="105"/>
        <v>24025</v>
      </c>
      <c r="AO339" s="22">
        <f t="shared" si="106"/>
        <v>843604.22</v>
      </c>
    </row>
    <row r="340" spans="1:41" x14ac:dyDescent="0.5">
      <c r="A340" s="19">
        <v>336</v>
      </c>
      <c r="B340" s="20" t="s">
        <v>626</v>
      </c>
      <c r="C340" s="21" t="s">
        <v>522</v>
      </c>
      <c r="D340" s="16">
        <v>1012</v>
      </c>
      <c r="E340" s="16">
        <v>8</v>
      </c>
      <c r="F340" s="22">
        <v>582</v>
      </c>
      <c r="G340" s="22">
        <f t="shared" si="107"/>
        <v>18111.84</v>
      </c>
      <c r="H340" s="22">
        <v>420</v>
      </c>
      <c r="I340" s="23">
        <f t="shared" si="108"/>
        <v>13612.199999999999</v>
      </c>
      <c r="J340" s="22">
        <v>385</v>
      </c>
      <c r="K340" s="22">
        <f t="shared" si="109"/>
        <v>12708.849999999999</v>
      </c>
      <c r="L340" s="22">
        <v>394</v>
      </c>
      <c r="M340" s="24">
        <f t="shared" si="110"/>
        <v>13837.279999999999</v>
      </c>
      <c r="N340" s="23">
        <v>406</v>
      </c>
      <c r="O340" s="23">
        <f t="shared" si="111"/>
        <v>15529.5</v>
      </c>
      <c r="P340" s="22">
        <v>549</v>
      </c>
      <c r="Q340" s="22">
        <f t="shared" si="112"/>
        <v>23058</v>
      </c>
      <c r="R340" s="25">
        <v>457</v>
      </c>
      <c r="S340" s="25">
        <f t="shared" si="113"/>
        <v>17685.900000000001</v>
      </c>
      <c r="T340" s="25">
        <v>875</v>
      </c>
      <c r="U340" s="25">
        <f t="shared" si="95"/>
        <v>29487.500000000004</v>
      </c>
      <c r="V340" s="23">
        <v>825</v>
      </c>
      <c r="W340" s="23">
        <f t="shared" si="96"/>
        <v>27059.999999999996</v>
      </c>
      <c r="X340" s="23">
        <v>772</v>
      </c>
      <c r="Y340" s="23">
        <f t="shared" si="97"/>
        <v>27135.8</v>
      </c>
      <c r="Z340" s="23">
        <v>864</v>
      </c>
      <c r="AA340" s="23">
        <f t="shared" si="98"/>
        <v>29946.239999999998</v>
      </c>
      <c r="AB340" s="23">
        <v>614</v>
      </c>
      <c r="AC340" s="23">
        <f t="shared" si="99"/>
        <v>22134.699999999997</v>
      </c>
      <c r="AD340" s="23">
        <v>888</v>
      </c>
      <c r="AE340" s="23">
        <f t="shared" si="100"/>
        <v>31115.52</v>
      </c>
      <c r="AF340" s="26">
        <v>1006</v>
      </c>
      <c r="AG340" s="26">
        <f t="shared" si="101"/>
        <v>34385.08</v>
      </c>
      <c r="AH340" s="23">
        <v>920</v>
      </c>
      <c r="AI340" s="23">
        <f t="shared" si="102"/>
        <v>30635.999999999996</v>
      </c>
      <c r="AJ340" s="23">
        <v>992</v>
      </c>
      <c r="AK340" s="23">
        <f t="shared" si="103"/>
        <v>35662.400000000001</v>
      </c>
      <c r="AL340" s="26">
        <v>996</v>
      </c>
      <c r="AM340" s="26">
        <f t="shared" si="104"/>
        <v>36523.32</v>
      </c>
      <c r="AN340" s="12">
        <f t="shared" si="105"/>
        <v>11945</v>
      </c>
      <c r="AO340" s="22">
        <f t="shared" si="106"/>
        <v>418630.13000000006</v>
      </c>
    </row>
    <row r="341" spans="1:41" x14ac:dyDescent="0.5">
      <c r="A341" s="19">
        <v>337</v>
      </c>
      <c r="B341" s="20" t="s">
        <v>627</v>
      </c>
      <c r="C341" s="21" t="s">
        <v>628</v>
      </c>
      <c r="D341" s="16">
        <v>1013</v>
      </c>
      <c r="E341" s="16">
        <v>8</v>
      </c>
      <c r="F341" s="22">
        <v>2286</v>
      </c>
      <c r="G341" s="22">
        <f t="shared" si="107"/>
        <v>71140.320000000007</v>
      </c>
      <c r="H341" s="22">
        <v>1775</v>
      </c>
      <c r="I341" s="23">
        <f t="shared" si="108"/>
        <v>57527.749999999993</v>
      </c>
      <c r="J341" s="22">
        <v>1087</v>
      </c>
      <c r="K341" s="22">
        <f t="shared" si="109"/>
        <v>35881.869999999995</v>
      </c>
      <c r="L341" s="22">
        <v>296</v>
      </c>
      <c r="M341" s="24">
        <f t="shared" si="110"/>
        <v>10395.519999999999</v>
      </c>
      <c r="N341" s="23">
        <v>483</v>
      </c>
      <c r="O341" s="23">
        <f t="shared" si="111"/>
        <v>18474.75</v>
      </c>
      <c r="P341" s="22">
        <v>1660</v>
      </c>
      <c r="Q341" s="22">
        <f t="shared" si="112"/>
        <v>69720</v>
      </c>
      <c r="R341" s="25">
        <v>1317</v>
      </c>
      <c r="S341" s="25">
        <f t="shared" si="113"/>
        <v>50967.9</v>
      </c>
      <c r="T341" s="25">
        <v>1457</v>
      </c>
      <c r="U341" s="25">
        <f t="shared" si="95"/>
        <v>49100.9</v>
      </c>
      <c r="V341" s="23">
        <v>1502</v>
      </c>
      <c r="W341" s="23">
        <f t="shared" si="96"/>
        <v>49265.599999999999</v>
      </c>
      <c r="X341" s="23">
        <v>1112</v>
      </c>
      <c r="Y341" s="23">
        <f t="shared" si="97"/>
        <v>39086.799999999996</v>
      </c>
      <c r="Z341" s="23">
        <v>1542</v>
      </c>
      <c r="AA341" s="23">
        <f t="shared" si="98"/>
        <v>53445.719999999994</v>
      </c>
      <c r="AB341" s="23">
        <v>311</v>
      </c>
      <c r="AC341" s="23">
        <f t="shared" si="99"/>
        <v>11211.55</v>
      </c>
      <c r="AD341" s="23">
        <v>2256</v>
      </c>
      <c r="AE341" s="23">
        <f t="shared" si="100"/>
        <v>79050.240000000005</v>
      </c>
      <c r="AF341" s="26">
        <v>1952</v>
      </c>
      <c r="AG341" s="26">
        <f t="shared" si="101"/>
        <v>66719.360000000001</v>
      </c>
      <c r="AH341" s="23">
        <v>1168</v>
      </c>
      <c r="AI341" s="23">
        <f t="shared" si="102"/>
        <v>38894.399999999994</v>
      </c>
      <c r="AJ341" s="23">
        <v>2042</v>
      </c>
      <c r="AK341" s="23">
        <f t="shared" si="103"/>
        <v>73409.900000000009</v>
      </c>
      <c r="AL341" s="26">
        <v>2780</v>
      </c>
      <c r="AM341" s="26">
        <f t="shared" si="104"/>
        <v>101942.6</v>
      </c>
      <c r="AN341" s="12">
        <f t="shared" si="105"/>
        <v>25026</v>
      </c>
      <c r="AO341" s="22">
        <f t="shared" si="106"/>
        <v>876235.17999999993</v>
      </c>
    </row>
    <row r="342" spans="1:41" x14ac:dyDescent="0.5">
      <c r="A342" s="19">
        <v>338</v>
      </c>
      <c r="B342" s="20" t="s">
        <v>629</v>
      </c>
      <c r="C342" s="21" t="s">
        <v>630</v>
      </c>
      <c r="D342" s="16">
        <v>1014</v>
      </c>
      <c r="E342" s="16">
        <v>8</v>
      </c>
      <c r="F342" s="22"/>
      <c r="G342" s="22">
        <f t="shared" si="107"/>
        <v>0</v>
      </c>
      <c r="H342" s="22"/>
      <c r="I342" s="23">
        <f t="shared" si="108"/>
        <v>0</v>
      </c>
      <c r="J342" s="22"/>
      <c r="K342" s="22">
        <f t="shared" si="109"/>
        <v>0</v>
      </c>
      <c r="L342" s="22"/>
      <c r="M342" s="24">
        <f t="shared" si="110"/>
        <v>0</v>
      </c>
      <c r="N342" s="23"/>
      <c r="O342" s="23">
        <f t="shared" si="111"/>
        <v>0</v>
      </c>
      <c r="P342" s="22"/>
      <c r="Q342" s="22">
        <f t="shared" si="112"/>
        <v>0</v>
      </c>
      <c r="R342" s="25"/>
      <c r="S342" s="25">
        <f t="shared" si="113"/>
        <v>0</v>
      </c>
      <c r="T342" s="25"/>
      <c r="U342" s="25">
        <f t="shared" si="95"/>
        <v>0</v>
      </c>
      <c r="V342" s="23"/>
      <c r="W342" s="23">
        <f t="shared" si="96"/>
        <v>0</v>
      </c>
      <c r="X342" s="23"/>
      <c r="Y342" s="23">
        <f t="shared" si="97"/>
        <v>0</v>
      </c>
      <c r="Z342" s="23"/>
      <c r="AA342" s="23">
        <f t="shared" si="98"/>
        <v>0</v>
      </c>
      <c r="AB342" s="23"/>
      <c r="AC342" s="23">
        <f t="shared" si="99"/>
        <v>0</v>
      </c>
      <c r="AD342" s="23"/>
      <c r="AE342" s="23">
        <f t="shared" si="100"/>
        <v>0</v>
      </c>
      <c r="AF342" s="26"/>
      <c r="AG342" s="26">
        <f t="shared" si="101"/>
        <v>0</v>
      </c>
      <c r="AH342" s="23"/>
      <c r="AI342" s="23">
        <f t="shared" si="102"/>
        <v>0</v>
      </c>
      <c r="AJ342" s="23"/>
      <c r="AK342" s="23">
        <f t="shared" si="103"/>
        <v>0</v>
      </c>
      <c r="AL342" s="26"/>
      <c r="AM342" s="26">
        <f t="shared" si="104"/>
        <v>0</v>
      </c>
      <c r="AN342" s="12">
        <f t="shared" si="105"/>
        <v>0</v>
      </c>
      <c r="AO342" s="22">
        <f t="shared" si="106"/>
        <v>0</v>
      </c>
    </row>
    <row r="343" spans="1:41" s="31" customFormat="1" x14ac:dyDescent="0.5">
      <c r="A343" s="19">
        <v>339</v>
      </c>
      <c r="B343" s="20" t="s">
        <v>631</v>
      </c>
      <c r="C343" s="21" t="s">
        <v>513</v>
      </c>
      <c r="D343" s="16">
        <v>1016</v>
      </c>
      <c r="E343" s="16">
        <v>8</v>
      </c>
      <c r="F343" s="22">
        <v>469</v>
      </c>
      <c r="G343" s="22">
        <f t="shared" si="107"/>
        <v>14595.28</v>
      </c>
      <c r="H343" s="22">
        <v>375</v>
      </c>
      <c r="I343" s="23">
        <f t="shared" si="108"/>
        <v>12153.749999999998</v>
      </c>
      <c r="J343" s="22">
        <v>347</v>
      </c>
      <c r="K343" s="22">
        <f t="shared" si="109"/>
        <v>11454.47</v>
      </c>
      <c r="L343" s="22">
        <v>384</v>
      </c>
      <c r="M343" s="24">
        <f t="shared" si="110"/>
        <v>13486.079999999998</v>
      </c>
      <c r="N343" s="23">
        <v>402</v>
      </c>
      <c r="O343" s="23">
        <f t="shared" si="111"/>
        <v>15376.5</v>
      </c>
      <c r="P343" s="22">
        <v>417</v>
      </c>
      <c r="Q343" s="22">
        <f t="shared" si="112"/>
        <v>17514</v>
      </c>
      <c r="R343" s="25">
        <v>432</v>
      </c>
      <c r="S343" s="25">
        <f t="shared" si="113"/>
        <v>16718.400000000001</v>
      </c>
      <c r="T343" s="25">
        <v>392</v>
      </c>
      <c r="U343" s="25">
        <f t="shared" si="95"/>
        <v>13210.400000000001</v>
      </c>
      <c r="V343" s="23">
        <v>465</v>
      </c>
      <c r="W343" s="23">
        <f t="shared" si="96"/>
        <v>15251.999999999998</v>
      </c>
      <c r="X343" s="23">
        <v>431</v>
      </c>
      <c r="Y343" s="23">
        <f t="shared" si="97"/>
        <v>15149.65</v>
      </c>
      <c r="Z343" s="23">
        <v>447</v>
      </c>
      <c r="AA343" s="23">
        <f t="shared" si="98"/>
        <v>15493.019999999999</v>
      </c>
      <c r="AB343" s="23">
        <v>608</v>
      </c>
      <c r="AC343" s="23">
        <f t="shared" si="99"/>
        <v>21918.399999999998</v>
      </c>
      <c r="AD343" s="23">
        <v>536</v>
      </c>
      <c r="AE343" s="23">
        <f t="shared" si="100"/>
        <v>18781.439999999999</v>
      </c>
      <c r="AF343" s="26">
        <v>537</v>
      </c>
      <c r="AG343" s="26">
        <f t="shared" si="101"/>
        <v>18354.66</v>
      </c>
      <c r="AH343" s="23"/>
      <c r="AI343" s="23">
        <f t="shared" si="102"/>
        <v>0</v>
      </c>
      <c r="AJ343" s="23">
        <v>512</v>
      </c>
      <c r="AK343" s="23">
        <f t="shared" si="103"/>
        <v>18406.400000000001</v>
      </c>
      <c r="AL343" s="26">
        <v>631</v>
      </c>
      <c r="AM343" s="26">
        <f t="shared" si="104"/>
        <v>23138.77</v>
      </c>
      <c r="AN343" s="12">
        <f t="shared" si="105"/>
        <v>7385</v>
      </c>
      <c r="AO343" s="22">
        <f t="shared" si="106"/>
        <v>261003.21999999997</v>
      </c>
    </row>
    <row r="344" spans="1:41" x14ac:dyDescent="0.5">
      <c r="A344" s="19">
        <v>340</v>
      </c>
      <c r="B344" s="20" t="s">
        <v>632</v>
      </c>
      <c r="C344" s="21" t="s">
        <v>633</v>
      </c>
      <c r="D344" s="16">
        <v>1017</v>
      </c>
      <c r="E344" s="16">
        <v>8</v>
      </c>
      <c r="F344" s="22"/>
      <c r="G344" s="22">
        <f t="shared" si="107"/>
        <v>0</v>
      </c>
      <c r="H344" s="22"/>
      <c r="I344" s="23">
        <f t="shared" si="108"/>
        <v>0</v>
      </c>
      <c r="J344" s="22"/>
      <c r="K344" s="22">
        <f t="shared" si="109"/>
        <v>0</v>
      </c>
      <c r="L344" s="29"/>
      <c r="M344" s="24">
        <f t="shared" si="110"/>
        <v>0</v>
      </c>
      <c r="N344" s="30"/>
      <c r="O344" s="23">
        <f t="shared" si="111"/>
        <v>0</v>
      </c>
      <c r="P344" s="22"/>
      <c r="Q344" s="22">
        <f t="shared" si="112"/>
        <v>0</v>
      </c>
      <c r="R344" s="25"/>
      <c r="S344" s="25">
        <f t="shared" si="113"/>
        <v>0</v>
      </c>
      <c r="T344" s="25"/>
      <c r="U344" s="25">
        <f t="shared" si="95"/>
        <v>0</v>
      </c>
      <c r="V344" s="23"/>
      <c r="W344" s="23">
        <f t="shared" si="96"/>
        <v>0</v>
      </c>
      <c r="X344" s="23"/>
      <c r="Y344" s="23">
        <f t="shared" si="97"/>
        <v>0</v>
      </c>
      <c r="Z344" s="23"/>
      <c r="AA344" s="23">
        <f t="shared" si="98"/>
        <v>0</v>
      </c>
      <c r="AB344" s="23"/>
      <c r="AC344" s="23">
        <f t="shared" si="99"/>
        <v>0</v>
      </c>
      <c r="AD344" s="23"/>
      <c r="AE344" s="23">
        <f t="shared" si="100"/>
        <v>0</v>
      </c>
      <c r="AF344" s="26"/>
      <c r="AG344" s="26">
        <f t="shared" si="101"/>
        <v>0</v>
      </c>
      <c r="AH344" s="23"/>
      <c r="AI344" s="23">
        <f t="shared" si="102"/>
        <v>0</v>
      </c>
      <c r="AJ344" s="23"/>
      <c r="AK344" s="23">
        <f t="shared" si="103"/>
        <v>0</v>
      </c>
      <c r="AL344" s="26"/>
      <c r="AM344" s="26">
        <f t="shared" si="104"/>
        <v>0</v>
      </c>
      <c r="AN344" s="12">
        <f t="shared" si="105"/>
        <v>0</v>
      </c>
      <c r="AO344" s="22">
        <f t="shared" si="106"/>
        <v>0</v>
      </c>
    </row>
    <row r="345" spans="1:41" x14ac:dyDescent="0.5">
      <c r="A345" s="19">
        <v>341</v>
      </c>
      <c r="B345" s="20" t="s">
        <v>634</v>
      </c>
      <c r="C345" s="21" t="s">
        <v>635</v>
      </c>
      <c r="D345" s="16">
        <v>1022</v>
      </c>
      <c r="E345" s="16">
        <v>8</v>
      </c>
      <c r="F345" s="22">
        <v>236</v>
      </c>
      <c r="G345" s="22">
        <f t="shared" si="107"/>
        <v>7344.3200000000006</v>
      </c>
      <c r="H345" s="22"/>
      <c r="I345" s="23">
        <f t="shared" si="108"/>
        <v>0</v>
      </c>
      <c r="J345" s="22"/>
      <c r="K345" s="22">
        <f t="shared" si="109"/>
        <v>0</v>
      </c>
      <c r="L345" s="29"/>
      <c r="M345" s="24">
        <f t="shared" si="110"/>
        <v>0</v>
      </c>
      <c r="N345" s="30">
        <v>284</v>
      </c>
      <c r="O345" s="23">
        <f t="shared" si="111"/>
        <v>10863</v>
      </c>
      <c r="P345" s="22">
        <v>441</v>
      </c>
      <c r="Q345" s="22">
        <f t="shared" si="112"/>
        <v>18522</v>
      </c>
      <c r="R345" s="25">
        <v>382</v>
      </c>
      <c r="S345" s="25">
        <f t="shared" si="113"/>
        <v>14783.400000000001</v>
      </c>
      <c r="T345" s="25">
        <v>584</v>
      </c>
      <c r="U345" s="25">
        <f t="shared" si="95"/>
        <v>19680.800000000003</v>
      </c>
      <c r="V345" s="23">
        <v>472</v>
      </c>
      <c r="W345" s="23">
        <f t="shared" si="96"/>
        <v>15481.599999999999</v>
      </c>
      <c r="X345" s="23">
        <v>525</v>
      </c>
      <c r="Y345" s="23">
        <f t="shared" si="97"/>
        <v>18453.75</v>
      </c>
      <c r="Z345" s="23">
        <v>468</v>
      </c>
      <c r="AA345" s="23">
        <f t="shared" si="98"/>
        <v>16220.88</v>
      </c>
      <c r="AB345" s="23">
        <v>388</v>
      </c>
      <c r="AC345" s="23">
        <f t="shared" si="99"/>
        <v>13987.4</v>
      </c>
      <c r="AD345" s="23">
        <v>515</v>
      </c>
      <c r="AE345" s="23">
        <f t="shared" si="100"/>
        <v>18045.599999999999</v>
      </c>
      <c r="AF345" s="26">
        <v>537</v>
      </c>
      <c r="AG345" s="26">
        <f t="shared" si="101"/>
        <v>18354.66</v>
      </c>
      <c r="AH345" s="23">
        <v>326</v>
      </c>
      <c r="AI345" s="23">
        <f t="shared" si="102"/>
        <v>10855.8</v>
      </c>
      <c r="AJ345" s="23">
        <v>492</v>
      </c>
      <c r="AK345" s="23">
        <f t="shared" si="103"/>
        <v>17687.400000000001</v>
      </c>
      <c r="AL345" s="26">
        <v>465</v>
      </c>
      <c r="AM345" s="26">
        <f t="shared" si="104"/>
        <v>17051.55</v>
      </c>
      <c r="AN345" s="12">
        <f t="shared" si="105"/>
        <v>6115</v>
      </c>
      <c r="AO345" s="22">
        <f t="shared" si="106"/>
        <v>217332.15999999997</v>
      </c>
    </row>
    <row r="346" spans="1:41" x14ac:dyDescent="0.5">
      <c r="A346" s="19">
        <v>342</v>
      </c>
      <c r="B346" s="20" t="s">
        <v>636</v>
      </c>
      <c r="C346" s="21" t="s">
        <v>637</v>
      </c>
      <c r="D346" s="16">
        <v>1025</v>
      </c>
      <c r="E346" s="16">
        <v>8</v>
      </c>
      <c r="F346" s="22">
        <v>713</v>
      </c>
      <c r="G346" s="22">
        <f t="shared" si="107"/>
        <v>22188.560000000001</v>
      </c>
      <c r="H346" s="22">
        <v>526</v>
      </c>
      <c r="I346" s="23">
        <f t="shared" si="108"/>
        <v>17047.66</v>
      </c>
      <c r="J346" s="22">
        <v>728</v>
      </c>
      <c r="K346" s="22">
        <f t="shared" si="109"/>
        <v>24031.279999999999</v>
      </c>
      <c r="L346" s="29">
        <v>513</v>
      </c>
      <c r="M346" s="24">
        <f t="shared" si="110"/>
        <v>18016.559999999998</v>
      </c>
      <c r="N346" s="30">
        <v>764</v>
      </c>
      <c r="O346" s="23">
        <f t="shared" si="111"/>
        <v>29223</v>
      </c>
      <c r="P346" s="22">
        <v>948</v>
      </c>
      <c r="Q346" s="22">
        <f t="shared" si="112"/>
        <v>39816</v>
      </c>
      <c r="R346" s="25">
        <v>984</v>
      </c>
      <c r="S346" s="25">
        <f t="shared" si="113"/>
        <v>38080.800000000003</v>
      </c>
      <c r="T346" s="25">
        <v>1097</v>
      </c>
      <c r="U346" s="25">
        <f t="shared" si="95"/>
        <v>36968.9</v>
      </c>
      <c r="V346" s="23">
        <v>987</v>
      </c>
      <c r="W346" s="23">
        <f t="shared" si="96"/>
        <v>32373.599999999999</v>
      </c>
      <c r="X346" s="23">
        <v>1020</v>
      </c>
      <c r="Y346" s="23">
        <f t="shared" si="97"/>
        <v>35853</v>
      </c>
      <c r="Z346" s="23">
        <v>872</v>
      </c>
      <c r="AA346" s="23">
        <f t="shared" si="98"/>
        <v>30223.519999999997</v>
      </c>
      <c r="AB346" s="23">
        <v>789</v>
      </c>
      <c r="AC346" s="23">
        <f t="shared" si="99"/>
        <v>28443.449999999997</v>
      </c>
      <c r="AD346" s="23">
        <v>1078</v>
      </c>
      <c r="AE346" s="23">
        <f t="shared" si="100"/>
        <v>37773.120000000003</v>
      </c>
      <c r="AF346" s="26">
        <v>979</v>
      </c>
      <c r="AG346" s="26">
        <f t="shared" si="101"/>
        <v>33462.22</v>
      </c>
      <c r="AH346" s="23">
        <v>894</v>
      </c>
      <c r="AI346" s="23">
        <f t="shared" si="102"/>
        <v>29770.199999999997</v>
      </c>
      <c r="AJ346" s="23">
        <v>1443</v>
      </c>
      <c r="AK346" s="23">
        <f t="shared" si="103"/>
        <v>51875.850000000006</v>
      </c>
      <c r="AL346" s="26">
        <v>1190</v>
      </c>
      <c r="AM346" s="26">
        <f t="shared" si="104"/>
        <v>43637.3</v>
      </c>
      <c r="AN346" s="12">
        <f t="shared" si="105"/>
        <v>15525</v>
      </c>
      <c r="AO346" s="22">
        <f t="shared" si="106"/>
        <v>548785.02000000014</v>
      </c>
    </row>
    <row r="347" spans="1:41" x14ac:dyDescent="0.5">
      <c r="A347" s="19">
        <v>343</v>
      </c>
      <c r="B347" s="20" t="s">
        <v>638</v>
      </c>
      <c r="C347" s="21" t="s">
        <v>527</v>
      </c>
      <c r="D347" s="16">
        <v>1026</v>
      </c>
      <c r="E347" s="16">
        <v>8</v>
      </c>
      <c r="F347" s="22">
        <v>412</v>
      </c>
      <c r="G347" s="22">
        <f t="shared" si="107"/>
        <v>12821.44</v>
      </c>
      <c r="H347" s="22"/>
      <c r="I347" s="23">
        <f t="shared" si="108"/>
        <v>0</v>
      </c>
      <c r="J347" s="22"/>
      <c r="K347" s="22">
        <f t="shared" si="109"/>
        <v>0</v>
      </c>
      <c r="L347" s="29"/>
      <c r="M347" s="24">
        <f t="shared" si="110"/>
        <v>0</v>
      </c>
      <c r="N347" s="30">
        <v>309</v>
      </c>
      <c r="O347" s="23">
        <f t="shared" si="111"/>
        <v>11819.25</v>
      </c>
      <c r="P347" s="22">
        <v>525</v>
      </c>
      <c r="Q347" s="22">
        <f t="shared" si="112"/>
        <v>22050</v>
      </c>
      <c r="R347" s="25">
        <v>646</v>
      </c>
      <c r="S347" s="25">
        <f t="shared" si="113"/>
        <v>25000.2</v>
      </c>
      <c r="T347" s="25">
        <v>196</v>
      </c>
      <c r="U347" s="25">
        <f t="shared" si="95"/>
        <v>6605.2000000000007</v>
      </c>
      <c r="V347" s="23">
        <v>900</v>
      </c>
      <c r="W347" s="23">
        <f t="shared" si="96"/>
        <v>29519.999999999996</v>
      </c>
      <c r="X347" s="23">
        <v>1143</v>
      </c>
      <c r="Y347" s="23">
        <f t="shared" si="97"/>
        <v>40176.449999999997</v>
      </c>
      <c r="Z347" s="23">
        <v>282</v>
      </c>
      <c r="AA347" s="23">
        <f t="shared" si="98"/>
        <v>9774.119999999999</v>
      </c>
      <c r="AB347" s="23"/>
      <c r="AC347" s="23">
        <f t="shared" si="99"/>
        <v>0</v>
      </c>
      <c r="AD347" s="23">
        <v>1140</v>
      </c>
      <c r="AE347" s="23">
        <f t="shared" si="100"/>
        <v>39945.599999999999</v>
      </c>
      <c r="AF347" s="26">
        <v>342</v>
      </c>
      <c r="AG347" s="26">
        <f t="shared" si="101"/>
        <v>11689.56</v>
      </c>
      <c r="AH347" s="23">
        <v>1243</v>
      </c>
      <c r="AI347" s="23">
        <f t="shared" si="102"/>
        <v>41391.899999999994</v>
      </c>
      <c r="AJ347" s="23">
        <v>1629</v>
      </c>
      <c r="AK347" s="23">
        <f t="shared" si="103"/>
        <v>58562.55</v>
      </c>
      <c r="AL347" s="26">
        <v>1641</v>
      </c>
      <c r="AM347" s="26">
        <f t="shared" si="104"/>
        <v>60175.47</v>
      </c>
      <c r="AN347" s="12">
        <f t="shared" si="105"/>
        <v>10408</v>
      </c>
      <c r="AO347" s="22">
        <f t="shared" si="106"/>
        <v>369531.74</v>
      </c>
    </row>
    <row r="348" spans="1:41" x14ac:dyDescent="0.5">
      <c r="A348" s="19">
        <v>344</v>
      </c>
      <c r="B348" s="20" t="s">
        <v>448</v>
      </c>
      <c r="C348" s="21" t="s">
        <v>639</v>
      </c>
      <c r="D348" s="16">
        <v>1032</v>
      </c>
      <c r="E348" s="16">
        <v>8</v>
      </c>
      <c r="F348" s="22">
        <v>469</v>
      </c>
      <c r="G348" s="22">
        <f t="shared" si="107"/>
        <v>14595.28</v>
      </c>
      <c r="H348" s="22">
        <v>306</v>
      </c>
      <c r="I348" s="23">
        <f t="shared" si="108"/>
        <v>9917.4599999999991</v>
      </c>
      <c r="J348" s="22"/>
      <c r="K348" s="22">
        <f t="shared" si="109"/>
        <v>0</v>
      </c>
      <c r="L348" s="29"/>
      <c r="M348" s="24">
        <f t="shared" si="110"/>
        <v>0</v>
      </c>
      <c r="N348" s="30">
        <v>299</v>
      </c>
      <c r="O348" s="23">
        <f t="shared" si="111"/>
        <v>11436.75</v>
      </c>
      <c r="P348" s="22">
        <v>348</v>
      </c>
      <c r="Q348" s="22">
        <f t="shared" si="112"/>
        <v>14616</v>
      </c>
      <c r="R348" s="25">
        <v>336</v>
      </c>
      <c r="S348" s="25">
        <f t="shared" si="113"/>
        <v>13003.2</v>
      </c>
      <c r="T348" s="25">
        <v>391</v>
      </c>
      <c r="U348" s="25">
        <f t="shared" si="95"/>
        <v>13176.7</v>
      </c>
      <c r="V348" s="23">
        <v>456</v>
      </c>
      <c r="W348" s="23">
        <f t="shared" si="96"/>
        <v>14956.8</v>
      </c>
      <c r="X348" s="23">
        <v>406</v>
      </c>
      <c r="Y348" s="23">
        <f t="shared" si="97"/>
        <v>14270.9</v>
      </c>
      <c r="Z348" s="23">
        <v>280</v>
      </c>
      <c r="AA348" s="23">
        <f t="shared" si="98"/>
        <v>9704.7999999999993</v>
      </c>
      <c r="AB348" s="23">
        <v>320</v>
      </c>
      <c r="AC348" s="23">
        <f t="shared" si="99"/>
        <v>11536</v>
      </c>
      <c r="AD348" s="23">
        <v>452</v>
      </c>
      <c r="AE348" s="23">
        <f t="shared" si="100"/>
        <v>15838.08</v>
      </c>
      <c r="AF348" s="26">
        <v>459</v>
      </c>
      <c r="AG348" s="26">
        <f t="shared" si="101"/>
        <v>15688.619999999999</v>
      </c>
      <c r="AH348" s="23">
        <v>410</v>
      </c>
      <c r="AI348" s="23">
        <f t="shared" si="102"/>
        <v>13652.999999999998</v>
      </c>
      <c r="AJ348" s="23">
        <v>467</v>
      </c>
      <c r="AK348" s="23">
        <f t="shared" si="103"/>
        <v>16788.650000000001</v>
      </c>
      <c r="AL348" s="26">
        <v>514</v>
      </c>
      <c r="AM348" s="26">
        <f t="shared" si="104"/>
        <v>18848.38</v>
      </c>
      <c r="AN348" s="12">
        <f t="shared" si="105"/>
        <v>5913</v>
      </c>
      <c r="AO348" s="22">
        <f t="shared" si="106"/>
        <v>208030.62</v>
      </c>
    </row>
    <row r="349" spans="1:41" x14ac:dyDescent="0.5">
      <c r="A349" s="19">
        <v>345</v>
      </c>
      <c r="B349" s="20" t="s">
        <v>640</v>
      </c>
      <c r="C349" s="21" t="s">
        <v>641</v>
      </c>
      <c r="D349" s="16">
        <v>1033</v>
      </c>
      <c r="E349" s="16">
        <v>8</v>
      </c>
      <c r="F349" s="22">
        <v>428</v>
      </c>
      <c r="G349" s="22">
        <f t="shared" si="107"/>
        <v>13319.36</v>
      </c>
      <c r="H349" s="22">
        <v>192</v>
      </c>
      <c r="I349" s="23">
        <f t="shared" si="108"/>
        <v>6222.7199999999993</v>
      </c>
      <c r="J349" s="22"/>
      <c r="K349" s="22">
        <f t="shared" si="109"/>
        <v>0</v>
      </c>
      <c r="L349" s="29"/>
      <c r="M349" s="24">
        <f t="shared" si="110"/>
        <v>0</v>
      </c>
      <c r="N349" s="30"/>
      <c r="O349" s="23">
        <f t="shared" si="111"/>
        <v>0</v>
      </c>
      <c r="P349" s="22"/>
      <c r="Q349" s="22">
        <f t="shared" si="112"/>
        <v>0</v>
      </c>
      <c r="R349" s="25"/>
      <c r="S349" s="25">
        <f t="shared" si="113"/>
        <v>0</v>
      </c>
      <c r="T349" s="25"/>
      <c r="U349" s="25">
        <f t="shared" si="95"/>
        <v>0</v>
      </c>
      <c r="V349" s="23">
        <v>636</v>
      </c>
      <c r="W349" s="23">
        <f t="shared" si="96"/>
        <v>20860.8</v>
      </c>
      <c r="X349" s="23">
        <v>389</v>
      </c>
      <c r="Y349" s="23">
        <f t="shared" si="97"/>
        <v>13673.349999999999</v>
      </c>
      <c r="Z349" s="23">
        <v>442</v>
      </c>
      <c r="AA349" s="23">
        <f t="shared" si="98"/>
        <v>15319.72</v>
      </c>
      <c r="AB349" s="23">
        <v>321</v>
      </c>
      <c r="AC349" s="23">
        <f t="shared" si="99"/>
        <v>11572.05</v>
      </c>
      <c r="AD349" s="23">
        <v>434</v>
      </c>
      <c r="AE349" s="23">
        <f t="shared" si="100"/>
        <v>15207.359999999999</v>
      </c>
      <c r="AF349" s="26">
        <v>544</v>
      </c>
      <c r="AG349" s="26">
        <f t="shared" si="101"/>
        <v>18593.919999999998</v>
      </c>
      <c r="AH349" s="23">
        <v>426</v>
      </c>
      <c r="AI349" s="23">
        <f t="shared" si="102"/>
        <v>14185.8</v>
      </c>
      <c r="AJ349" s="23">
        <v>487</v>
      </c>
      <c r="AK349" s="23">
        <f t="shared" si="103"/>
        <v>17507.650000000001</v>
      </c>
      <c r="AL349" s="26">
        <v>481</v>
      </c>
      <c r="AM349" s="26">
        <f t="shared" si="104"/>
        <v>17638.27</v>
      </c>
      <c r="AN349" s="12">
        <f t="shared" si="105"/>
        <v>4780</v>
      </c>
      <c r="AO349" s="22">
        <f t="shared" si="106"/>
        <v>164101</v>
      </c>
    </row>
    <row r="350" spans="1:41" x14ac:dyDescent="0.5">
      <c r="A350" s="19">
        <v>346</v>
      </c>
      <c r="B350" s="20" t="s">
        <v>544</v>
      </c>
      <c r="C350" s="21" t="s">
        <v>642</v>
      </c>
      <c r="D350" s="16">
        <v>1037</v>
      </c>
      <c r="E350" s="16">
        <v>8</v>
      </c>
      <c r="F350" s="22">
        <v>1240</v>
      </c>
      <c r="G350" s="22">
        <f t="shared" si="107"/>
        <v>38588.800000000003</v>
      </c>
      <c r="H350" s="22">
        <v>690</v>
      </c>
      <c r="I350" s="23">
        <f t="shared" si="108"/>
        <v>22362.899999999998</v>
      </c>
      <c r="J350" s="22">
        <v>813</v>
      </c>
      <c r="K350" s="22">
        <f t="shared" si="109"/>
        <v>26837.129999999997</v>
      </c>
      <c r="L350" s="29">
        <v>576</v>
      </c>
      <c r="M350" s="24">
        <f t="shared" si="110"/>
        <v>20229.12</v>
      </c>
      <c r="N350" s="30">
        <v>379</v>
      </c>
      <c r="O350" s="23">
        <f t="shared" si="111"/>
        <v>14496.75</v>
      </c>
      <c r="P350" s="22">
        <v>968</v>
      </c>
      <c r="Q350" s="22">
        <f t="shared" si="112"/>
        <v>40656</v>
      </c>
      <c r="R350" s="25">
        <v>1870</v>
      </c>
      <c r="S350" s="25">
        <f t="shared" si="113"/>
        <v>72369</v>
      </c>
      <c r="T350" s="25">
        <v>1764</v>
      </c>
      <c r="U350" s="25">
        <f t="shared" si="95"/>
        <v>59446.8</v>
      </c>
      <c r="V350" s="23">
        <v>1826</v>
      </c>
      <c r="W350" s="23">
        <f t="shared" si="96"/>
        <v>59892.799999999996</v>
      </c>
      <c r="X350" s="23">
        <v>1781</v>
      </c>
      <c r="Y350" s="23">
        <f t="shared" si="97"/>
        <v>62602.149999999994</v>
      </c>
      <c r="Z350" s="23">
        <v>1255</v>
      </c>
      <c r="AA350" s="23">
        <f t="shared" si="98"/>
        <v>43498.299999999996</v>
      </c>
      <c r="AB350" s="23">
        <v>1378</v>
      </c>
      <c r="AC350" s="23">
        <f t="shared" si="99"/>
        <v>49676.899999999994</v>
      </c>
      <c r="AD350" s="23">
        <v>1550</v>
      </c>
      <c r="AE350" s="23">
        <f t="shared" si="100"/>
        <v>54312</v>
      </c>
      <c r="AF350" s="26">
        <v>1835</v>
      </c>
      <c r="AG350" s="26">
        <f t="shared" si="101"/>
        <v>62720.3</v>
      </c>
      <c r="AH350" s="23">
        <v>1316</v>
      </c>
      <c r="AI350" s="23">
        <f t="shared" si="102"/>
        <v>43822.799999999996</v>
      </c>
      <c r="AJ350" s="23">
        <v>1622</v>
      </c>
      <c r="AK350" s="23">
        <f t="shared" si="103"/>
        <v>58310.9</v>
      </c>
      <c r="AL350" s="26">
        <v>1618</v>
      </c>
      <c r="AM350" s="26">
        <f t="shared" si="104"/>
        <v>59332.060000000005</v>
      </c>
      <c r="AN350" s="12">
        <f t="shared" si="105"/>
        <v>22481</v>
      </c>
      <c r="AO350" s="22">
        <f t="shared" si="106"/>
        <v>789154.71000000008</v>
      </c>
    </row>
    <row r="351" spans="1:41" x14ac:dyDescent="0.5">
      <c r="A351" s="19">
        <v>347</v>
      </c>
      <c r="B351" s="20" t="s">
        <v>643</v>
      </c>
      <c r="C351" s="21" t="s">
        <v>637</v>
      </c>
      <c r="D351" s="16">
        <v>1041</v>
      </c>
      <c r="E351" s="16">
        <v>8</v>
      </c>
      <c r="F351" s="22"/>
      <c r="G351" s="22">
        <f t="shared" si="107"/>
        <v>0</v>
      </c>
      <c r="H351" s="22"/>
      <c r="I351" s="23">
        <f t="shared" si="108"/>
        <v>0</v>
      </c>
      <c r="J351" s="22"/>
      <c r="K351" s="22">
        <f t="shared" si="109"/>
        <v>0</v>
      </c>
      <c r="L351" s="29"/>
      <c r="M351" s="24">
        <f t="shared" si="110"/>
        <v>0</v>
      </c>
      <c r="N351" s="30">
        <v>283</v>
      </c>
      <c r="O351" s="23">
        <f t="shared" si="111"/>
        <v>10824.75</v>
      </c>
      <c r="P351" s="22">
        <v>324</v>
      </c>
      <c r="Q351" s="22">
        <f t="shared" si="112"/>
        <v>13608</v>
      </c>
      <c r="R351" s="25">
        <v>267</v>
      </c>
      <c r="S351" s="25">
        <f t="shared" si="113"/>
        <v>10332.900000000001</v>
      </c>
      <c r="T351" s="25"/>
      <c r="U351" s="25">
        <f t="shared" si="95"/>
        <v>0</v>
      </c>
      <c r="V351" s="23"/>
      <c r="W351" s="23">
        <f t="shared" si="96"/>
        <v>0</v>
      </c>
      <c r="X351" s="23"/>
      <c r="Y351" s="23">
        <f t="shared" si="97"/>
        <v>0</v>
      </c>
      <c r="Z351" s="23">
        <v>425</v>
      </c>
      <c r="AA351" s="23">
        <f t="shared" si="98"/>
        <v>14730.499999999998</v>
      </c>
      <c r="AB351" s="23"/>
      <c r="AC351" s="23">
        <f t="shared" si="99"/>
        <v>0</v>
      </c>
      <c r="AD351" s="23">
        <v>344</v>
      </c>
      <c r="AE351" s="23">
        <f t="shared" si="100"/>
        <v>12053.76</v>
      </c>
      <c r="AF351" s="26"/>
      <c r="AG351" s="26">
        <f t="shared" si="101"/>
        <v>0</v>
      </c>
      <c r="AH351" s="23"/>
      <c r="AI351" s="23">
        <f t="shared" si="102"/>
        <v>0</v>
      </c>
      <c r="AJ351" s="23">
        <v>412</v>
      </c>
      <c r="AK351" s="23">
        <f t="shared" si="103"/>
        <v>14811.400000000001</v>
      </c>
      <c r="AL351" s="26">
        <v>407</v>
      </c>
      <c r="AM351" s="26">
        <f t="shared" si="104"/>
        <v>14924.69</v>
      </c>
      <c r="AN351" s="12">
        <f t="shared" si="105"/>
        <v>2462</v>
      </c>
      <c r="AO351" s="22">
        <f t="shared" si="106"/>
        <v>91286</v>
      </c>
    </row>
    <row r="352" spans="1:41" x14ac:dyDescent="0.5">
      <c r="A352" s="19">
        <v>348</v>
      </c>
      <c r="B352" s="20" t="s">
        <v>644</v>
      </c>
      <c r="C352" s="21" t="s">
        <v>645</v>
      </c>
      <c r="D352" s="16">
        <v>1059</v>
      </c>
      <c r="E352" s="16">
        <v>8</v>
      </c>
      <c r="F352" s="22">
        <v>1243</v>
      </c>
      <c r="G352" s="22">
        <f t="shared" si="107"/>
        <v>38682.160000000003</v>
      </c>
      <c r="H352" s="22">
        <v>648</v>
      </c>
      <c r="I352" s="23">
        <f t="shared" si="108"/>
        <v>21001.679999999997</v>
      </c>
      <c r="J352" s="22">
        <v>593</v>
      </c>
      <c r="K352" s="22">
        <f t="shared" si="109"/>
        <v>19574.93</v>
      </c>
      <c r="L352" s="29">
        <v>515</v>
      </c>
      <c r="M352" s="24">
        <f t="shared" si="110"/>
        <v>18086.8</v>
      </c>
      <c r="N352" s="30"/>
      <c r="O352" s="23">
        <f t="shared" si="111"/>
        <v>0</v>
      </c>
      <c r="P352" s="22">
        <v>539</v>
      </c>
      <c r="Q352" s="22">
        <f t="shared" si="112"/>
        <v>22638</v>
      </c>
      <c r="R352" s="25">
        <v>713</v>
      </c>
      <c r="S352" s="25">
        <f t="shared" si="113"/>
        <v>27593.100000000002</v>
      </c>
      <c r="T352" s="25">
        <v>927</v>
      </c>
      <c r="U352" s="25">
        <f t="shared" si="95"/>
        <v>31239.9</v>
      </c>
      <c r="V352" s="23">
        <v>941</v>
      </c>
      <c r="W352" s="23">
        <f t="shared" si="96"/>
        <v>30864.799999999996</v>
      </c>
      <c r="X352" s="23">
        <v>1360</v>
      </c>
      <c r="Y352" s="23">
        <f t="shared" si="97"/>
        <v>47804</v>
      </c>
      <c r="Z352" s="23">
        <v>200</v>
      </c>
      <c r="AA352" s="23">
        <f t="shared" si="98"/>
        <v>6931.9999999999991</v>
      </c>
      <c r="AB352" s="23">
        <v>1369</v>
      </c>
      <c r="AC352" s="23">
        <f t="shared" si="99"/>
        <v>49352.45</v>
      </c>
      <c r="AD352" s="23">
        <v>1337</v>
      </c>
      <c r="AE352" s="23">
        <f t="shared" si="100"/>
        <v>46848.479999999996</v>
      </c>
      <c r="AF352" s="26">
        <v>1335</v>
      </c>
      <c r="AG352" s="26">
        <f t="shared" si="101"/>
        <v>45630.3</v>
      </c>
      <c r="AH352" s="23">
        <v>1288</v>
      </c>
      <c r="AI352" s="23">
        <f t="shared" si="102"/>
        <v>42890.399999999994</v>
      </c>
      <c r="AJ352" s="23">
        <v>1600</v>
      </c>
      <c r="AK352" s="23">
        <f t="shared" si="103"/>
        <v>57520.000000000007</v>
      </c>
      <c r="AL352" s="26">
        <v>1534</v>
      </c>
      <c r="AM352" s="26">
        <f t="shared" si="104"/>
        <v>56251.780000000006</v>
      </c>
      <c r="AN352" s="12">
        <f t="shared" si="105"/>
        <v>16142</v>
      </c>
      <c r="AO352" s="22">
        <f t="shared" si="106"/>
        <v>562910.77999999991</v>
      </c>
    </row>
    <row r="353" spans="1:41" x14ac:dyDescent="0.5">
      <c r="A353" s="19">
        <v>349</v>
      </c>
      <c r="B353" s="20" t="s">
        <v>646</v>
      </c>
      <c r="C353" s="21" t="s">
        <v>506</v>
      </c>
      <c r="D353" s="16">
        <v>1067</v>
      </c>
      <c r="E353" s="16">
        <v>8</v>
      </c>
      <c r="F353" s="22">
        <v>2516</v>
      </c>
      <c r="G353" s="22">
        <f t="shared" si="107"/>
        <v>78297.919999999998</v>
      </c>
      <c r="H353" s="22">
        <v>1469</v>
      </c>
      <c r="I353" s="23">
        <f t="shared" si="108"/>
        <v>47610.289999999994</v>
      </c>
      <c r="J353" s="22">
        <v>459</v>
      </c>
      <c r="K353" s="22">
        <f t="shared" si="109"/>
        <v>15151.589999999998</v>
      </c>
      <c r="L353" s="29"/>
      <c r="M353" s="24">
        <f t="shared" si="110"/>
        <v>0</v>
      </c>
      <c r="N353" s="30">
        <v>1292</v>
      </c>
      <c r="O353" s="23">
        <f t="shared" si="111"/>
        <v>49419</v>
      </c>
      <c r="P353" s="22">
        <v>1406</v>
      </c>
      <c r="Q353" s="22">
        <f t="shared" si="112"/>
        <v>59052</v>
      </c>
      <c r="R353" s="25">
        <v>2766</v>
      </c>
      <c r="S353" s="25">
        <f t="shared" si="113"/>
        <v>107044.20000000001</v>
      </c>
      <c r="T353" s="25">
        <v>3213</v>
      </c>
      <c r="U353" s="25">
        <f t="shared" si="95"/>
        <v>108278.1</v>
      </c>
      <c r="V353" s="23">
        <v>2655</v>
      </c>
      <c r="W353" s="23">
        <f t="shared" si="96"/>
        <v>87083.999999999985</v>
      </c>
      <c r="X353" s="23">
        <v>3220</v>
      </c>
      <c r="Y353" s="23">
        <f t="shared" si="97"/>
        <v>113183</v>
      </c>
      <c r="Z353" s="23">
        <v>2885</v>
      </c>
      <c r="AA353" s="23">
        <f t="shared" si="98"/>
        <v>99994.099999999991</v>
      </c>
      <c r="AB353" s="23">
        <v>1368</v>
      </c>
      <c r="AC353" s="23">
        <f t="shared" si="99"/>
        <v>49316.399999999994</v>
      </c>
      <c r="AD353" s="23">
        <v>3363</v>
      </c>
      <c r="AE353" s="23">
        <f t="shared" si="100"/>
        <v>117839.52</v>
      </c>
      <c r="AF353" s="26">
        <v>3028</v>
      </c>
      <c r="AG353" s="26">
        <f t="shared" si="101"/>
        <v>103497.04</v>
      </c>
      <c r="AH353" s="23">
        <v>3298</v>
      </c>
      <c r="AI353" s="23">
        <f t="shared" si="102"/>
        <v>109823.4</v>
      </c>
      <c r="AJ353" s="23">
        <v>3500</v>
      </c>
      <c r="AK353" s="23">
        <f t="shared" si="103"/>
        <v>125825.00000000001</v>
      </c>
      <c r="AL353" s="26">
        <v>3626</v>
      </c>
      <c r="AM353" s="26">
        <f t="shared" si="104"/>
        <v>132965.42000000001</v>
      </c>
      <c r="AN353" s="12">
        <f t="shared" si="105"/>
        <v>40064</v>
      </c>
      <c r="AO353" s="22">
        <f t="shared" si="106"/>
        <v>1404380.98</v>
      </c>
    </row>
    <row r="354" spans="1:41" x14ac:dyDescent="0.5">
      <c r="A354" s="19">
        <v>350</v>
      </c>
      <c r="B354" s="20" t="s">
        <v>647</v>
      </c>
      <c r="C354" s="21" t="s">
        <v>648</v>
      </c>
      <c r="D354" s="16">
        <v>1073</v>
      </c>
      <c r="E354" s="16">
        <v>8</v>
      </c>
      <c r="F354" s="22"/>
      <c r="G354" s="22">
        <f t="shared" si="107"/>
        <v>0</v>
      </c>
      <c r="H354" s="22"/>
      <c r="I354" s="23">
        <f t="shared" si="108"/>
        <v>0</v>
      </c>
      <c r="J354" s="22"/>
      <c r="K354" s="22">
        <f t="shared" si="109"/>
        <v>0</v>
      </c>
      <c r="L354" s="29"/>
      <c r="M354" s="24">
        <f t="shared" si="110"/>
        <v>0</v>
      </c>
      <c r="N354" s="30"/>
      <c r="O354" s="23">
        <f t="shared" si="111"/>
        <v>0</v>
      </c>
      <c r="P354" s="22">
        <v>312</v>
      </c>
      <c r="Q354" s="22">
        <f t="shared" si="112"/>
        <v>13104</v>
      </c>
      <c r="R354" s="25">
        <v>209</v>
      </c>
      <c r="S354" s="25">
        <f t="shared" si="113"/>
        <v>8088.3</v>
      </c>
      <c r="T354" s="25">
        <v>290</v>
      </c>
      <c r="U354" s="25">
        <f t="shared" si="95"/>
        <v>9773</v>
      </c>
      <c r="V354" s="23">
        <v>276</v>
      </c>
      <c r="W354" s="23">
        <f t="shared" si="96"/>
        <v>9052.7999999999993</v>
      </c>
      <c r="X354" s="23">
        <v>353</v>
      </c>
      <c r="Y354" s="23">
        <f t="shared" si="97"/>
        <v>12407.949999999999</v>
      </c>
      <c r="Z354" s="23">
        <v>229</v>
      </c>
      <c r="AA354" s="23">
        <f t="shared" si="98"/>
        <v>7937.1399999999994</v>
      </c>
      <c r="AB354" s="23">
        <v>235</v>
      </c>
      <c r="AC354" s="23">
        <f t="shared" si="99"/>
        <v>8471.75</v>
      </c>
      <c r="AD354" s="23">
        <v>278</v>
      </c>
      <c r="AE354" s="23">
        <f t="shared" si="100"/>
        <v>9741.119999999999</v>
      </c>
      <c r="AF354" s="26">
        <v>333</v>
      </c>
      <c r="AG354" s="26">
        <f t="shared" si="101"/>
        <v>11381.94</v>
      </c>
      <c r="AH354" s="23">
        <v>317</v>
      </c>
      <c r="AI354" s="23">
        <f t="shared" si="102"/>
        <v>10556.099999999999</v>
      </c>
      <c r="AJ354" s="23">
        <v>289</v>
      </c>
      <c r="AK354" s="23">
        <f t="shared" si="103"/>
        <v>10389.550000000001</v>
      </c>
      <c r="AL354" s="26">
        <v>292</v>
      </c>
      <c r="AM354" s="26">
        <f t="shared" si="104"/>
        <v>10707.640000000001</v>
      </c>
      <c r="AN354" s="12">
        <f t="shared" si="105"/>
        <v>3413</v>
      </c>
      <c r="AO354" s="22">
        <f t="shared" si="106"/>
        <v>121611.29000000001</v>
      </c>
    </row>
    <row r="355" spans="1:41" x14ac:dyDescent="0.5">
      <c r="A355" s="19">
        <v>351</v>
      </c>
      <c r="B355" s="20" t="s">
        <v>649</v>
      </c>
      <c r="C355" s="21" t="s">
        <v>595</v>
      </c>
      <c r="D355" s="16">
        <v>1078</v>
      </c>
      <c r="E355" s="16">
        <v>8</v>
      </c>
      <c r="F355" s="22">
        <v>692</v>
      </c>
      <c r="G355" s="22">
        <f t="shared" si="107"/>
        <v>21535.040000000001</v>
      </c>
      <c r="H355" s="22">
        <v>299</v>
      </c>
      <c r="I355" s="23">
        <f t="shared" si="108"/>
        <v>9690.5899999999983</v>
      </c>
      <c r="J355" s="22"/>
      <c r="K355" s="22">
        <f t="shared" si="109"/>
        <v>0</v>
      </c>
      <c r="L355" s="29"/>
      <c r="M355" s="24">
        <f t="shared" si="110"/>
        <v>0</v>
      </c>
      <c r="N355" s="30"/>
      <c r="O355" s="23">
        <f t="shared" si="111"/>
        <v>0</v>
      </c>
      <c r="P355" s="22">
        <v>788</v>
      </c>
      <c r="Q355" s="22">
        <f t="shared" si="112"/>
        <v>33096</v>
      </c>
      <c r="R355" s="25">
        <v>394</v>
      </c>
      <c r="S355" s="25">
        <f t="shared" si="113"/>
        <v>15247.800000000001</v>
      </c>
      <c r="T355" s="25">
        <v>732</v>
      </c>
      <c r="U355" s="25">
        <f t="shared" si="95"/>
        <v>24668.400000000001</v>
      </c>
      <c r="V355" s="23">
        <v>567</v>
      </c>
      <c r="W355" s="23">
        <f t="shared" si="96"/>
        <v>18597.599999999999</v>
      </c>
      <c r="X355" s="23">
        <v>805</v>
      </c>
      <c r="Y355" s="23">
        <f t="shared" si="97"/>
        <v>28295.75</v>
      </c>
      <c r="Z355" s="23">
        <v>687</v>
      </c>
      <c r="AA355" s="23">
        <f t="shared" si="98"/>
        <v>23811.42</v>
      </c>
      <c r="AB355" s="23">
        <v>534</v>
      </c>
      <c r="AC355" s="23">
        <f t="shared" si="99"/>
        <v>19250.699999999997</v>
      </c>
      <c r="AD355" s="23">
        <v>556</v>
      </c>
      <c r="AE355" s="23">
        <f t="shared" si="100"/>
        <v>19482.239999999998</v>
      </c>
      <c r="AF355" s="26">
        <v>535</v>
      </c>
      <c r="AG355" s="26">
        <f t="shared" si="101"/>
        <v>18286.3</v>
      </c>
      <c r="AH355" s="23">
        <v>451</v>
      </c>
      <c r="AI355" s="23">
        <f t="shared" si="102"/>
        <v>15018.3</v>
      </c>
      <c r="AJ355" s="23">
        <v>631</v>
      </c>
      <c r="AK355" s="23">
        <f t="shared" si="103"/>
        <v>22684.45</v>
      </c>
      <c r="AL355" s="26">
        <v>733</v>
      </c>
      <c r="AM355" s="26">
        <f t="shared" si="104"/>
        <v>26879.11</v>
      </c>
      <c r="AN355" s="12">
        <f t="shared" si="105"/>
        <v>8404</v>
      </c>
      <c r="AO355" s="22">
        <f t="shared" si="106"/>
        <v>296543.69999999995</v>
      </c>
    </row>
    <row r="356" spans="1:41" x14ac:dyDescent="0.5">
      <c r="A356" s="19">
        <v>352</v>
      </c>
      <c r="B356" s="20" t="s">
        <v>650</v>
      </c>
      <c r="C356" s="21" t="s">
        <v>645</v>
      </c>
      <c r="D356" s="16">
        <v>1082</v>
      </c>
      <c r="E356" s="16">
        <v>8</v>
      </c>
      <c r="F356" s="22">
        <v>478</v>
      </c>
      <c r="G356" s="22">
        <f t="shared" si="107"/>
        <v>14875.36</v>
      </c>
      <c r="H356" s="22"/>
      <c r="I356" s="23">
        <f t="shared" si="108"/>
        <v>0</v>
      </c>
      <c r="J356" s="22">
        <v>107</v>
      </c>
      <c r="K356" s="22">
        <f t="shared" si="109"/>
        <v>3532.0699999999997</v>
      </c>
      <c r="L356" s="29"/>
      <c r="M356" s="24">
        <f t="shared" si="110"/>
        <v>0</v>
      </c>
      <c r="N356" s="30"/>
      <c r="O356" s="23">
        <f t="shared" si="111"/>
        <v>0</v>
      </c>
      <c r="P356" s="22">
        <v>273</v>
      </c>
      <c r="Q356" s="22">
        <f t="shared" si="112"/>
        <v>11466</v>
      </c>
      <c r="R356" s="25">
        <v>301</v>
      </c>
      <c r="S356" s="25">
        <f t="shared" si="113"/>
        <v>11648.7</v>
      </c>
      <c r="T356" s="25">
        <v>146</v>
      </c>
      <c r="U356" s="25">
        <f t="shared" si="95"/>
        <v>4920.2000000000007</v>
      </c>
      <c r="V356" s="23"/>
      <c r="W356" s="23">
        <f t="shared" si="96"/>
        <v>0</v>
      </c>
      <c r="X356" s="23"/>
      <c r="Y356" s="23">
        <f t="shared" si="97"/>
        <v>0</v>
      </c>
      <c r="Z356" s="23"/>
      <c r="AA356" s="23">
        <f t="shared" si="98"/>
        <v>0</v>
      </c>
      <c r="AB356" s="23"/>
      <c r="AC356" s="23">
        <f t="shared" si="99"/>
        <v>0</v>
      </c>
      <c r="AD356" s="23"/>
      <c r="AE356" s="23">
        <f t="shared" si="100"/>
        <v>0</v>
      </c>
      <c r="AF356" s="26"/>
      <c r="AG356" s="26">
        <f t="shared" si="101"/>
        <v>0</v>
      </c>
      <c r="AH356" s="23"/>
      <c r="AI356" s="23">
        <f t="shared" si="102"/>
        <v>0</v>
      </c>
      <c r="AJ356" s="23">
        <v>407</v>
      </c>
      <c r="AK356" s="23">
        <f t="shared" si="103"/>
        <v>14631.650000000001</v>
      </c>
      <c r="AL356" s="26">
        <v>304</v>
      </c>
      <c r="AM356" s="26">
        <f t="shared" si="104"/>
        <v>11147.68</v>
      </c>
      <c r="AN356" s="12">
        <f t="shared" si="105"/>
        <v>2016</v>
      </c>
      <c r="AO356" s="22">
        <f t="shared" si="106"/>
        <v>72221.66</v>
      </c>
    </row>
    <row r="357" spans="1:41" x14ac:dyDescent="0.5">
      <c r="A357" s="19">
        <v>353</v>
      </c>
      <c r="B357" s="20" t="s">
        <v>651</v>
      </c>
      <c r="C357" s="21" t="s">
        <v>652</v>
      </c>
      <c r="D357" s="16">
        <v>1086</v>
      </c>
      <c r="E357" s="16">
        <v>8</v>
      </c>
      <c r="F357" s="22">
        <v>700</v>
      </c>
      <c r="G357" s="22">
        <f t="shared" si="107"/>
        <v>21784</v>
      </c>
      <c r="H357" s="22"/>
      <c r="I357" s="23">
        <f t="shared" si="108"/>
        <v>0</v>
      </c>
      <c r="J357" s="22"/>
      <c r="K357" s="22">
        <f t="shared" si="109"/>
        <v>0</v>
      </c>
      <c r="L357" s="29"/>
      <c r="M357" s="24">
        <f t="shared" si="110"/>
        <v>0</v>
      </c>
      <c r="N357" s="30">
        <v>145</v>
      </c>
      <c r="O357" s="23">
        <f t="shared" si="111"/>
        <v>5546.25</v>
      </c>
      <c r="P357" s="22">
        <v>1061</v>
      </c>
      <c r="Q357" s="22">
        <f t="shared" si="112"/>
        <v>44562</v>
      </c>
      <c r="R357" s="25">
        <v>874</v>
      </c>
      <c r="S357" s="25">
        <f t="shared" si="113"/>
        <v>33823.800000000003</v>
      </c>
      <c r="T357" s="25">
        <v>1033</v>
      </c>
      <c r="U357" s="25">
        <f t="shared" si="95"/>
        <v>34812.100000000006</v>
      </c>
      <c r="V357" s="23">
        <v>1401</v>
      </c>
      <c r="W357" s="23">
        <f t="shared" si="96"/>
        <v>45952.799999999996</v>
      </c>
      <c r="X357" s="23">
        <v>1182</v>
      </c>
      <c r="Y357" s="23">
        <f t="shared" si="97"/>
        <v>41547.299999999996</v>
      </c>
      <c r="Z357" s="23">
        <v>1172</v>
      </c>
      <c r="AA357" s="23">
        <f t="shared" si="98"/>
        <v>40621.519999999997</v>
      </c>
      <c r="AB357" s="23">
        <v>632</v>
      </c>
      <c r="AC357" s="23">
        <f t="shared" si="99"/>
        <v>22783.599999999999</v>
      </c>
      <c r="AD357" s="23">
        <v>1395</v>
      </c>
      <c r="AE357" s="23">
        <f t="shared" si="100"/>
        <v>48880.799999999996</v>
      </c>
      <c r="AF357" s="26">
        <v>1287</v>
      </c>
      <c r="AG357" s="26">
        <f t="shared" si="101"/>
        <v>43989.659999999996</v>
      </c>
      <c r="AH357" s="23">
        <v>1258</v>
      </c>
      <c r="AI357" s="23">
        <f t="shared" si="102"/>
        <v>41891.399999999994</v>
      </c>
      <c r="AJ357" s="23">
        <v>1603</v>
      </c>
      <c r="AK357" s="23">
        <f t="shared" si="103"/>
        <v>57627.850000000006</v>
      </c>
      <c r="AL357" s="26">
        <v>1642</v>
      </c>
      <c r="AM357" s="26">
        <f t="shared" si="104"/>
        <v>60212.14</v>
      </c>
      <c r="AN357" s="12">
        <f t="shared" si="105"/>
        <v>15385</v>
      </c>
      <c r="AO357" s="22">
        <f t="shared" si="106"/>
        <v>544035.22</v>
      </c>
    </row>
    <row r="358" spans="1:41" x14ac:dyDescent="0.5">
      <c r="A358" s="19">
        <v>354</v>
      </c>
      <c r="B358" s="20" t="s">
        <v>653</v>
      </c>
      <c r="C358" s="21" t="s">
        <v>654</v>
      </c>
      <c r="D358" s="16">
        <v>1098</v>
      </c>
      <c r="E358" s="16">
        <v>8</v>
      </c>
      <c r="F358" s="22"/>
      <c r="G358" s="22">
        <f t="shared" si="107"/>
        <v>0</v>
      </c>
      <c r="H358" s="22"/>
      <c r="I358" s="23">
        <f t="shared" si="108"/>
        <v>0</v>
      </c>
      <c r="J358" s="22"/>
      <c r="K358" s="22">
        <f t="shared" si="109"/>
        <v>0</v>
      </c>
      <c r="L358" s="29"/>
      <c r="M358" s="24">
        <f t="shared" si="110"/>
        <v>0</v>
      </c>
      <c r="N358" s="30"/>
      <c r="O358" s="23">
        <f t="shared" si="111"/>
        <v>0</v>
      </c>
      <c r="P358" s="22"/>
      <c r="Q358" s="22">
        <f t="shared" si="112"/>
        <v>0</v>
      </c>
      <c r="R358" s="25"/>
      <c r="S358" s="25">
        <f t="shared" si="113"/>
        <v>0</v>
      </c>
      <c r="T358" s="25"/>
      <c r="U358" s="25">
        <f t="shared" si="95"/>
        <v>0</v>
      </c>
      <c r="V358" s="23"/>
      <c r="W358" s="23">
        <f t="shared" si="96"/>
        <v>0</v>
      </c>
      <c r="X358" s="23"/>
      <c r="Y358" s="23">
        <f t="shared" si="97"/>
        <v>0</v>
      </c>
      <c r="Z358" s="23"/>
      <c r="AA358" s="23">
        <f t="shared" si="98"/>
        <v>0</v>
      </c>
      <c r="AB358" s="23"/>
      <c r="AC358" s="23">
        <f t="shared" si="99"/>
        <v>0</v>
      </c>
      <c r="AD358" s="23">
        <v>504</v>
      </c>
      <c r="AE358" s="23">
        <f t="shared" si="100"/>
        <v>17660.16</v>
      </c>
      <c r="AF358" s="26">
        <v>453</v>
      </c>
      <c r="AG358" s="26">
        <f t="shared" si="101"/>
        <v>15483.539999999999</v>
      </c>
      <c r="AH358" s="23">
        <v>428</v>
      </c>
      <c r="AI358" s="23">
        <f t="shared" si="102"/>
        <v>14252.4</v>
      </c>
      <c r="AJ358" s="23">
        <v>663</v>
      </c>
      <c r="AK358" s="23">
        <f t="shared" si="103"/>
        <v>23834.850000000002</v>
      </c>
      <c r="AL358" s="26">
        <v>743</v>
      </c>
      <c r="AM358" s="26">
        <f t="shared" si="104"/>
        <v>27245.81</v>
      </c>
      <c r="AN358" s="12">
        <f t="shared" si="105"/>
        <v>2791</v>
      </c>
      <c r="AO358" s="22">
        <f t="shared" si="106"/>
        <v>98476.76</v>
      </c>
    </row>
    <row r="359" spans="1:41" x14ac:dyDescent="0.5">
      <c r="A359" s="19">
        <v>355</v>
      </c>
      <c r="B359" s="20" t="s">
        <v>655</v>
      </c>
      <c r="C359" s="21" t="s">
        <v>656</v>
      </c>
      <c r="D359" s="16">
        <v>1101</v>
      </c>
      <c r="E359" s="16">
        <v>8</v>
      </c>
      <c r="F359" s="22">
        <v>654</v>
      </c>
      <c r="G359" s="22">
        <f t="shared" si="107"/>
        <v>20352.48</v>
      </c>
      <c r="H359" s="22">
        <v>415</v>
      </c>
      <c r="I359" s="23">
        <f t="shared" si="108"/>
        <v>13450.149999999998</v>
      </c>
      <c r="J359" s="22"/>
      <c r="K359" s="22">
        <f t="shared" si="109"/>
        <v>0</v>
      </c>
      <c r="L359" s="29"/>
      <c r="M359" s="24">
        <f t="shared" si="110"/>
        <v>0</v>
      </c>
      <c r="N359" s="30"/>
      <c r="O359" s="23">
        <f t="shared" si="111"/>
        <v>0</v>
      </c>
      <c r="P359" s="22">
        <v>369</v>
      </c>
      <c r="Q359" s="22">
        <f t="shared" si="112"/>
        <v>15498</v>
      </c>
      <c r="R359" s="25">
        <v>447</v>
      </c>
      <c r="S359" s="25">
        <f t="shared" si="113"/>
        <v>17298.900000000001</v>
      </c>
      <c r="T359" s="25">
        <v>584</v>
      </c>
      <c r="U359" s="25">
        <f t="shared" si="95"/>
        <v>19680.800000000003</v>
      </c>
      <c r="V359" s="23">
        <v>439</v>
      </c>
      <c r="W359" s="23">
        <f t="shared" si="96"/>
        <v>14399.199999999999</v>
      </c>
      <c r="X359" s="23">
        <v>523</v>
      </c>
      <c r="Y359" s="23">
        <f t="shared" si="97"/>
        <v>18383.45</v>
      </c>
      <c r="Z359" s="23">
        <v>599</v>
      </c>
      <c r="AA359" s="23">
        <f t="shared" si="98"/>
        <v>20761.339999999997</v>
      </c>
      <c r="AB359" s="23">
        <v>560</v>
      </c>
      <c r="AC359" s="23">
        <f t="shared" si="99"/>
        <v>20188</v>
      </c>
      <c r="AD359" s="23"/>
      <c r="AE359" s="23">
        <f t="shared" si="100"/>
        <v>0</v>
      </c>
      <c r="AF359" s="26">
        <v>775</v>
      </c>
      <c r="AG359" s="26">
        <f t="shared" si="101"/>
        <v>26489.5</v>
      </c>
      <c r="AH359" s="23">
        <v>618</v>
      </c>
      <c r="AI359" s="23">
        <f t="shared" si="102"/>
        <v>20579.399999999998</v>
      </c>
      <c r="AJ359" s="23">
        <v>927</v>
      </c>
      <c r="AK359" s="23">
        <f t="shared" si="103"/>
        <v>33325.65</v>
      </c>
      <c r="AL359" s="26">
        <v>1039</v>
      </c>
      <c r="AM359" s="26">
        <f t="shared" si="104"/>
        <v>38100.130000000005</v>
      </c>
      <c r="AN359" s="12">
        <f t="shared" si="105"/>
        <v>7949</v>
      </c>
      <c r="AO359" s="22">
        <f t="shared" si="106"/>
        <v>278507</v>
      </c>
    </row>
    <row r="360" spans="1:41" x14ac:dyDescent="0.5">
      <c r="A360" s="19">
        <v>356</v>
      </c>
      <c r="B360" s="20" t="s">
        <v>657</v>
      </c>
      <c r="C360" s="21" t="s">
        <v>545</v>
      </c>
      <c r="D360" s="16">
        <v>1104</v>
      </c>
      <c r="E360" s="16">
        <v>8</v>
      </c>
      <c r="F360" s="22"/>
      <c r="G360" s="22">
        <f t="shared" si="107"/>
        <v>0</v>
      </c>
      <c r="H360" s="22"/>
      <c r="I360" s="23">
        <f t="shared" si="108"/>
        <v>0</v>
      </c>
      <c r="J360" s="22"/>
      <c r="K360" s="22">
        <f t="shared" si="109"/>
        <v>0</v>
      </c>
      <c r="L360" s="29"/>
      <c r="M360" s="24">
        <f t="shared" si="110"/>
        <v>0</v>
      </c>
      <c r="N360" s="30">
        <v>580</v>
      </c>
      <c r="O360" s="23">
        <f t="shared" si="111"/>
        <v>22185</v>
      </c>
      <c r="P360" s="22">
        <v>892</v>
      </c>
      <c r="Q360" s="22">
        <f t="shared" si="112"/>
        <v>37464</v>
      </c>
      <c r="R360" s="25">
        <v>540</v>
      </c>
      <c r="S360" s="25">
        <f t="shared" si="113"/>
        <v>20898</v>
      </c>
      <c r="T360" s="25">
        <v>878</v>
      </c>
      <c r="U360" s="25">
        <f t="shared" si="95"/>
        <v>29588.600000000002</v>
      </c>
      <c r="V360" s="23">
        <v>563</v>
      </c>
      <c r="W360" s="23">
        <f t="shared" si="96"/>
        <v>18466.399999999998</v>
      </c>
      <c r="X360" s="23">
        <v>726</v>
      </c>
      <c r="Y360" s="23">
        <f t="shared" si="97"/>
        <v>25518.899999999998</v>
      </c>
      <c r="Z360" s="23">
        <v>778</v>
      </c>
      <c r="AA360" s="23">
        <f t="shared" si="98"/>
        <v>26965.479999999996</v>
      </c>
      <c r="AB360" s="23"/>
      <c r="AC360" s="23">
        <f t="shared" si="99"/>
        <v>0</v>
      </c>
      <c r="AD360" s="23">
        <v>957</v>
      </c>
      <c r="AE360" s="23">
        <f t="shared" si="100"/>
        <v>33533.279999999999</v>
      </c>
      <c r="AF360" s="26">
        <v>1254</v>
      </c>
      <c r="AG360" s="26">
        <f t="shared" si="101"/>
        <v>42861.72</v>
      </c>
      <c r="AH360" s="23"/>
      <c r="AI360" s="23">
        <f t="shared" si="102"/>
        <v>0</v>
      </c>
      <c r="AJ360" s="23">
        <v>1282</v>
      </c>
      <c r="AK360" s="23">
        <f t="shared" si="103"/>
        <v>46087.9</v>
      </c>
      <c r="AL360" s="26">
        <v>1498</v>
      </c>
      <c r="AM360" s="26">
        <f t="shared" si="104"/>
        <v>54931.66</v>
      </c>
      <c r="AN360" s="12">
        <f t="shared" si="105"/>
        <v>9948</v>
      </c>
      <c r="AO360" s="22">
        <f t="shared" si="106"/>
        <v>358500.94000000006</v>
      </c>
    </row>
    <row r="361" spans="1:41" x14ac:dyDescent="0.5">
      <c r="A361" s="19">
        <v>357</v>
      </c>
      <c r="B361" s="20" t="s">
        <v>658</v>
      </c>
      <c r="C361" s="21" t="s">
        <v>654</v>
      </c>
      <c r="D361" s="16">
        <v>1109</v>
      </c>
      <c r="E361" s="16">
        <v>8</v>
      </c>
      <c r="F361" s="22"/>
      <c r="G361" s="22">
        <f t="shared" si="107"/>
        <v>0</v>
      </c>
      <c r="H361" s="22"/>
      <c r="I361" s="23">
        <f t="shared" si="108"/>
        <v>0</v>
      </c>
      <c r="J361" s="22"/>
      <c r="K361" s="22">
        <f t="shared" si="109"/>
        <v>0</v>
      </c>
      <c r="L361" s="29"/>
      <c r="M361" s="24">
        <f t="shared" si="110"/>
        <v>0</v>
      </c>
      <c r="N361" s="30"/>
      <c r="O361" s="23">
        <f t="shared" si="111"/>
        <v>0</v>
      </c>
      <c r="P361" s="22"/>
      <c r="Q361" s="22">
        <f t="shared" si="112"/>
        <v>0</v>
      </c>
      <c r="R361" s="25"/>
      <c r="S361" s="25">
        <f t="shared" si="113"/>
        <v>0</v>
      </c>
      <c r="T361" s="25"/>
      <c r="U361" s="25">
        <f t="shared" si="95"/>
        <v>0</v>
      </c>
      <c r="V361" s="23"/>
      <c r="W361" s="23">
        <f t="shared" si="96"/>
        <v>0</v>
      </c>
      <c r="X361" s="23"/>
      <c r="Y361" s="23">
        <f t="shared" si="97"/>
        <v>0</v>
      </c>
      <c r="Z361" s="23"/>
      <c r="AA361" s="23">
        <f t="shared" si="98"/>
        <v>0</v>
      </c>
      <c r="AB361" s="23"/>
      <c r="AC361" s="23">
        <f t="shared" si="99"/>
        <v>0</v>
      </c>
      <c r="AD361" s="23">
        <v>372</v>
      </c>
      <c r="AE361" s="23">
        <f t="shared" si="100"/>
        <v>13034.88</v>
      </c>
      <c r="AF361" s="26">
        <v>363</v>
      </c>
      <c r="AG361" s="26">
        <f t="shared" si="101"/>
        <v>12407.34</v>
      </c>
      <c r="AH361" s="23">
        <v>400</v>
      </c>
      <c r="AI361" s="23">
        <f t="shared" si="102"/>
        <v>13319.999999999998</v>
      </c>
      <c r="AJ361" s="23">
        <v>415</v>
      </c>
      <c r="AK361" s="23">
        <f t="shared" si="103"/>
        <v>14919.250000000002</v>
      </c>
      <c r="AL361" s="26">
        <v>406</v>
      </c>
      <c r="AM361" s="26">
        <f t="shared" si="104"/>
        <v>14888.02</v>
      </c>
      <c r="AN361" s="12">
        <f t="shared" si="105"/>
        <v>1956</v>
      </c>
      <c r="AO361" s="22">
        <f t="shared" si="106"/>
        <v>68569.490000000005</v>
      </c>
    </row>
    <row r="362" spans="1:41" x14ac:dyDescent="0.5">
      <c r="A362" s="19">
        <v>358</v>
      </c>
      <c r="B362" s="20" t="s">
        <v>659</v>
      </c>
      <c r="C362" s="21" t="s">
        <v>539</v>
      </c>
      <c r="D362" s="16">
        <v>1111</v>
      </c>
      <c r="E362" s="16">
        <v>8</v>
      </c>
      <c r="F362" s="22"/>
      <c r="G362" s="22">
        <f t="shared" si="107"/>
        <v>0</v>
      </c>
      <c r="H362" s="22"/>
      <c r="I362" s="23">
        <f t="shared" si="108"/>
        <v>0</v>
      </c>
      <c r="J362" s="22"/>
      <c r="K362" s="22">
        <f t="shared" si="109"/>
        <v>0</v>
      </c>
      <c r="L362" s="29"/>
      <c r="M362" s="24">
        <f t="shared" si="110"/>
        <v>0</v>
      </c>
      <c r="N362" s="30"/>
      <c r="O362" s="23">
        <f t="shared" si="111"/>
        <v>0</v>
      </c>
      <c r="P362" s="22"/>
      <c r="Q362" s="22">
        <f t="shared" si="112"/>
        <v>0</v>
      </c>
      <c r="R362" s="25">
        <v>943</v>
      </c>
      <c r="S362" s="25">
        <f t="shared" si="113"/>
        <v>36494.100000000006</v>
      </c>
      <c r="T362" s="25">
        <v>909</v>
      </c>
      <c r="U362" s="25">
        <f t="shared" si="95"/>
        <v>30633.300000000003</v>
      </c>
      <c r="V362" s="23">
        <v>1377</v>
      </c>
      <c r="W362" s="23">
        <f t="shared" si="96"/>
        <v>45165.599999999999</v>
      </c>
      <c r="X362" s="23"/>
      <c r="Y362" s="23">
        <f t="shared" si="97"/>
        <v>0</v>
      </c>
      <c r="Z362" s="23">
        <v>1139</v>
      </c>
      <c r="AA362" s="23">
        <f t="shared" si="98"/>
        <v>39477.74</v>
      </c>
      <c r="AB362" s="23">
        <v>1162</v>
      </c>
      <c r="AC362" s="23">
        <f t="shared" si="99"/>
        <v>41890.1</v>
      </c>
      <c r="AD362" s="23">
        <v>1296</v>
      </c>
      <c r="AE362" s="23">
        <f t="shared" si="100"/>
        <v>45411.839999999997</v>
      </c>
      <c r="AF362" s="26">
        <v>1402</v>
      </c>
      <c r="AG362" s="26">
        <f t="shared" si="101"/>
        <v>47920.36</v>
      </c>
      <c r="AH362" s="23">
        <v>1339</v>
      </c>
      <c r="AI362" s="23">
        <f t="shared" si="102"/>
        <v>44588.7</v>
      </c>
      <c r="AJ362" s="23">
        <v>1297</v>
      </c>
      <c r="AK362" s="23">
        <f t="shared" si="103"/>
        <v>46627.15</v>
      </c>
      <c r="AL362" s="26">
        <v>1080</v>
      </c>
      <c r="AM362" s="26">
        <f t="shared" si="104"/>
        <v>39603.599999999999</v>
      </c>
      <c r="AN362" s="12">
        <f t="shared" si="105"/>
        <v>11944</v>
      </c>
      <c r="AO362" s="22">
        <f t="shared" si="106"/>
        <v>417812.49</v>
      </c>
    </row>
    <row r="363" spans="1:41" x14ac:dyDescent="0.5">
      <c r="A363" s="19">
        <v>359</v>
      </c>
      <c r="B363" s="20" t="s">
        <v>660</v>
      </c>
      <c r="C363" s="21" t="s">
        <v>527</v>
      </c>
      <c r="D363" s="16">
        <v>1118</v>
      </c>
      <c r="E363" s="16">
        <v>8</v>
      </c>
      <c r="F363" s="22"/>
      <c r="G363" s="22">
        <f t="shared" si="107"/>
        <v>0</v>
      </c>
      <c r="H363" s="22"/>
      <c r="I363" s="23">
        <f t="shared" si="108"/>
        <v>0</v>
      </c>
      <c r="J363" s="22"/>
      <c r="K363" s="22">
        <f t="shared" si="109"/>
        <v>0</v>
      </c>
      <c r="L363" s="29"/>
      <c r="M363" s="24">
        <f t="shared" si="110"/>
        <v>0</v>
      </c>
      <c r="N363" s="30"/>
      <c r="O363" s="23">
        <f t="shared" si="111"/>
        <v>0</v>
      </c>
      <c r="P363" s="22"/>
      <c r="Q363" s="22">
        <f t="shared" si="112"/>
        <v>0</v>
      </c>
      <c r="R363" s="25"/>
      <c r="S363" s="25">
        <f t="shared" si="113"/>
        <v>0</v>
      </c>
      <c r="T363" s="25"/>
      <c r="U363" s="25">
        <f t="shared" si="95"/>
        <v>0</v>
      </c>
      <c r="V363" s="23"/>
      <c r="W363" s="23">
        <f t="shared" si="96"/>
        <v>0</v>
      </c>
      <c r="X363" s="23"/>
      <c r="Y363" s="23">
        <f t="shared" si="97"/>
        <v>0</v>
      </c>
      <c r="Z363" s="23"/>
      <c r="AA363" s="23">
        <f t="shared" si="98"/>
        <v>0</v>
      </c>
      <c r="AB363" s="23"/>
      <c r="AC363" s="23">
        <f t="shared" si="99"/>
        <v>0</v>
      </c>
      <c r="AD363" s="23"/>
      <c r="AE363" s="23">
        <f t="shared" si="100"/>
        <v>0</v>
      </c>
      <c r="AF363" s="26"/>
      <c r="AG363" s="26">
        <f t="shared" si="101"/>
        <v>0</v>
      </c>
      <c r="AH363" s="23">
        <v>4345</v>
      </c>
      <c r="AI363" s="23">
        <f t="shared" si="102"/>
        <v>144688.5</v>
      </c>
      <c r="AJ363" s="23">
        <v>5080</v>
      </c>
      <c r="AK363" s="23">
        <f t="shared" si="103"/>
        <v>182626</v>
      </c>
      <c r="AL363" s="26">
        <v>5550</v>
      </c>
      <c r="AM363" s="26">
        <f t="shared" si="104"/>
        <v>203518.5</v>
      </c>
      <c r="AN363" s="12">
        <f t="shared" si="105"/>
        <v>14975</v>
      </c>
      <c r="AO363" s="22">
        <f t="shared" si="106"/>
        <v>530833</v>
      </c>
    </row>
    <row r="364" spans="1:41" x14ac:dyDescent="0.5">
      <c r="A364" s="19">
        <v>360</v>
      </c>
      <c r="B364" s="20" t="s">
        <v>661</v>
      </c>
      <c r="C364" s="21" t="s">
        <v>662</v>
      </c>
      <c r="D364" s="16">
        <v>1121</v>
      </c>
      <c r="E364" s="16">
        <v>8</v>
      </c>
      <c r="F364" s="22"/>
      <c r="G364" s="22">
        <f t="shared" si="107"/>
        <v>0</v>
      </c>
      <c r="H364" s="22"/>
      <c r="I364" s="23">
        <f t="shared" si="108"/>
        <v>0</v>
      </c>
      <c r="J364" s="22"/>
      <c r="K364" s="22">
        <f t="shared" si="109"/>
        <v>0</v>
      </c>
      <c r="L364" s="29"/>
      <c r="M364" s="24">
        <f t="shared" si="110"/>
        <v>0</v>
      </c>
      <c r="N364" s="30"/>
      <c r="O364" s="23">
        <f t="shared" si="111"/>
        <v>0</v>
      </c>
      <c r="P364" s="22"/>
      <c r="Q364" s="22">
        <f t="shared" si="112"/>
        <v>0</v>
      </c>
      <c r="R364" s="25"/>
      <c r="S364" s="25">
        <f t="shared" si="113"/>
        <v>0</v>
      </c>
      <c r="T364" s="25"/>
      <c r="U364" s="25">
        <f t="shared" si="95"/>
        <v>0</v>
      </c>
      <c r="V364" s="23"/>
      <c r="W364" s="23">
        <f t="shared" si="96"/>
        <v>0</v>
      </c>
      <c r="X364" s="23"/>
      <c r="Y364" s="23">
        <f t="shared" si="97"/>
        <v>0</v>
      </c>
      <c r="Z364" s="23"/>
      <c r="AA364" s="23">
        <f t="shared" si="98"/>
        <v>0</v>
      </c>
      <c r="AB364" s="23"/>
      <c r="AC364" s="23">
        <f t="shared" si="99"/>
        <v>0</v>
      </c>
      <c r="AD364" s="23"/>
      <c r="AE364" s="23">
        <f t="shared" si="100"/>
        <v>0</v>
      </c>
      <c r="AF364" s="26"/>
      <c r="AG364" s="26">
        <f t="shared" si="101"/>
        <v>0</v>
      </c>
      <c r="AH364" s="23"/>
      <c r="AI364" s="23">
        <f t="shared" si="102"/>
        <v>0</v>
      </c>
      <c r="AJ364" s="23">
        <v>641</v>
      </c>
      <c r="AK364" s="23">
        <f t="shared" si="103"/>
        <v>23043.95</v>
      </c>
      <c r="AL364" s="26">
        <v>605</v>
      </c>
      <c r="AM364" s="26">
        <f t="shared" si="104"/>
        <v>22185.350000000002</v>
      </c>
      <c r="AN364" s="12">
        <f t="shared" si="105"/>
        <v>1246</v>
      </c>
      <c r="AO364" s="22">
        <f t="shared" si="106"/>
        <v>45229.3</v>
      </c>
    </row>
    <row r="365" spans="1:41" x14ac:dyDescent="0.5">
      <c r="A365" s="19">
        <v>361</v>
      </c>
      <c r="B365" s="20" t="s">
        <v>663</v>
      </c>
      <c r="C365" s="21" t="s">
        <v>664</v>
      </c>
      <c r="D365" s="16">
        <v>150</v>
      </c>
      <c r="E365" s="16">
        <v>9</v>
      </c>
      <c r="F365" s="22">
        <v>251</v>
      </c>
      <c r="G365" s="22">
        <f t="shared" si="107"/>
        <v>7811.12</v>
      </c>
      <c r="H365" s="22">
        <v>233</v>
      </c>
      <c r="I365" s="23">
        <f t="shared" si="108"/>
        <v>7551.5299999999988</v>
      </c>
      <c r="J365" s="22"/>
      <c r="K365" s="22">
        <f t="shared" si="109"/>
        <v>0</v>
      </c>
      <c r="L365" s="22"/>
      <c r="M365" s="24">
        <f t="shared" si="110"/>
        <v>0</v>
      </c>
      <c r="N365" s="23"/>
      <c r="O365" s="23">
        <f t="shared" si="111"/>
        <v>0</v>
      </c>
      <c r="P365" s="22"/>
      <c r="Q365" s="22">
        <f t="shared" si="112"/>
        <v>0</v>
      </c>
      <c r="R365" s="25"/>
      <c r="S365" s="25">
        <f t="shared" si="113"/>
        <v>0</v>
      </c>
      <c r="T365" s="25"/>
      <c r="U365" s="25">
        <f t="shared" si="95"/>
        <v>0</v>
      </c>
      <c r="V365" s="23"/>
      <c r="W365" s="23">
        <f t="shared" si="96"/>
        <v>0</v>
      </c>
      <c r="X365" s="23"/>
      <c r="Y365" s="23">
        <f t="shared" si="97"/>
        <v>0</v>
      </c>
      <c r="Z365" s="23"/>
      <c r="AA365" s="23">
        <f t="shared" si="98"/>
        <v>0</v>
      </c>
      <c r="AB365" s="23"/>
      <c r="AC365" s="23">
        <f t="shared" si="99"/>
        <v>0</v>
      </c>
      <c r="AD365" s="23"/>
      <c r="AE365" s="23">
        <f t="shared" si="100"/>
        <v>0</v>
      </c>
      <c r="AF365" s="26"/>
      <c r="AG365" s="26">
        <f t="shared" si="101"/>
        <v>0</v>
      </c>
      <c r="AH365" s="23"/>
      <c r="AI365" s="23">
        <f t="shared" si="102"/>
        <v>0</v>
      </c>
      <c r="AJ365" s="23"/>
      <c r="AK365" s="23">
        <f t="shared" si="103"/>
        <v>0</v>
      </c>
      <c r="AL365" s="26">
        <v>374</v>
      </c>
      <c r="AM365" s="26">
        <f t="shared" si="104"/>
        <v>13714.58</v>
      </c>
      <c r="AN365" s="12">
        <f t="shared" si="105"/>
        <v>858</v>
      </c>
      <c r="AO365" s="22">
        <f t="shared" si="106"/>
        <v>29077.229999999996</v>
      </c>
    </row>
    <row r="366" spans="1:41" x14ac:dyDescent="0.5">
      <c r="A366" s="19">
        <v>362</v>
      </c>
      <c r="B366" s="20" t="s">
        <v>665</v>
      </c>
      <c r="C366" s="21" t="s">
        <v>666</v>
      </c>
      <c r="D366" s="16">
        <v>264</v>
      </c>
      <c r="E366" s="16">
        <v>9</v>
      </c>
      <c r="F366" s="22">
        <v>1481</v>
      </c>
      <c r="G366" s="22">
        <f t="shared" si="107"/>
        <v>46088.72</v>
      </c>
      <c r="H366" s="22">
        <v>466</v>
      </c>
      <c r="I366" s="23">
        <f t="shared" si="108"/>
        <v>15103.059999999998</v>
      </c>
      <c r="J366" s="22"/>
      <c r="K366" s="22">
        <f t="shared" si="109"/>
        <v>0</v>
      </c>
      <c r="L366" s="22">
        <v>492</v>
      </c>
      <c r="M366" s="24">
        <f t="shared" si="110"/>
        <v>17279.039999999997</v>
      </c>
      <c r="N366" s="23">
        <v>491</v>
      </c>
      <c r="O366" s="23">
        <f t="shared" si="111"/>
        <v>18780.75</v>
      </c>
      <c r="P366" s="22">
        <v>2038</v>
      </c>
      <c r="Q366" s="22">
        <f t="shared" si="112"/>
        <v>85596</v>
      </c>
      <c r="R366" s="25">
        <v>1643</v>
      </c>
      <c r="S366" s="25">
        <f t="shared" si="113"/>
        <v>63584.100000000006</v>
      </c>
      <c r="T366" s="25">
        <v>1895</v>
      </c>
      <c r="U366" s="25">
        <f t="shared" si="95"/>
        <v>63861.500000000007</v>
      </c>
      <c r="V366" s="23">
        <v>1728</v>
      </c>
      <c r="W366" s="23">
        <f t="shared" si="96"/>
        <v>56678.399999999994</v>
      </c>
      <c r="X366" s="23">
        <v>1903</v>
      </c>
      <c r="Y366" s="23">
        <f t="shared" si="97"/>
        <v>66890.45</v>
      </c>
      <c r="Z366" s="23">
        <v>1823</v>
      </c>
      <c r="AA366" s="23">
        <f t="shared" si="98"/>
        <v>63185.179999999993</v>
      </c>
      <c r="AB366" s="23">
        <v>333</v>
      </c>
      <c r="AC366" s="23">
        <f t="shared" si="99"/>
        <v>12004.65</v>
      </c>
      <c r="AD366" s="23">
        <v>1817</v>
      </c>
      <c r="AE366" s="23">
        <f t="shared" si="100"/>
        <v>63667.68</v>
      </c>
      <c r="AF366" s="26">
        <v>1960</v>
      </c>
      <c r="AG366" s="26">
        <f t="shared" si="101"/>
        <v>66992.800000000003</v>
      </c>
      <c r="AH366" s="23">
        <v>1695</v>
      </c>
      <c r="AI366" s="23">
        <f t="shared" si="102"/>
        <v>56443.499999999993</v>
      </c>
      <c r="AJ366" s="23">
        <v>1732</v>
      </c>
      <c r="AK366" s="23">
        <f t="shared" si="103"/>
        <v>62265.4</v>
      </c>
      <c r="AL366" s="26">
        <v>1723</v>
      </c>
      <c r="AM366" s="26">
        <f t="shared" si="104"/>
        <v>63182.41</v>
      </c>
      <c r="AN366" s="12">
        <f t="shared" si="105"/>
        <v>23220</v>
      </c>
      <c r="AO366" s="22">
        <f t="shared" si="106"/>
        <v>821603.64000000025</v>
      </c>
    </row>
    <row r="367" spans="1:41" s="31" customFormat="1" x14ac:dyDescent="0.5">
      <c r="A367" s="19">
        <v>363</v>
      </c>
      <c r="B367" s="20" t="s">
        <v>667</v>
      </c>
      <c r="C367" s="21" t="s">
        <v>668</v>
      </c>
      <c r="D367" s="16">
        <v>268</v>
      </c>
      <c r="E367" s="16">
        <v>9</v>
      </c>
      <c r="F367" s="22">
        <v>845</v>
      </c>
      <c r="G367" s="22">
        <f t="shared" si="107"/>
        <v>26296.400000000001</v>
      </c>
      <c r="H367" s="22">
        <v>645</v>
      </c>
      <c r="I367" s="23">
        <f t="shared" si="108"/>
        <v>20904.449999999997</v>
      </c>
      <c r="J367" s="22"/>
      <c r="K367" s="22">
        <f t="shared" si="109"/>
        <v>0</v>
      </c>
      <c r="L367" s="22"/>
      <c r="M367" s="24">
        <f t="shared" si="110"/>
        <v>0</v>
      </c>
      <c r="N367" s="23">
        <v>390</v>
      </c>
      <c r="O367" s="23">
        <f t="shared" si="111"/>
        <v>14917.5</v>
      </c>
      <c r="P367" s="22">
        <v>502</v>
      </c>
      <c r="Q367" s="22">
        <f t="shared" si="112"/>
        <v>21084</v>
      </c>
      <c r="R367" s="25"/>
      <c r="S367" s="25">
        <f t="shared" si="113"/>
        <v>0</v>
      </c>
      <c r="T367" s="25"/>
      <c r="U367" s="25">
        <f t="shared" si="95"/>
        <v>0</v>
      </c>
      <c r="V367" s="23">
        <v>568</v>
      </c>
      <c r="W367" s="23">
        <f t="shared" si="96"/>
        <v>18630.399999999998</v>
      </c>
      <c r="X367" s="23"/>
      <c r="Y367" s="23">
        <f t="shared" si="97"/>
        <v>0</v>
      </c>
      <c r="Z367" s="23"/>
      <c r="AA367" s="23">
        <f t="shared" si="98"/>
        <v>0</v>
      </c>
      <c r="AB367" s="23"/>
      <c r="AC367" s="23">
        <f t="shared" si="99"/>
        <v>0</v>
      </c>
      <c r="AD367" s="23"/>
      <c r="AE367" s="23">
        <f t="shared" si="100"/>
        <v>0</v>
      </c>
      <c r="AF367" s="26"/>
      <c r="AG367" s="26">
        <f t="shared" si="101"/>
        <v>0</v>
      </c>
      <c r="AH367" s="23"/>
      <c r="AI367" s="23">
        <f t="shared" si="102"/>
        <v>0</v>
      </c>
      <c r="AJ367" s="23"/>
      <c r="AK367" s="23">
        <f t="shared" si="103"/>
        <v>0</v>
      </c>
      <c r="AL367" s="26"/>
      <c r="AM367" s="26">
        <f t="shared" si="104"/>
        <v>0</v>
      </c>
      <c r="AN367" s="12">
        <f t="shared" si="105"/>
        <v>2950</v>
      </c>
      <c r="AO367" s="22">
        <f t="shared" si="106"/>
        <v>101832.75</v>
      </c>
    </row>
    <row r="368" spans="1:41" x14ac:dyDescent="0.5">
      <c r="A368" s="19">
        <v>364</v>
      </c>
      <c r="B368" s="27" t="s">
        <v>669</v>
      </c>
      <c r="C368" s="28" t="s">
        <v>670</v>
      </c>
      <c r="D368" s="16">
        <v>271</v>
      </c>
      <c r="E368" s="16">
        <v>9</v>
      </c>
      <c r="F368" s="22"/>
      <c r="G368" s="22">
        <f t="shared" si="107"/>
        <v>0</v>
      </c>
      <c r="H368" s="22"/>
      <c r="I368" s="23">
        <f t="shared" si="108"/>
        <v>0</v>
      </c>
      <c r="J368" s="22"/>
      <c r="K368" s="22">
        <f t="shared" si="109"/>
        <v>0</v>
      </c>
      <c r="L368" s="22"/>
      <c r="M368" s="24">
        <f t="shared" si="110"/>
        <v>0</v>
      </c>
      <c r="N368" s="23"/>
      <c r="O368" s="23">
        <f t="shared" si="111"/>
        <v>0</v>
      </c>
      <c r="P368" s="22"/>
      <c r="Q368" s="22">
        <f t="shared" si="112"/>
        <v>0</v>
      </c>
      <c r="R368" s="25">
        <v>500</v>
      </c>
      <c r="S368" s="25">
        <f t="shared" si="113"/>
        <v>19350</v>
      </c>
      <c r="T368" s="25"/>
      <c r="U368" s="25">
        <f t="shared" si="95"/>
        <v>0</v>
      </c>
      <c r="V368" s="23"/>
      <c r="W368" s="23">
        <f t="shared" si="96"/>
        <v>0</v>
      </c>
      <c r="X368" s="23"/>
      <c r="Y368" s="23">
        <f t="shared" si="97"/>
        <v>0</v>
      </c>
      <c r="Z368" s="23"/>
      <c r="AA368" s="23">
        <f t="shared" si="98"/>
        <v>0</v>
      </c>
      <c r="AB368" s="23"/>
      <c r="AC368" s="23">
        <f t="shared" si="99"/>
        <v>0</v>
      </c>
      <c r="AD368" s="23">
        <v>831</v>
      </c>
      <c r="AE368" s="23">
        <f t="shared" si="100"/>
        <v>29118.239999999998</v>
      </c>
      <c r="AF368" s="26">
        <v>977</v>
      </c>
      <c r="AG368" s="26">
        <f t="shared" si="101"/>
        <v>33393.86</v>
      </c>
      <c r="AH368" s="23">
        <v>891</v>
      </c>
      <c r="AI368" s="23">
        <f t="shared" si="102"/>
        <v>29670.3</v>
      </c>
      <c r="AJ368" s="23">
        <v>853</v>
      </c>
      <c r="AK368" s="23">
        <f t="shared" si="103"/>
        <v>30665.350000000002</v>
      </c>
      <c r="AL368" s="23"/>
      <c r="AM368" s="26">
        <f t="shared" si="104"/>
        <v>0</v>
      </c>
      <c r="AN368" s="12">
        <f t="shared" si="105"/>
        <v>4052</v>
      </c>
      <c r="AO368" s="22">
        <f t="shared" si="106"/>
        <v>142197.75</v>
      </c>
    </row>
    <row r="369" spans="1:41" x14ac:dyDescent="0.5">
      <c r="A369" s="19">
        <v>365</v>
      </c>
      <c r="B369" s="20" t="s">
        <v>329</v>
      </c>
      <c r="C369" s="21" t="s">
        <v>671</v>
      </c>
      <c r="D369" s="16">
        <v>280</v>
      </c>
      <c r="E369" s="16">
        <v>9</v>
      </c>
      <c r="F369" s="22">
        <v>1671</v>
      </c>
      <c r="G369" s="22">
        <f t="shared" si="107"/>
        <v>52001.520000000004</v>
      </c>
      <c r="H369" s="22">
        <v>816</v>
      </c>
      <c r="I369" s="23">
        <f t="shared" si="108"/>
        <v>26446.559999999998</v>
      </c>
      <c r="J369" s="22">
        <v>1066</v>
      </c>
      <c r="K369" s="22">
        <f t="shared" si="109"/>
        <v>35188.659999999996</v>
      </c>
      <c r="L369" s="22">
        <v>209</v>
      </c>
      <c r="M369" s="24">
        <f t="shared" si="110"/>
        <v>7340.079999999999</v>
      </c>
      <c r="N369" s="23">
        <v>841</v>
      </c>
      <c r="O369" s="23">
        <f t="shared" si="111"/>
        <v>32168.25</v>
      </c>
      <c r="P369" s="22">
        <v>705</v>
      </c>
      <c r="Q369" s="22">
        <f t="shared" si="112"/>
        <v>29610</v>
      </c>
      <c r="R369" s="25">
        <v>642</v>
      </c>
      <c r="S369" s="25">
        <f t="shared" si="113"/>
        <v>24845.4</v>
      </c>
      <c r="T369" s="25">
        <v>932</v>
      </c>
      <c r="U369" s="25">
        <f t="shared" si="95"/>
        <v>31408.400000000001</v>
      </c>
      <c r="V369" s="23">
        <v>1210</v>
      </c>
      <c r="W369" s="23">
        <f t="shared" si="96"/>
        <v>39688</v>
      </c>
      <c r="X369" s="23">
        <v>1076</v>
      </c>
      <c r="Y369" s="23">
        <f t="shared" si="97"/>
        <v>37821.4</v>
      </c>
      <c r="Z369" s="23">
        <v>946</v>
      </c>
      <c r="AA369" s="23">
        <f t="shared" si="98"/>
        <v>32788.359999999993</v>
      </c>
      <c r="AB369" s="23">
        <v>346</v>
      </c>
      <c r="AC369" s="23">
        <f t="shared" si="99"/>
        <v>12473.3</v>
      </c>
      <c r="AD369" s="23">
        <v>353</v>
      </c>
      <c r="AE369" s="23">
        <f t="shared" si="100"/>
        <v>12369.119999999999</v>
      </c>
      <c r="AF369" s="26">
        <v>995</v>
      </c>
      <c r="AG369" s="26">
        <f t="shared" si="101"/>
        <v>34009.1</v>
      </c>
      <c r="AH369" s="23">
        <v>767</v>
      </c>
      <c r="AI369" s="23">
        <f t="shared" si="102"/>
        <v>25541.1</v>
      </c>
      <c r="AJ369" s="23">
        <v>944</v>
      </c>
      <c r="AK369" s="23">
        <f t="shared" si="103"/>
        <v>33936.800000000003</v>
      </c>
      <c r="AL369" s="26">
        <v>1723</v>
      </c>
      <c r="AM369" s="26">
        <f t="shared" si="104"/>
        <v>63182.41</v>
      </c>
      <c r="AN369" s="12">
        <f t="shared" si="105"/>
        <v>15242</v>
      </c>
      <c r="AO369" s="22">
        <f t="shared" si="106"/>
        <v>530818.46</v>
      </c>
    </row>
    <row r="370" spans="1:41" x14ac:dyDescent="0.5">
      <c r="A370" s="19">
        <v>366</v>
      </c>
      <c r="B370" s="20" t="s">
        <v>672</v>
      </c>
      <c r="C370" s="21" t="s">
        <v>673</v>
      </c>
      <c r="D370" s="16">
        <v>316</v>
      </c>
      <c r="E370" s="16">
        <v>9</v>
      </c>
      <c r="F370" s="22">
        <v>501</v>
      </c>
      <c r="G370" s="22">
        <f t="shared" si="107"/>
        <v>15591.12</v>
      </c>
      <c r="H370" s="22">
        <v>324</v>
      </c>
      <c r="I370" s="23">
        <f t="shared" si="108"/>
        <v>10500.839999999998</v>
      </c>
      <c r="J370" s="22"/>
      <c r="K370" s="22">
        <f t="shared" si="109"/>
        <v>0</v>
      </c>
      <c r="L370" s="29"/>
      <c r="M370" s="24">
        <f t="shared" si="110"/>
        <v>0</v>
      </c>
      <c r="N370" s="30"/>
      <c r="O370" s="23">
        <f t="shared" si="111"/>
        <v>0</v>
      </c>
      <c r="P370" s="22"/>
      <c r="Q370" s="22">
        <f t="shared" si="112"/>
        <v>0</v>
      </c>
      <c r="R370" s="25"/>
      <c r="S370" s="25">
        <f t="shared" si="113"/>
        <v>0</v>
      </c>
      <c r="T370" s="25"/>
      <c r="U370" s="25">
        <f t="shared" si="95"/>
        <v>0</v>
      </c>
      <c r="V370" s="23"/>
      <c r="W370" s="23">
        <f t="shared" si="96"/>
        <v>0</v>
      </c>
      <c r="X370" s="23"/>
      <c r="Y370" s="23">
        <f t="shared" si="97"/>
        <v>0</v>
      </c>
      <c r="Z370" s="23"/>
      <c r="AA370" s="23">
        <f t="shared" si="98"/>
        <v>0</v>
      </c>
      <c r="AB370" s="23"/>
      <c r="AC370" s="23">
        <f t="shared" si="99"/>
        <v>0</v>
      </c>
      <c r="AD370" s="23"/>
      <c r="AE370" s="23">
        <f t="shared" si="100"/>
        <v>0</v>
      </c>
      <c r="AF370" s="26"/>
      <c r="AG370" s="26">
        <f t="shared" si="101"/>
        <v>0</v>
      </c>
      <c r="AH370" s="23"/>
      <c r="AI370" s="23">
        <f t="shared" si="102"/>
        <v>0</v>
      </c>
      <c r="AJ370" s="23"/>
      <c r="AK370" s="23">
        <f t="shared" si="103"/>
        <v>0</v>
      </c>
      <c r="AL370" s="26"/>
      <c r="AM370" s="26">
        <f t="shared" si="104"/>
        <v>0</v>
      </c>
      <c r="AN370" s="12">
        <f t="shared" si="105"/>
        <v>825</v>
      </c>
      <c r="AO370" s="22">
        <f t="shared" si="106"/>
        <v>26091.96</v>
      </c>
    </row>
    <row r="371" spans="1:41" s="31" customFormat="1" x14ac:dyDescent="0.5">
      <c r="A371" s="19">
        <v>367</v>
      </c>
      <c r="B371" s="20" t="s">
        <v>674</v>
      </c>
      <c r="C371" s="21" t="s">
        <v>675</v>
      </c>
      <c r="D371" s="16">
        <v>319</v>
      </c>
      <c r="E371" s="16">
        <v>9</v>
      </c>
      <c r="F371" s="22">
        <v>394</v>
      </c>
      <c r="G371" s="22">
        <f t="shared" si="107"/>
        <v>12261.28</v>
      </c>
      <c r="H371" s="22">
        <v>224</v>
      </c>
      <c r="I371" s="23">
        <f t="shared" si="108"/>
        <v>7259.8399999999992</v>
      </c>
      <c r="J371" s="22"/>
      <c r="K371" s="22">
        <f t="shared" si="109"/>
        <v>0</v>
      </c>
      <c r="L371" s="22"/>
      <c r="M371" s="24">
        <f t="shared" si="110"/>
        <v>0</v>
      </c>
      <c r="N371" s="23"/>
      <c r="O371" s="23">
        <f t="shared" si="111"/>
        <v>0</v>
      </c>
      <c r="P371" s="22">
        <v>449</v>
      </c>
      <c r="Q371" s="22">
        <f t="shared" si="112"/>
        <v>18858</v>
      </c>
      <c r="R371" s="25">
        <v>310</v>
      </c>
      <c r="S371" s="25">
        <f t="shared" si="113"/>
        <v>11997</v>
      </c>
      <c r="T371" s="25">
        <v>572</v>
      </c>
      <c r="U371" s="25">
        <f t="shared" si="95"/>
        <v>19276.400000000001</v>
      </c>
      <c r="V371" s="23">
        <v>592</v>
      </c>
      <c r="W371" s="23">
        <f t="shared" si="96"/>
        <v>19417.599999999999</v>
      </c>
      <c r="X371" s="23">
        <v>543</v>
      </c>
      <c r="Y371" s="23">
        <f t="shared" si="97"/>
        <v>19086.45</v>
      </c>
      <c r="Z371" s="23">
        <v>342</v>
      </c>
      <c r="AA371" s="23">
        <f t="shared" si="98"/>
        <v>11853.72</v>
      </c>
      <c r="AB371" s="23">
        <v>458</v>
      </c>
      <c r="AC371" s="23">
        <f t="shared" si="99"/>
        <v>16510.899999999998</v>
      </c>
      <c r="AD371" s="23">
        <v>508</v>
      </c>
      <c r="AE371" s="23">
        <f t="shared" si="100"/>
        <v>17800.32</v>
      </c>
      <c r="AF371" s="26">
        <v>587</v>
      </c>
      <c r="AG371" s="26">
        <f t="shared" si="101"/>
        <v>20063.66</v>
      </c>
      <c r="AH371" s="23">
        <v>484</v>
      </c>
      <c r="AI371" s="23">
        <f t="shared" si="102"/>
        <v>16117.199999999999</v>
      </c>
      <c r="AJ371" s="23">
        <v>479</v>
      </c>
      <c r="AK371" s="23">
        <f t="shared" si="103"/>
        <v>17220.050000000003</v>
      </c>
      <c r="AL371" s="26">
        <v>464</v>
      </c>
      <c r="AM371" s="26">
        <f t="shared" si="104"/>
        <v>17014.88</v>
      </c>
      <c r="AN371" s="12">
        <f t="shared" si="105"/>
        <v>6406</v>
      </c>
      <c r="AO371" s="22">
        <f t="shared" si="106"/>
        <v>224737.30000000005</v>
      </c>
    </row>
    <row r="372" spans="1:41" x14ac:dyDescent="0.5">
      <c r="A372" s="19">
        <v>368</v>
      </c>
      <c r="B372" s="20" t="s">
        <v>676</v>
      </c>
      <c r="C372" s="21" t="s">
        <v>677</v>
      </c>
      <c r="D372" s="16">
        <v>368</v>
      </c>
      <c r="E372" s="16">
        <v>9</v>
      </c>
      <c r="F372" s="22"/>
      <c r="G372" s="22">
        <f t="shared" si="107"/>
        <v>0</v>
      </c>
      <c r="H372" s="22"/>
      <c r="I372" s="23">
        <f t="shared" si="108"/>
        <v>0</v>
      </c>
      <c r="J372" s="22"/>
      <c r="K372" s="22">
        <f t="shared" si="109"/>
        <v>0</v>
      </c>
      <c r="L372" s="29"/>
      <c r="M372" s="24">
        <f t="shared" si="110"/>
        <v>0</v>
      </c>
      <c r="N372" s="30"/>
      <c r="O372" s="23">
        <f t="shared" si="111"/>
        <v>0</v>
      </c>
      <c r="P372" s="22">
        <v>499</v>
      </c>
      <c r="Q372" s="22">
        <f t="shared" si="112"/>
        <v>20958</v>
      </c>
      <c r="R372" s="25">
        <v>632</v>
      </c>
      <c r="S372" s="25">
        <f t="shared" si="113"/>
        <v>24458.400000000001</v>
      </c>
      <c r="T372" s="25">
        <v>1274</v>
      </c>
      <c r="U372" s="25">
        <f t="shared" si="95"/>
        <v>42933.8</v>
      </c>
      <c r="V372" s="23">
        <v>1219</v>
      </c>
      <c r="W372" s="23">
        <f t="shared" si="96"/>
        <v>39983.199999999997</v>
      </c>
      <c r="X372" s="23">
        <v>930</v>
      </c>
      <c r="Y372" s="23">
        <f t="shared" si="97"/>
        <v>32689.5</v>
      </c>
      <c r="Z372" s="23"/>
      <c r="AA372" s="23">
        <f t="shared" si="98"/>
        <v>0</v>
      </c>
      <c r="AB372" s="23"/>
      <c r="AC372" s="23">
        <f t="shared" si="99"/>
        <v>0</v>
      </c>
      <c r="AD372" s="23">
        <v>827</v>
      </c>
      <c r="AE372" s="23">
        <f t="shared" si="100"/>
        <v>28978.079999999998</v>
      </c>
      <c r="AF372" s="26">
        <v>793</v>
      </c>
      <c r="AG372" s="26">
        <f t="shared" si="101"/>
        <v>27104.739999999998</v>
      </c>
      <c r="AH372" s="23">
        <v>908</v>
      </c>
      <c r="AI372" s="23">
        <f t="shared" si="102"/>
        <v>30236.399999999998</v>
      </c>
      <c r="AJ372" s="23">
        <v>965</v>
      </c>
      <c r="AK372" s="23">
        <f t="shared" si="103"/>
        <v>34691.75</v>
      </c>
      <c r="AL372" s="26">
        <v>905</v>
      </c>
      <c r="AM372" s="26">
        <f t="shared" si="104"/>
        <v>33186.35</v>
      </c>
      <c r="AN372" s="12">
        <f t="shared" si="105"/>
        <v>8952</v>
      </c>
      <c r="AO372" s="22">
        <f t="shared" si="106"/>
        <v>315220.21999999997</v>
      </c>
    </row>
    <row r="373" spans="1:41" x14ac:dyDescent="0.5">
      <c r="A373" s="19">
        <v>369</v>
      </c>
      <c r="B373" s="27" t="s">
        <v>678</v>
      </c>
      <c r="C373" s="28" t="s">
        <v>679</v>
      </c>
      <c r="D373" s="16">
        <v>401</v>
      </c>
      <c r="E373" s="16">
        <v>9</v>
      </c>
      <c r="F373" s="22"/>
      <c r="G373" s="22">
        <f t="shared" si="107"/>
        <v>0</v>
      </c>
      <c r="H373" s="22"/>
      <c r="I373" s="23">
        <f t="shared" si="108"/>
        <v>0</v>
      </c>
      <c r="J373" s="22"/>
      <c r="K373" s="22">
        <f t="shared" si="109"/>
        <v>0</v>
      </c>
      <c r="L373" s="22"/>
      <c r="M373" s="24">
        <f t="shared" si="110"/>
        <v>0</v>
      </c>
      <c r="N373" s="23"/>
      <c r="O373" s="23">
        <f t="shared" si="111"/>
        <v>0</v>
      </c>
      <c r="P373" s="22"/>
      <c r="Q373" s="22">
        <f t="shared" si="112"/>
        <v>0</v>
      </c>
      <c r="R373" s="25"/>
      <c r="S373" s="25">
        <f t="shared" si="113"/>
        <v>0</v>
      </c>
      <c r="T373" s="25"/>
      <c r="U373" s="25">
        <f t="shared" si="95"/>
        <v>0</v>
      </c>
      <c r="V373" s="23"/>
      <c r="W373" s="23">
        <f t="shared" si="96"/>
        <v>0</v>
      </c>
      <c r="X373" s="23"/>
      <c r="Y373" s="23">
        <f t="shared" si="97"/>
        <v>0</v>
      </c>
      <c r="Z373" s="23"/>
      <c r="AA373" s="23">
        <f t="shared" si="98"/>
        <v>0</v>
      </c>
      <c r="AB373" s="23"/>
      <c r="AC373" s="23">
        <f t="shared" si="99"/>
        <v>0</v>
      </c>
      <c r="AD373" s="23"/>
      <c r="AE373" s="23">
        <f t="shared" si="100"/>
        <v>0</v>
      </c>
      <c r="AF373" s="26"/>
      <c r="AG373" s="26">
        <f t="shared" si="101"/>
        <v>0</v>
      </c>
      <c r="AH373" s="23"/>
      <c r="AI373" s="23">
        <f t="shared" si="102"/>
        <v>0</v>
      </c>
      <c r="AJ373" s="23"/>
      <c r="AK373" s="23">
        <f t="shared" si="103"/>
        <v>0</v>
      </c>
      <c r="AL373" s="23"/>
      <c r="AM373" s="26">
        <f t="shared" si="104"/>
        <v>0</v>
      </c>
      <c r="AN373" s="12">
        <f t="shared" si="105"/>
        <v>0</v>
      </c>
      <c r="AO373" s="22">
        <f t="shared" si="106"/>
        <v>0</v>
      </c>
    </row>
    <row r="374" spans="1:41" s="31" customFormat="1" x14ac:dyDescent="0.5">
      <c r="A374" s="19">
        <v>370</v>
      </c>
      <c r="B374" s="27" t="s">
        <v>680</v>
      </c>
      <c r="C374" s="28" t="s">
        <v>681</v>
      </c>
      <c r="D374" s="16">
        <v>420</v>
      </c>
      <c r="E374" s="16">
        <v>9</v>
      </c>
      <c r="F374" s="22">
        <v>919</v>
      </c>
      <c r="G374" s="22">
        <f t="shared" si="107"/>
        <v>28599.280000000002</v>
      </c>
      <c r="H374" s="22">
        <v>542</v>
      </c>
      <c r="I374" s="23">
        <f t="shared" si="108"/>
        <v>17566.219999999998</v>
      </c>
      <c r="J374" s="22">
        <v>527</v>
      </c>
      <c r="K374" s="22">
        <f t="shared" si="109"/>
        <v>17396.27</v>
      </c>
      <c r="L374" s="22">
        <v>391</v>
      </c>
      <c r="M374" s="24">
        <f t="shared" si="110"/>
        <v>13731.919999999998</v>
      </c>
      <c r="N374" s="23">
        <v>378</v>
      </c>
      <c r="O374" s="23">
        <f t="shared" si="111"/>
        <v>14458.5</v>
      </c>
      <c r="P374" s="22">
        <v>455</v>
      </c>
      <c r="Q374" s="22">
        <f t="shared" si="112"/>
        <v>19110</v>
      </c>
      <c r="R374" s="25"/>
      <c r="S374" s="25">
        <f t="shared" si="113"/>
        <v>0</v>
      </c>
      <c r="T374" s="25">
        <v>803</v>
      </c>
      <c r="U374" s="25">
        <f t="shared" si="95"/>
        <v>27061.100000000002</v>
      </c>
      <c r="V374" s="23">
        <v>700</v>
      </c>
      <c r="W374" s="23">
        <f t="shared" si="96"/>
        <v>22959.999999999996</v>
      </c>
      <c r="X374" s="23"/>
      <c r="Y374" s="23">
        <f t="shared" si="97"/>
        <v>0</v>
      </c>
      <c r="Z374" s="23">
        <v>720</v>
      </c>
      <c r="AA374" s="23">
        <f t="shared" si="98"/>
        <v>24955.199999999997</v>
      </c>
      <c r="AB374" s="23">
        <v>765</v>
      </c>
      <c r="AC374" s="23">
        <f t="shared" si="99"/>
        <v>27578.249999999996</v>
      </c>
      <c r="AD374" s="23">
        <v>760</v>
      </c>
      <c r="AE374" s="23">
        <f t="shared" si="100"/>
        <v>26630.399999999998</v>
      </c>
      <c r="AF374" s="26">
        <v>950</v>
      </c>
      <c r="AG374" s="26">
        <f t="shared" si="101"/>
        <v>32471</v>
      </c>
      <c r="AH374" s="23">
        <v>797</v>
      </c>
      <c r="AI374" s="23">
        <f t="shared" si="102"/>
        <v>26540.1</v>
      </c>
      <c r="AJ374" s="23">
        <v>814</v>
      </c>
      <c r="AK374" s="23">
        <f t="shared" si="103"/>
        <v>29263.300000000003</v>
      </c>
      <c r="AL374" s="23">
        <v>753</v>
      </c>
      <c r="AM374" s="26">
        <f t="shared" si="104"/>
        <v>27612.510000000002</v>
      </c>
      <c r="AN374" s="12">
        <f t="shared" si="105"/>
        <v>10274</v>
      </c>
      <c r="AO374" s="22">
        <f t="shared" si="106"/>
        <v>355934.05</v>
      </c>
    </row>
    <row r="375" spans="1:41" s="31" customFormat="1" x14ac:dyDescent="0.5">
      <c r="A375" s="19">
        <v>371</v>
      </c>
      <c r="B375" s="20" t="s">
        <v>682</v>
      </c>
      <c r="C375" s="21" t="s">
        <v>302</v>
      </c>
      <c r="D375" s="16">
        <v>463</v>
      </c>
      <c r="E375" s="16">
        <v>9</v>
      </c>
      <c r="F375" s="22">
        <v>2521</v>
      </c>
      <c r="G375" s="22">
        <f t="shared" si="107"/>
        <v>78453.52</v>
      </c>
      <c r="H375" s="22">
        <v>1204</v>
      </c>
      <c r="I375" s="23">
        <f t="shared" si="108"/>
        <v>39021.64</v>
      </c>
      <c r="J375" s="22">
        <v>1493</v>
      </c>
      <c r="K375" s="22">
        <f t="shared" si="109"/>
        <v>49283.93</v>
      </c>
      <c r="L375" s="22">
        <v>1003</v>
      </c>
      <c r="M375" s="24">
        <f t="shared" si="110"/>
        <v>35225.360000000001</v>
      </c>
      <c r="N375" s="23">
        <v>1254</v>
      </c>
      <c r="O375" s="23">
        <f t="shared" si="111"/>
        <v>47965.5</v>
      </c>
      <c r="P375" s="22">
        <v>1361</v>
      </c>
      <c r="Q375" s="22">
        <f t="shared" si="112"/>
        <v>57162</v>
      </c>
      <c r="R375" s="25">
        <v>936</v>
      </c>
      <c r="S375" s="25">
        <f t="shared" si="113"/>
        <v>36223.200000000004</v>
      </c>
      <c r="T375" s="25">
        <v>1348</v>
      </c>
      <c r="U375" s="25">
        <f t="shared" si="95"/>
        <v>45427.600000000006</v>
      </c>
      <c r="V375" s="23">
        <v>1500</v>
      </c>
      <c r="W375" s="23">
        <f t="shared" si="96"/>
        <v>49199.999999999993</v>
      </c>
      <c r="X375" s="23">
        <v>1722</v>
      </c>
      <c r="Y375" s="23">
        <f t="shared" si="97"/>
        <v>60528.299999999996</v>
      </c>
      <c r="Z375" s="23">
        <v>1119</v>
      </c>
      <c r="AA375" s="23">
        <f t="shared" si="98"/>
        <v>38784.539999999994</v>
      </c>
      <c r="AB375" s="23">
        <v>1153</v>
      </c>
      <c r="AC375" s="23">
        <f t="shared" si="99"/>
        <v>41565.649999999994</v>
      </c>
      <c r="AD375" s="23">
        <v>1502</v>
      </c>
      <c r="AE375" s="23">
        <f t="shared" si="100"/>
        <v>52630.080000000002</v>
      </c>
      <c r="AF375" s="26">
        <v>2720</v>
      </c>
      <c r="AG375" s="26">
        <f t="shared" si="101"/>
        <v>92969.600000000006</v>
      </c>
      <c r="AH375" s="23">
        <v>1855</v>
      </c>
      <c r="AI375" s="23">
        <f t="shared" si="102"/>
        <v>61771.499999999993</v>
      </c>
      <c r="AJ375" s="23">
        <v>2015</v>
      </c>
      <c r="AK375" s="23">
        <f t="shared" si="103"/>
        <v>72439.25</v>
      </c>
      <c r="AL375" s="26">
        <v>3092</v>
      </c>
      <c r="AM375" s="26">
        <f t="shared" si="104"/>
        <v>113383.64</v>
      </c>
      <c r="AN375" s="12">
        <f t="shared" si="105"/>
        <v>27798</v>
      </c>
      <c r="AO375" s="22">
        <f t="shared" si="106"/>
        <v>972035.30999999994</v>
      </c>
    </row>
    <row r="376" spans="1:41" s="31" customFormat="1" x14ac:dyDescent="0.5">
      <c r="A376" s="19">
        <v>372</v>
      </c>
      <c r="B376" s="27" t="s">
        <v>683</v>
      </c>
      <c r="C376" s="28" t="s">
        <v>684</v>
      </c>
      <c r="D376" s="16">
        <v>503</v>
      </c>
      <c r="E376" s="16">
        <v>9</v>
      </c>
      <c r="F376" s="22"/>
      <c r="G376" s="22">
        <f t="shared" si="107"/>
        <v>0</v>
      </c>
      <c r="H376" s="22"/>
      <c r="I376" s="23">
        <f t="shared" si="108"/>
        <v>0</v>
      </c>
      <c r="J376" s="22"/>
      <c r="K376" s="22">
        <f t="shared" si="109"/>
        <v>0</v>
      </c>
      <c r="L376" s="22"/>
      <c r="M376" s="24">
        <f t="shared" si="110"/>
        <v>0</v>
      </c>
      <c r="N376" s="23"/>
      <c r="O376" s="23">
        <f t="shared" si="111"/>
        <v>0</v>
      </c>
      <c r="P376" s="22"/>
      <c r="Q376" s="22">
        <f t="shared" si="112"/>
        <v>0</v>
      </c>
      <c r="R376" s="25"/>
      <c r="S376" s="25">
        <f t="shared" si="113"/>
        <v>0</v>
      </c>
      <c r="T376" s="25"/>
      <c r="U376" s="25">
        <f t="shared" si="95"/>
        <v>0</v>
      </c>
      <c r="V376" s="23">
        <v>203</v>
      </c>
      <c r="W376" s="23">
        <f t="shared" si="96"/>
        <v>6658.4</v>
      </c>
      <c r="X376" s="23">
        <v>231</v>
      </c>
      <c r="Y376" s="23">
        <f t="shared" si="97"/>
        <v>8119.65</v>
      </c>
      <c r="Z376" s="23"/>
      <c r="AA376" s="23">
        <f t="shared" si="98"/>
        <v>0</v>
      </c>
      <c r="AB376" s="23"/>
      <c r="AC376" s="23">
        <f t="shared" si="99"/>
        <v>0</v>
      </c>
      <c r="AD376" s="23">
        <v>121</v>
      </c>
      <c r="AE376" s="23">
        <f t="shared" si="100"/>
        <v>4239.84</v>
      </c>
      <c r="AF376" s="26">
        <v>206</v>
      </c>
      <c r="AG376" s="26">
        <f t="shared" si="101"/>
        <v>7041.08</v>
      </c>
      <c r="AH376" s="23">
        <v>122</v>
      </c>
      <c r="AI376" s="23">
        <f t="shared" si="102"/>
        <v>4062.5999999999995</v>
      </c>
      <c r="AJ376" s="23">
        <v>204</v>
      </c>
      <c r="AK376" s="23">
        <f t="shared" si="103"/>
        <v>7333.8</v>
      </c>
      <c r="AL376" s="23">
        <v>228</v>
      </c>
      <c r="AM376" s="26">
        <f t="shared" si="104"/>
        <v>8360.76</v>
      </c>
      <c r="AN376" s="12">
        <f t="shared" si="105"/>
        <v>1315</v>
      </c>
      <c r="AO376" s="22">
        <f t="shared" si="106"/>
        <v>45816.130000000005</v>
      </c>
    </row>
    <row r="377" spans="1:41" s="31" customFormat="1" x14ac:dyDescent="0.5">
      <c r="A377" s="19">
        <v>373</v>
      </c>
      <c r="B377" s="27" t="s">
        <v>685</v>
      </c>
      <c r="C377" s="28" t="s">
        <v>686</v>
      </c>
      <c r="D377" s="16">
        <v>562</v>
      </c>
      <c r="E377" s="16">
        <v>9</v>
      </c>
      <c r="F377" s="22">
        <v>1130</v>
      </c>
      <c r="G377" s="22">
        <f t="shared" si="107"/>
        <v>35165.599999999999</v>
      </c>
      <c r="H377" s="22">
        <v>396</v>
      </c>
      <c r="I377" s="23">
        <f t="shared" si="108"/>
        <v>12834.359999999999</v>
      </c>
      <c r="J377" s="22"/>
      <c r="K377" s="22">
        <f t="shared" si="109"/>
        <v>0</v>
      </c>
      <c r="L377" s="22"/>
      <c r="M377" s="24">
        <f t="shared" si="110"/>
        <v>0</v>
      </c>
      <c r="N377" s="23"/>
      <c r="O377" s="23">
        <f t="shared" si="111"/>
        <v>0</v>
      </c>
      <c r="P377" s="22"/>
      <c r="Q377" s="22">
        <f t="shared" si="112"/>
        <v>0</v>
      </c>
      <c r="R377" s="25"/>
      <c r="S377" s="25">
        <f t="shared" si="113"/>
        <v>0</v>
      </c>
      <c r="T377" s="25">
        <v>515</v>
      </c>
      <c r="U377" s="25">
        <f t="shared" si="95"/>
        <v>17355.5</v>
      </c>
      <c r="V377" s="23">
        <v>495</v>
      </c>
      <c r="W377" s="23">
        <f t="shared" si="96"/>
        <v>16235.999999999998</v>
      </c>
      <c r="X377" s="23">
        <v>347</v>
      </c>
      <c r="Y377" s="23">
        <f t="shared" si="97"/>
        <v>12197.05</v>
      </c>
      <c r="Z377" s="23">
        <v>392</v>
      </c>
      <c r="AA377" s="23">
        <f t="shared" si="98"/>
        <v>13586.72</v>
      </c>
      <c r="AB377" s="23">
        <v>430</v>
      </c>
      <c r="AC377" s="23">
        <f t="shared" si="99"/>
        <v>15501.499999999998</v>
      </c>
      <c r="AD377" s="23">
        <v>432</v>
      </c>
      <c r="AE377" s="23">
        <f t="shared" si="100"/>
        <v>15137.279999999999</v>
      </c>
      <c r="AF377" s="26">
        <v>1142</v>
      </c>
      <c r="AG377" s="26">
        <f t="shared" si="101"/>
        <v>39033.56</v>
      </c>
      <c r="AH377" s="23">
        <v>440</v>
      </c>
      <c r="AI377" s="23">
        <f t="shared" si="102"/>
        <v>14651.999999999998</v>
      </c>
      <c r="AJ377" s="23">
        <v>361</v>
      </c>
      <c r="AK377" s="23">
        <f t="shared" si="103"/>
        <v>12977.95</v>
      </c>
      <c r="AL377" s="23">
        <v>450</v>
      </c>
      <c r="AM377" s="26">
        <f t="shared" si="104"/>
        <v>16501.5</v>
      </c>
      <c r="AN377" s="12">
        <f t="shared" si="105"/>
        <v>6530</v>
      </c>
      <c r="AO377" s="22">
        <f t="shared" si="106"/>
        <v>221179.02000000002</v>
      </c>
    </row>
    <row r="378" spans="1:41" x14ac:dyDescent="0.5">
      <c r="A378" s="19">
        <v>374</v>
      </c>
      <c r="B378" s="27" t="s">
        <v>687</v>
      </c>
      <c r="C378" s="28" t="s">
        <v>537</v>
      </c>
      <c r="D378" s="16">
        <v>563</v>
      </c>
      <c r="E378" s="16">
        <v>9</v>
      </c>
      <c r="F378" s="22">
        <v>575</v>
      </c>
      <c r="G378" s="22">
        <f t="shared" si="107"/>
        <v>17894</v>
      </c>
      <c r="H378" s="22">
        <v>401</v>
      </c>
      <c r="I378" s="23">
        <f t="shared" si="108"/>
        <v>12996.409999999998</v>
      </c>
      <c r="J378" s="22">
        <v>182</v>
      </c>
      <c r="K378" s="22">
        <f t="shared" si="109"/>
        <v>6007.82</v>
      </c>
      <c r="L378" s="22">
        <v>238</v>
      </c>
      <c r="M378" s="24">
        <f t="shared" si="110"/>
        <v>8358.56</v>
      </c>
      <c r="N378" s="23"/>
      <c r="O378" s="23">
        <f t="shared" si="111"/>
        <v>0</v>
      </c>
      <c r="P378" s="22">
        <v>120</v>
      </c>
      <c r="Q378" s="22">
        <f t="shared" si="112"/>
        <v>5040</v>
      </c>
      <c r="R378" s="25">
        <v>183</v>
      </c>
      <c r="S378" s="25">
        <f t="shared" si="113"/>
        <v>7082.1</v>
      </c>
      <c r="T378" s="25">
        <v>463</v>
      </c>
      <c r="U378" s="25">
        <f t="shared" si="95"/>
        <v>15603.100000000002</v>
      </c>
      <c r="V378" s="23">
        <v>526</v>
      </c>
      <c r="W378" s="23">
        <f t="shared" si="96"/>
        <v>17252.8</v>
      </c>
      <c r="X378" s="23">
        <v>480</v>
      </c>
      <c r="Y378" s="23">
        <f t="shared" si="97"/>
        <v>16872</v>
      </c>
      <c r="Z378" s="23">
        <v>353</v>
      </c>
      <c r="AA378" s="23">
        <f t="shared" si="98"/>
        <v>12234.98</v>
      </c>
      <c r="AB378" s="23">
        <v>296</v>
      </c>
      <c r="AC378" s="23">
        <f t="shared" si="99"/>
        <v>10670.8</v>
      </c>
      <c r="AD378" s="23">
        <v>327</v>
      </c>
      <c r="AE378" s="23">
        <f t="shared" si="100"/>
        <v>11458.08</v>
      </c>
      <c r="AF378" s="26">
        <v>444</v>
      </c>
      <c r="AG378" s="26">
        <f t="shared" si="101"/>
        <v>15175.92</v>
      </c>
      <c r="AH378" s="23">
        <v>318</v>
      </c>
      <c r="AI378" s="23">
        <f t="shared" si="102"/>
        <v>10589.4</v>
      </c>
      <c r="AJ378" s="23">
        <v>368</v>
      </c>
      <c r="AK378" s="23">
        <f t="shared" si="103"/>
        <v>13229.6</v>
      </c>
      <c r="AL378" s="23">
        <v>323</v>
      </c>
      <c r="AM378" s="26">
        <f t="shared" si="104"/>
        <v>11844.41</v>
      </c>
      <c r="AN378" s="12">
        <f t="shared" si="105"/>
        <v>5597</v>
      </c>
      <c r="AO378" s="22">
        <f t="shared" si="106"/>
        <v>192309.98</v>
      </c>
    </row>
    <row r="379" spans="1:41" x14ac:dyDescent="0.5">
      <c r="A379" s="19">
        <v>375</v>
      </c>
      <c r="B379" s="27" t="s">
        <v>688</v>
      </c>
      <c r="C379" s="28" t="s">
        <v>689</v>
      </c>
      <c r="D379" s="16">
        <v>569</v>
      </c>
      <c r="E379" s="16">
        <v>9</v>
      </c>
      <c r="F379" s="22">
        <v>671</v>
      </c>
      <c r="G379" s="22">
        <f t="shared" si="107"/>
        <v>20881.52</v>
      </c>
      <c r="H379" s="22">
        <v>470</v>
      </c>
      <c r="I379" s="23">
        <f t="shared" si="108"/>
        <v>15232.699999999999</v>
      </c>
      <c r="J379" s="22"/>
      <c r="K379" s="22">
        <f t="shared" si="109"/>
        <v>0</v>
      </c>
      <c r="L379" s="29"/>
      <c r="M379" s="24">
        <f t="shared" si="110"/>
        <v>0</v>
      </c>
      <c r="N379" s="30"/>
      <c r="O379" s="23">
        <f t="shared" si="111"/>
        <v>0</v>
      </c>
      <c r="P379" s="22">
        <v>975</v>
      </c>
      <c r="Q379" s="22">
        <f t="shared" si="112"/>
        <v>40950</v>
      </c>
      <c r="R379" s="25">
        <v>649</v>
      </c>
      <c r="S379" s="25">
        <f t="shared" si="113"/>
        <v>25116.300000000003</v>
      </c>
      <c r="T379" s="25"/>
      <c r="U379" s="25">
        <f t="shared" si="95"/>
        <v>0</v>
      </c>
      <c r="V379" s="23"/>
      <c r="W379" s="23">
        <f t="shared" si="96"/>
        <v>0</v>
      </c>
      <c r="X379" s="23">
        <v>944</v>
      </c>
      <c r="Y379" s="23">
        <f t="shared" si="97"/>
        <v>33181.599999999999</v>
      </c>
      <c r="Z379" s="23"/>
      <c r="AA379" s="23">
        <f t="shared" si="98"/>
        <v>0</v>
      </c>
      <c r="AB379" s="23"/>
      <c r="AC379" s="23">
        <f t="shared" si="99"/>
        <v>0</v>
      </c>
      <c r="AD379" s="23">
        <v>826</v>
      </c>
      <c r="AE379" s="23">
        <f t="shared" si="100"/>
        <v>28943.040000000001</v>
      </c>
      <c r="AF379" s="26">
        <v>1063</v>
      </c>
      <c r="AG379" s="26">
        <f t="shared" si="101"/>
        <v>36333.339999999997</v>
      </c>
      <c r="AH379" s="23">
        <v>878</v>
      </c>
      <c r="AI379" s="23">
        <f t="shared" si="102"/>
        <v>29237.399999999998</v>
      </c>
      <c r="AJ379" s="23"/>
      <c r="AK379" s="23">
        <f t="shared" si="103"/>
        <v>0</v>
      </c>
      <c r="AL379" s="23"/>
      <c r="AM379" s="26">
        <f t="shared" si="104"/>
        <v>0</v>
      </c>
      <c r="AN379" s="12">
        <f t="shared" si="105"/>
        <v>6476</v>
      </c>
      <c r="AO379" s="22">
        <f t="shared" si="106"/>
        <v>229875.9</v>
      </c>
    </row>
    <row r="380" spans="1:41" s="31" customFormat="1" x14ac:dyDescent="0.5">
      <c r="A380" s="19">
        <v>376</v>
      </c>
      <c r="B380" s="20" t="s">
        <v>690</v>
      </c>
      <c r="C380" s="21" t="s">
        <v>691</v>
      </c>
      <c r="D380" s="16">
        <v>623</v>
      </c>
      <c r="E380" s="16">
        <v>9</v>
      </c>
      <c r="F380" s="22">
        <v>163</v>
      </c>
      <c r="G380" s="22">
        <f t="shared" si="107"/>
        <v>5072.5600000000004</v>
      </c>
      <c r="H380" s="22"/>
      <c r="I380" s="23">
        <f t="shared" si="108"/>
        <v>0</v>
      </c>
      <c r="J380" s="22">
        <v>302</v>
      </c>
      <c r="K380" s="22">
        <f t="shared" si="109"/>
        <v>9969.0199999999986</v>
      </c>
      <c r="L380" s="29"/>
      <c r="M380" s="24">
        <f t="shared" si="110"/>
        <v>0</v>
      </c>
      <c r="N380" s="30">
        <v>320</v>
      </c>
      <c r="O380" s="23">
        <f t="shared" si="111"/>
        <v>12240</v>
      </c>
      <c r="P380" s="22">
        <v>148</v>
      </c>
      <c r="Q380" s="22">
        <f t="shared" si="112"/>
        <v>6216</v>
      </c>
      <c r="R380" s="25">
        <v>226</v>
      </c>
      <c r="S380" s="25">
        <f t="shared" si="113"/>
        <v>8746.2000000000007</v>
      </c>
      <c r="T380" s="25"/>
      <c r="U380" s="25">
        <f t="shared" si="95"/>
        <v>0</v>
      </c>
      <c r="V380" s="23">
        <v>282</v>
      </c>
      <c r="W380" s="23">
        <f t="shared" si="96"/>
        <v>9249.5999999999985</v>
      </c>
      <c r="X380" s="23">
        <v>304</v>
      </c>
      <c r="Y380" s="23">
        <f t="shared" si="97"/>
        <v>10685.6</v>
      </c>
      <c r="Z380" s="23">
        <v>429</v>
      </c>
      <c r="AA380" s="23">
        <f t="shared" si="98"/>
        <v>14869.14</v>
      </c>
      <c r="AB380" s="23">
        <v>292</v>
      </c>
      <c r="AC380" s="23">
        <f t="shared" si="99"/>
        <v>10526.599999999999</v>
      </c>
      <c r="AD380" s="23">
        <v>958</v>
      </c>
      <c r="AE380" s="23">
        <f t="shared" si="100"/>
        <v>33568.32</v>
      </c>
      <c r="AF380" s="26">
        <v>1001</v>
      </c>
      <c r="AG380" s="26">
        <f t="shared" si="101"/>
        <v>34214.18</v>
      </c>
      <c r="AH380" s="23">
        <v>144</v>
      </c>
      <c r="AI380" s="23">
        <f t="shared" si="102"/>
        <v>4795.2</v>
      </c>
      <c r="AJ380" s="23">
        <v>729</v>
      </c>
      <c r="AK380" s="23">
        <f t="shared" si="103"/>
        <v>26207.550000000003</v>
      </c>
      <c r="AL380" s="26">
        <v>714</v>
      </c>
      <c r="AM380" s="26">
        <f t="shared" si="104"/>
        <v>26182.38</v>
      </c>
      <c r="AN380" s="12">
        <f t="shared" si="105"/>
        <v>6012</v>
      </c>
      <c r="AO380" s="22">
        <f t="shared" si="106"/>
        <v>212542.35000000003</v>
      </c>
    </row>
    <row r="381" spans="1:41" x14ac:dyDescent="0.5">
      <c r="A381" s="19">
        <v>377</v>
      </c>
      <c r="B381" s="27" t="s">
        <v>692</v>
      </c>
      <c r="C381" s="28" t="s">
        <v>693</v>
      </c>
      <c r="D381" s="16">
        <v>659</v>
      </c>
      <c r="E381" s="16">
        <v>9</v>
      </c>
      <c r="F381" s="22"/>
      <c r="G381" s="22">
        <f t="shared" si="107"/>
        <v>0</v>
      </c>
      <c r="H381" s="22"/>
      <c r="I381" s="23">
        <f t="shared" si="108"/>
        <v>0</v>
      </c>
      <c r="J381" s="22"/>
      <c r="K381" s="22">
        <f t="shared" si="109"/>
        <v>0</v>
      </c>
      <c r="L381" s="29"/>
      <c r="M381" s="24">
        <f t="shared" si="110"/>
        <v>0</v>
      </c>
      <c r="N381" s="30"/>
      <c r="O381" s="23">
        <f t="shared" si="111"/>
        <v>0</v>
      </c>
      <c r="P381" s="22"/>
      <c r="Q381" s="22">
        <f t="shared" si="112"/>
        <v>0</v>
      </c>
      <c r="R381" s="25"/>
      <c r="S381" s="25">
        <f t="shared" si="113"/>
        <v>0</v>
      </c>
      <c r="T381" s="25"/>
      <c r="U381" s="25">
        <f t="shared" si="95"/>
        <v>0</v>
      </c>
      <c r="V381" s="23"/>
      <c r="W381" s="23">
        <f t="shared" si="96"/>
        <v>0</v>
      </c>
      <c r="X381" s="23"/>
      <c r="Y381" s="23">
        <f t="shared" si="97"/>
        <v>0</v>
      </c>
      <c r="Z381" s="23"/>
      <c r="AA381" s="23">
        <f t="shared" si="98"/>
        <v>0</v>
      </c>
      <c r="AB381" s="23"/>
      <c r="AC381" s="23">
        <f t="shared" si="99"/>
        <v>0</v>
      </c>
      <c r="AD381" s="23"/>
      <c r="AE381" s="23">
        <f t="shared" si="100"/>
        <v>0</v>
      </c>
      <c r="AF381" s="26"/>
      <c r="AG381" s="26">
        <f t="shared" si="101"/>
        <v>0</v>
      </c>
      <c r="AH381" s="23"/>
      <c r="AI381" s="23">
        <f t="shared" si="102"/>
        <v>0</v>
      </c>
      <c r="AJ381" s="23"/>
      <c r="AK381" s="23">
        <f t="shared" si="103"/>
        <v>0</v>
      </c>
      <c r="AL381" s="23"/>
      <c r="AM381" s="26">
        <f t="shared" si="104"/>
        <v>0</v>
      </c>
      <c r="AN381" s="12">
        <f t="shared" si="105"/>
        <v>0</v>
      </c>
      <c r="AO381" s="22">
        <f t="shared" si="106"/>
        <v>0</v>
      </c>
    </row>
    <row r="382" spans="1:41" x14ac:dyDescent="0.5">
      <c r="A382" s="19">
        <v>378</v>
      </c>
      <c r="B382" s="27" t="s">
        <v>694</v>
      </c>
      <c r="C382" s="28" t="s">
        <v>695</v>
      </c>
      <c r="D382" s="16">
        <v>701</v>
      </c>
      <c r="E382" s="16">
        <v>9</v>
      </c>
      <c r="F382" s="22"/>
      <c r="G382" s="22">
        <f t="shared" si="107"/>
        <v>0</v>
      </c>
      <c r="H382" s="22"/>
      <c r="I382" s="23">
        <f t="shared" si="108"/>
        <v>0</v>
      </c>
      <c r="J382" s="22"/>
      <c r="K382" s="22">
        <f t="shared" si="109"/>
        <v>0</v>
      </c>
      <c r="L382" s="22"/>
      <c r="M382" s="24">
        <f t="shared" si="110"/>
        <v>0</v>
      </c>
      <c r="N382" s="23"/>
      <c r="O382" s="23">
        <f t="shared" si="111"/>
        <v>0</v>
      </c>
      <c r="P382" s="22"/>
      <c r="Q382" s="22">
        <f t="shared" si="112"/>
        <v>0</v>
      </c>
      <c r="R382" s="25"/>
      <c r="S382" s="25">
        <f t="shared" si="113"/>
        <v>0</v>
      </c>
      <c r="T382" s="25"/>
      <c r="U382" s="25">
        <f t="shared" si="95"/>
        <v>0</v>
      </c>
      <c r="V382" s="23"/>
      <c r="W382" s="23">
        <f t="shared" si="96"/>
        <v>0</v>
      </c>
      <c r="X382" s="23"/>
      <c r="Y382" s="23">
        <f t="shared" si="97"/>
        <v>0</v>
      </c>
      <c r="Z382" s="23"/>
      <c r="AA382" s="23">
        <f t="shared" si="98"/>
        <v>0</v>
      </c>
      <c r="AB382" s="23"/>
      <c r="AC382" s="23">
        <f t="shared" si="99"/>
        <v>0</v>
      </c>
      <c r="AD382" s="23"/>
      <c r="AE382" s="23">
        <f t="shared" si="100"/>
        <v>0</v>
      </c>
      <c r="AF382" s="26"/>
      <c r="AG382" s="26">
        <f t="shared" si="101"/>
        <v>0</v>
      </c>
      <c r="AH382" s="23"/>
      <c r="AI382" s="23">
        <f t="shared" si="102"/>
        <v>0</v>
      </c>
      <c r="AJ382" s="23"/>
      <c r="AK382" s="23">
        <f t="shared" si="103"/>
        <v>0</v>
      </c>
      <c r="AL382" s="23"/>
      <c r="AM382" s="26">
        <f t="shared" si="104"/>
        <v>0</v>
      </c>
      <c r="AN382" s="12">
        <f t="shared" si="105"/>
        <v>0</v>
      </c>
      <c r="AO382" s="22">
        <f t="shared" si="106"/>
        <v>0</v>
      </c>
    </row>
    <row r="383" spans="1:41" x14ac:dyDescent="0.5">
      <c r="A383" s="19">
        <v>379</v>
      </c>
      <c r="B383" s="20" t="s">
        <v>696</v>
      </c>
      <c r="C383" s="21" t="s">
        <v>697</v>
      </c>
      <c r="D383" s="16">
        <v>703</v>
      </c>
      <c r="E383" s="16">
        <v>9</v>
      </c>
      <c r="F383" s="22">
        <v>1283</v>
      </c>
      <c r="G383" s="22">
        <f t="shared" si="107"/>
        <v>39926.959999999999</v>
      </c>
      <c r="H383" s="22"/>
      <c r="I383" s="23">
        <f t="shared" si="108"/>
        <v>0</v>
      </c>
      <c r="J383" s="22">
        <v>533</v>
      </c>
      <c r="K383" s="22">
        <f t="shared" si="109"/>
        <v>17594.329999999998</v>
      </c>
      <c r="L383" s="22"/>
      <c r="M383" s="24">
        <f t="shared" si="110"/>
        <v>0</v>
      </c>
      <c r="N383" s="23"/>
      <c r="O383" s="23">
        <f t="shared" si="111"/>
        <v>0</v>
      </c>
      <c r="P383" s="22">
        <v>717</v>
      </c>
      <c r="Q383" s="22">
        <f t="shared" si="112"/>
        <v>30114</v>
      </c>
      <c r="R383" s="25">
        <v>860</v>
      </c>
      <c r="S383" s="25">
        <f t="shared" si="113"/>
        <v>33282</v>
      </c>
      <c r="T383" s="25">
        <v>1397</v>
      </c>
      <c r="U383" s="25">
        <f t="shared" si="95"/>
        <v>47078.9</v>
      </c>
      <c r="V383" s="23">
        <v>546</v>
      </c>
      <c r="W383" s="23">
        <f t="shared" si="96"/>
        <v>17908.8</v>
      </c>
      <c r="X383" s="23">
        <v>1434</v>
      </c>
      <c r="Y383" s="23">
        <f t="shared" si="97"/>
        <v>50405.1</v>
      </c>
      <c r="Z383" s="23">
        <v>1244</v>
      </c>
      <c r="AA383" s="23">
        <f t="shared" si="98"/>
        <v>43117.039999999994</v>
      </c>
      <c r="AB383" s="23">
        <v>363</v>
      </c>
      <c r="AC383" s="23">
        <f t="shared" si="99"/>
        <v>13086.15</v>
      </c>
      <c r="AD383" s="23">
        <v>1574</v>
      </c>
      <c r="AE383" s="23">
        <f t="shared" si="100"/>
        <v>55152.959999999999</v>
      </c>
      <c r="AF383" s="26">
        <v>1614</v>
      </c>
      <c r="AG383" s="26">
        <f t="shared" si="101"/>
        <v>55166.52</v>
      </c>
      <c r="AH383" s="23">
        <v>1289</v>
      </c>
      <c r="AI383" s="23">
        <f t="shared" si="102"/>
        <v>42923.7</v>
      </c>
      <c r="AJ383" s="23">
        <v>1517</v>
      </c>
      <c r="AK383" s="23">
        <f t="shared" si="103"/>
        <v>54536.15</v>
      </c>
      <c r="AL383" s="26">
        <v>1366</v>
      </c>
      <c r="AM383" s="26">
        <f t="shared" si="104"/>
        <v>50091.22</v>
      </c>
      <c r="AN383" s="12">
        <f t="shared" si="105"/>
        <v>15737</v>
      </c>
      <c r="AO383" s="22">
        <f t="shared" si="106"/>
        <v>550383.83000000007</v>
      </c>
    </row>
    <row r="384" spans="1:41" s="31" customFormat="1" x14ac:dyDescent="0.5">
      <c r="A384" s="19">
        <v>380</v>
      </c>
      <c r="B384" s="27" t="s">
        <v>698</v>
      </c>
      <c r="C384" s="28" t="s">
        <v>599</v>
      </c>
      <c r="D384" s="16">
        <v>704</v>
      </c>
      <c r="E384" s="16">
        <v>9</v>
      </c>
      <c r="F384" s="22">
        <v>810</v>
      </c>
      <c r="G384" s="22">
        <f t="shared" si="107"/>
        <v>25207.200000000001</v>
      </c>
      <c r="H384" s="22">
        <v>442</v>
      </c>
      <c r="I384" s="23">
        <f t="shared" si="108"/>
        <v>14325.22</v>
      </c>
      <c r="J384" s="22">
        <v>369</v>
      </c>
      <c r="K384" s="22">
        <f t="shared" si="109"/>
        <v>12180.689999999999</v>
      </c>
      <c r="L384" s="22">
        <v>319</v>
      </c>
      <c r="M384" s="24">
        <f t="shared" si="110"/>
        <v>11203.279999999999</v>
      </c>
      <c r="N384" s="23"/>
      <c r="O384" s="23">
        <f t="shared" si="111"/>
        <v>0</v>
      </c>
      <c r="P384" s="22">
        <v>666</v>
      </c>
      <c r="Q384" s="22">
        <f t="shared" si="112"/>
        <v>27972</v>
      </c>
      <c r="R384" s="25">
        <v>543</v>
      </c>
      <c r="S384" s="25">
        <f t="shared" si="113"/>
        <v>21014.100000000002</v>
      </c>
      <c r="T384" s="25">
        <v>785</v>
      </c>
      <c r="U384" s="25">
        <f t="shared" si="95"/>
        <v>26454.500000000004</v>
      </c>
      <c r="V384" s="23">
        <v>764</v>
      </c>
      <c r="W384" s="23">
        <f t="shared" si="96"/>
        <v>25059.199999999997</v>
      </c>
      <c r="X384" s="23">
        <v>963</v>
      </c>
      <c r="Y384" s="23">
        <f t="shared" si="97"/>
        <v>33849.449999999997</v>
      </c>
      <c r="Z384" s="23">
        <v>757</v>
      </c>
      <c r="AA384" s="23">
        <f t="shared" si="98"/>
        <v>26237.62</v>
      </c>
      <c r="AB384" s="23"/>
      <c r="AC384" s="23">
        <f t="shared" si="99"/>
        <v>0</v>
      </c>
      <c r="AD384" s="23">
        <v>722</v>
      </c>
      <c r="AE384" s="23">
        <f t="shared" si="100"/>
        <v>25298.880000000001</v>
      </c>
      <c r="AF384" s="26">
        <v>827</v>
      </c>
      <c r="AG384" s="26">
        <f t="shared" si="101"/>
        <v>28266.86</v>
      </c>
      <c r="AH384" s="23">
        <v>735</v>
      </c>
      <c r="AI384" s="23">
        <f t="shared" si="102"/>
        <v>24475.499999999996</v>
      </c>
      <c r="AJ384" s="23">
        <v>1004</v>
      </c>
      <c r="AK384" s="23">
        <f t="shared" si="103"/>
        <v>36093.800000000003</v>
      </c>
      <c r="AL384" s="23">
        <v>849</v>
      </c>
      <c r="AM384" s="26">
        <f t="shared" si="104"/>
        <v>31132.83</v>
      </c>
      <c r="AN384" s="12">
        <f t="shared" si="105"/>
        <v>10555</v>
      </c>
      <c r="AO384" s="22">
        <f t="shared" si="106"/>
        <v>368771.13</v>
      </c>
    </row>
    <row r="385" spans="1:41" x14ac:dyDescent="0.5">
      <c r="A385" s="19">
        <v>381</v>
      </c>
      <c r="B385" s="20" t="s">
        <v>699</v>
      </c>
      <c r="C385" s="21" t="s">
        <v>686</v>
      </c>
      <c r="D385" s="16">
        <v>717</v>
      </c>
      <c r="E385" s="16">
        <v>9</v>
      </c>
      <c r="F385" s="22">
        <v>322</v>
      </c>
      <c r="G385" s="22">
        <f t="shared" si="107"/>
        <v>10020.64</v>
      </c>
      <c r="H385" s="22">
        <v>205</v>
      </c>
      <c r="I385" s="23">
        <f t="shared" si="108"/>
        <v>6644.0499999999993</v>
      </c>
      <c r="J385" s="22">
        <v>332</v>
      </c>
      <c r="K385" s="22">
        <f t="shared" si="109"/>
        <v>10959.32</v>
      </c>
      <c r="L385" s="29"/>
      <c r="M385" s="24">
        <f t="shared" si="110"/>
        <v>0</v>
      </c>
      <c r="N385" s="30"/>
      <c r="O385" s="23">
        <f t="shared" si="111"/>
        <v>0</v>
      </c>
      <c r="P385" s="22">
        <v>985</v>
      </c>
      <c r="Q385" s="22">
        <f t="shared" si="112"/>
        <v>41370</v>
      </c>
      <c r="R385" s="25">
        <v>738</v>
      </c>
      <c r="S385" s="25">
        <f t="shared" si="113"/>
        <v>28560.600000000002</v>
      </c>
      <c r="T385" s="25">
        <v>794</v>
      </c>
      <c r="U385" s="25">
        <f t="shared" si="95"/>
        <v>26757.800000000003</v>
      </c>
      <c r="V385" s="23">
        <v>733</v>
      </c>
      <c r="W385" s="23">
        <f t="shared" si="96"/>
        <v>24042.399999999998</v>
      </c>
      <c r="X385" s="23">
        <v>767</v>
      </c>
      <c r="Y385" s="23">
        <f t="shared" si="97"/>
        <v>26960.05</v>
      </c>
      <c r="Z385" s="23">
        <v>984</v>
      </c>
      <c r="AA385" s="23">
        <f t="shared" si="98"/>
        <v>34105.439999999995</v>
      </c>
      <c r="AB385" s="23"/>
      <c r="AC385" s="23">
        <f t="shared" si="99"/>
        <v>0</v>
      </c>
      <c r="AD385" s="23">
        <v>588</v>
      </c>
      <c r="AE385" s="23">
        <f t="shared" si="100"/>
        <v>20603.52</v>
      </c>
      <c r="AF385" s="26">
        <v>702</v>
      </c>
      <c r="AG385" s="26">
        <f t="shared" si="101"/>
        <v>23994.36</v>
      </c>
      <c r="AH385" s="23">
        <v>888</v>
      </c>
      <c r="AI385" s="23">
        <f t="shared" si="102"/>
        <v>29570.399999999998</v>
      </c>
      <c r="AJ385" s="23">
        <v>1110</v>
      </c>
      <c r="AK385" s="23">
        <f t="shared" si="103"/>
        <v>39904.5</v>
      </c>
      <c r="AL385" s="26">
        <v>1110</v>
      </c>
      <c r="AM385" s="26">
        <f t="shared" si="104"/>
        <v>40703.700000000004</v>
      </c>
      <c r="AN385" s="12">
        <f t="shared" si="105"/>
        <v>10258</v>
      </c>
      <c r="AO385" s="22">
        <f t="shared" si="106"/>
        <v>364196.78</v>
      </c>
    </row>
    <row r="386" spans="1:41" x14ac:dyDescent="0.5">
      <c r="A386" s="19">
        <v>382</v>
      </c>
      <c r="B386" s="20" t="s">
        <v>700</v>
      </c>
      <c r="C386" s="21" t="s">
        <v>701</v>
      </c>
      <c r="D386" s="16">
        <v>720</v>
      </c>
      <c r="E386" s="16">
        <v>9</v>
      </c>
      <c r="F386" s="22">
        <v>875</v>
      </c>
      <c r="G386" s="22">
        <f t="shared" si="107"/>
        <v>27230</v>
      </c>
      <c r="H386" s="22">
        <v>512</v>
      </c>
      <c r="I386" s="23">
        <f t="shared" si="108"/>
        <v>16593.919999999998</v>
      </c>
      <c r="J386" s="22">
        <v>597</v>
      </c>
      <c r="K386" s="22">
        <f t="shared" si="109"/>
        <v>19706.969999999998</v>
      </c>
      <c r="L386" s="29">
        <v>525</v>
      </c>
      <c r="M386" s="24">
        <f t="shared" si="110"/>
        <v>18438</v>
      </c>
      <c r="N386" s="30">
        <v>497</v>
      </c>
      <c r="O386" s="23">
        <f t="shared" si="111"/>
        <v>19010.25</v>
      </c>
      <c r="P386" s="22">
        <v>610</v>
      </c>
      <c r="Q386" s="22">
        <f t="shared" si="112"/>
        <v>25620</v>
      </c>
      <c r="R386" s="25">
        <v>510</v>
      </c>
      <c r="S386" s="25">
        <f t="shared" si="113"/>
        <v>19737</v>
      </c>
      <c r="T386" s="25">
        <v>829</v>
      </c>
      <c r="U386" s="25">
        <f t="shared" si="95"/>
        <v>27937.300000000003</v>
      </c>
      <c r="V386" s="23">
        <v>727</v>
      </c>
      <c r="W386" s="23">
        <f t="shared" si="96"/>
        <v>23845.599999999999</v>
      </c>
      <c r="X386" s="23">
        <v>764</v>
      </c>
      <c r="Y386" s="23">
        <f t="shared" si="97"/>
        <v>26854.6</v>
      </c>
      <c r="Z386" s="23">
        <v>689</v>
      </c>
      <c r="AA386" s="23">
        <f t="shared" si="98"/>
        <v>23880.739999999998</v>
      </c>
      <c r="AB386" s="23">
        <v>662</v>
      </c>
      <c r="AC386" s="23">
        <f t="shared" si="99"/>
        <v>23865.1</v>
      </c>
      <c r="AD386" s="23">
        <v>690</v>
      </c>
      <c r="AE386" s="23">
        <f t="shared" si="100"/>
        <v>24177.599999999999</v>
      </c>
      <c r="AF386" s="26">
        <v>837</v>
      </c>
      <c r="AG386" s="26">
        <f t="shared" si="101"/>
        <v>28608.66</v>
      </c>
      <c r="AH386" s="23">
        <v>718</v>
      </c>
      <c r="AI386" s="23">
        <f t="shared" si="102"/>
        <v>23909.399999999998</v>
      </c>
      <c r="AJ386" s="23">
        <v>787</v>
      </c>
      <c r="AK386" s="23">
        <f t="shared" si="103"/>
        <v>28292.65</v>
      </c>
      <c r="AL386" s="26">
        <v>930</v>
      </c>
      <c r="AM386" s="26">
        <f t="shared" si="104"/>
        <v>34103.1</v>
      </c>
      <c r="AN386" s="12">
        <f t="shared" si="105"/>
        <v>11759</v>
      </c>
      <c r="AO386" s="22">
        <f t="shared" si="106"/>
        <v>411810.88999999996</v>
      </c>
    </row>
    <row r="387" spans="1:41" s="31" customFormat="1" x14ac:dyDescent="0.5">
      <c r="A387" s="19">
        <v>383</v>
      </c>
      <c r="B387" s="27" t="s">
        <v>702</v>
      </c>
      <c r="C387" s="28" t="s">
        <v>686</v>
      </c>
      <c r="D387" s="16">
        <v>722</v>
      </c>
      <c r="E387" s="16">
        <v>9</v>
      </c>
      <c r="F387" s="22"/>
      <c r="G387" s="22">
        <f t="shared" si="107"/>
        <v>0</v>
      </c>
      <c r="H387" s="22"/>
      <c r="I387" s="23">
        <f t="shared" si="108"/>
        <v>0</v>
      </c>
      <c r="J387" s="22"/>
      <c r="K387" s="22">
        <f t="shared" si="109"/>
        <v>0</v>
      </c>
      <c r="L387" s="22"/>
      <c r="M387" s="24">
        <f t="shared" si="110"/>
        <v>0</v>
      </c>
      <c r="N387" s="23"/>
      <c r="O387" s="23">
        <f t="shared" si="111"/>
        <v>0</v>
      </c>
      <c r="P387" s="22"/>
      <c r="Q387" s="22">
        <f t="shared" si="112"/>
        <v>0</v>
      </c>
      <c r="R387" s="25"/>
      <c r="S387" s="25">
        <f t="shared" si="113"/>
        <v>0</v>
      </c>
      <c r="T387" s="25"/>
      <c r="U387" s="25">
        <f t="shared" si="95"/>
        <v>0</v>
      </c>
      <c r="V387" s="23"/>
      <c r="W387" s="23">
        <f t="shared" si="96"/>
        <v>0</v>
      </c>
      <c r="X387" s="23"/>
      <c r="Y387" s="23">
        <f t="shared" si="97"/>
        <v>0</v>
      </c>
      <c r="Z387" s="23"/>
      <c r="AA387" s="23">
        <f t="shared" si="98"/>
        <v>0</v>
      </c>
      <c r="AB387" s="23"/>
      <c r="AC387" s="23">
        <f t="shared" si="99"/>
        <v>0</v>
      </c>
      <c r="AD387" s="23"/>
      <c r="AE387" s="23">
        <f t="shared" si="100"/>
        <v>0</v>
      </c>
      <c r="AF387" s="26"/>
      <c r="AG387" s="26">
        <f t="shared" si="101"/>
        <v>0</v>
      </c>
      <c r="AH387" s="23"/>
      <c r="AI387" s="23">
        <f t="shared" si="102"/>
        <v>0</v>
      </c>
      <c r="AJ387" s="23"/>
      <c r="AK387" s="23">
        <f t="shared" si="103"/>
        <v>0</v>
      </c>
      <c r="AL387" s="23"/>
      <c r="AM387" s="26">
        <f t="shared" si="104"/>
        <v>0</v>
      </c>
      <c r="AN387" s="12">
        <f t="shared" si="105"/>
        <v>0</v>
      </c>
      <c r="AO387" s="22">
        <f t="shared" si="106"/>
        <v>0</v>
      </c>
    </row>
    <row r="388" spans="1:41" x14ac:dyDescent="0.5">
      <c r="A388" s="19">
        <v>384</v>
      </c>
      <c r="B388" s="20" t="s">
        <v>703</v>
      </c>
      <c r="C388" s="21" t="s">
        <v>704</v>
      </c>
      <c r="D388" s="16">
        <v>723</v>
      </c>
      <c r="E388" s="16">
        <v>9</v>
      </c>
      <c r="F388" s="22">
        <v>3395</v>
      </c>
      <c r="G388" s="22">
        <f t="shared" si="107"/>
        <v>105652.40000000001</v>
      </c>
      <c r="H388" s="22">
        <v>2632</v>
      </c>
      <c r="I388" s="23">
        <f t="shared" si="108"/>
        <v>85303.12</v>
      </c>
      <c r="J388" s="22">
        <v>2042</v>
      </c>
      <c r="K388" s="22">
        <f t="shared" si="109"/>
        <v>67406.42</v>
      </c>
      <c r="L388" s="29">
        <v>1397</v>
      </c>
      <c r="M388" s="24">
        <f t="shared" si="110"/>
        <v>49062.64</v>
      </c>
      <c r="N388" s="30">
        <v>2051</v>
      </c>
      <c r="O388" s="23">
        <f t="shared" si="111"/>
        <v>78450.75</v>
      </c>
      <c r="P388" s="22">
        <v>2666</v>
      </c>
      <c r="Q388" s="22">
        <f t="shared" si="112"/>
        <v>111972</v>
      </c>
      <c r="R388" s="25">
        <v>2326</v>
      </c>
      <c r="S388" s="25">
        <f t="shared" si="113"/>
        <v>90016.200000000012</v>
      </c>
      <c r="T388" s="25">
        <v>2590</v>
      </c>
      <c r="U388" s="25">
        <f t="shared" si="95"/>
        <v>87283.000000000015</v>
      </c>
      <c r="V388" s="23">
        <v>3022</v>
      </c>
      <c r="W388" s="23">
        <f t="shared" si="96"/>
        <v>99121.599999999991</v>
      </c>
      <c r="X388" s="23">
        <v>2894</v>
      </c>
      <c r="Y388" s="23">
        <f t="shared" si="97"/>
        <v>101724.09999999999</v>
      </c>
      <c r="Z388" s="23">
        <v>2176</v>
      </c>
      <c r="AA388" s="23">
        <f t="shared" si="98"/>
        <v>75420.159999999989</v>
      </c>
      <c r="AB388" s="23">
        <v>2313</v>
      </c>
      <c r="AC388" s="23">
        <f t="shared" si="99"/>
        <v>83383.649999999994</v>
      </c>
      <c r="AD388" s="23">
        <v>2500</v>
      </c>
      <c r="AE388" s="23">
        <f t="shared" si="100"/>
        <v>87600</v>
      </c>
      <c r="AF388" s="26">
        <v>3388</v>
      </c>
      <c r="AG388" s="26">
        <f t="shared" si="101"/>
        <v>115801.84</v>
      </c>
      <c r="AH388" s="23">
        <v>3323</v>
      </c>
      <c r="AI388" s="23">
        <f t="shared" si="102"/>
        <v>110655.9</v>
      </c>
      <c r="AJ388" s="23">
        <v>3970</v>
      </c>
      <c r="AK388" s="23">
        <f t="shared" si="103"/>
        <v>142721.5</v>
      </c>
      <c r="AL388" s="26">
        <v>3937</v>
      </c>
      <c r="AM388" s="26">
        <f t="shared" si="104"/>
        <v>144369.79</v>
      </c>
      <c r="AN388" s="12">
        <f t="shared" si="105"/>
        <v>46622</v>
      </c>
      <c r="AO388" s="22">
        <f t="shared" si="106"/>
        <v>1635945.07</v>
      </c>
    </row>
    <row r="389" spans="1:41" x14ac:dyDescent="0.5">
      <c r="A389" s="19">
        <v>385</v>
      </c>
      <c r="B389" s="20" t="s">
        <v>631</v>
      </c>
      <c r="C389" s="21" t="s">
        <v>705</v>
      </c>
      <c r="D389" s="16">
        <v>727</v>
      </c>
      <c r="E389" s="16">
        <v>9</v>
      </c>
      <c r="F389" s="22">
        <v>604</v>
      </c>
      <c r="G389" s="22">
        <f t="shared" si="107"/>
        <v>18796.48</v>
      </c>
      <c r="H389" s="22">
        <v>684</v>
      </c>
      <c r="I389" s="23">
        <f t="shared" si="108"/>
        <v>22168.44</v>
      </c>
      <c r="J389" s="22">
        <v>827</v>
      </c>
      <c r="K389" s="22">
        <f t="shared" si="109"/>
        <v>27299.269999999997</v>
      </c>
      <c r="L389" s="22">
        <v>279</v>
      </c>
      <c r="M389" s="24">
        <f t="shared" si="110"/>
        <v>9798.48</v>
      </c>
      <c r="N389" s="23"/>
      <c r="O389" s="23">
        <f t="shared" si="111"/>
        <v>0</v>
      </c>
      <c r="P389" s="22">
        <v>717</v>
      </c>
      <c r="Q389" s="22">
        <f t="shared" si="112"/>
        <v>30114</v>
      </c>
      <c r="R389" s="25">
        <v>500</v>
      </c>
      <c r="S389" s="25">
        <f t="shared" si="113"/>
        <v>19350</v>
      </c>
      <c r="T389" s="25">
        <v>717</v>
      </c>
      <c r="U389" s="25">
        <f t="shared" si="95"/>
        <v>24162.9</v>
      </c>
      <c r="V389" s="23">
        <v>1041</v>
      </c>
      <c r="W389" s="23">
        <f t="shared" si="96"/>
        <v>34144.799999999996</v>
      </c>
      <c r="X389" s="23">
        <v>1068</v>
      </c>
      <c r="Y389" s="23">
        <f t="shared" si="97"/>
        <v>37540.199999999997</v>
      </c>
      <c r="Z389" s="23">
        <v>937</v>
      </c>
      <c r="AA389" s="23">
        <f t="shared" si="98"/>
        <v>32476.42</v>
      </c>
      <c r="AB389" s="23">
        <v>899</v>
      </c>
      <c r="AC389" s="23">
        <f t="shared" si="99"/>
        <v>32408.949999999997</v>
      </c>
      <c r="AD389" s="23">
        <v>993</v>
      </c>
      <c r="AE389" s="23">
        <f t="shared" si="100"/>
        <v>34794.720000000001</v>
      </c>
      <c r="AF389" s="26">
        <v>1366</v>
      </c>
      <c r="AG389" s="26">
        <f t="shared" si="101"/>
        <v>46689.88</v>
      </c>
      <c r="AH389" s="23">
        <v>1019</v>
      </c>
      <c r="AI389" s="23">
        <f t="shared" si="102"/>
        <v>33932.699999999997</v>
      </c>
      <c r="AJ389" s="23">
        <v>962</v>
      </c>
      <c r="AK389" s="23">
        <f t="shared" si="103"/>
        <v>34583.9</v>
      </c>
      <c r="AL389" s="26">
        <v>963</v>
      </c>
      <c r="AM389" s="26">
        <f t="shared" si="104"/>
        <v>35313.21</v>
      </c>
      <c r="AN389" s="12">
        <f t="shared" si="105"/>
        <v>13576</v>
      </c>
      <c r="AO389" s="22">
        <f t="shared" si="106"/>
        <v>473574.35000000009</v>
      </c>
    </row>
    <row r="390" spans="1:41" s="31" customFormat="1" x14ac:dyDescent="0.5">
      <c r="A390" s="19">
        <v>386</v>
      </c>
      <c r="B390" s="20" t="s">
        <v>706</v>
      </c>
      <c r="C390" s="21" t="s">
        <v>265</v>
      </c>
      <c r="D390" s="16">
        <v>743</v>
      </c>
      <c r="E390" s="16">
        <v>9</v>
      </c>
      <c r="F390" s="22"/>
      <c r="G390" s="22">
        <f t="shared" si="107"/>
        <v>0</v>
      </c>
      <c r="H390" s="22">
        <v>517</v>
      </c>
      <c r="I390" s="23">
        <f t="shared" si="108"/>
        <v>16755.969999999998</v>
      </c>
      <c r="J390" s="22"/>
      <c r="K390" s="22">
        <f t="shared" si="109"/>
        <v>0</v>
      </c>
      <c r="L390" s="22"/>
      <c r="M390" s="24">
        <f t="shared" si="110"/>
        <v>0</v>
      </c>
      <c r="N390" s="23"/>
      <c r="O390" s="23">
        <f t="shared" si="111"/>
        <v>0</v>
      </c>
      <c r="P390" s="22"/>
      <c r="Q390" s="22">
        <f t="shared" si="112"/>
        <v>0</v>
      </c>
      <c r="R390" s="25">
        <v>260</v>
      </c>
      <c r="S390" s="25">
        <f t="shared" si="113"/>
        <v>10062</v>
      </c>
      <c r="T390" s="25"/>
      <c r="U390" s="25">
        <f t="shared" ref="U390:U453" si="114">T390*33.7</f>
        <v>0</v>
      </c>
      <c r="V390" s="23"/>
      <c r="W390" s="23">
        <f t="shared" ref="W390:W453" si="115">V390*32.8</f>
        <v>0</v>
      </c>
      <c r="X390" s="23"/>
      <c r="Y390" s="23">
        <f t="shared" ref="Y390:Y453" si="116">X390*35.15</f>
        <v>0</v>
      </c>
      <c r="Z390" s="23"/>
      <c r="AA390" s="23">
        <f t="shared" ref="AA390:AA453" si="117">Z390*34.66</f>
        <v>0</v>
      </c>
      <c r="AB390" s="23"/>
      <c r="AC390" s="23">
        <f t="shared" ref="AC390:AC453" si="118">AB390*36.05</f>
        <v>0</v>
      </c>
      <c r="AD390" s="23"/>
      <c r="AE390" s="23">
        <f t="shared" ref="AE390:AE453" si="119">AD390*35.04</f>
        <v>0</v>
      </c>
      <c r="AF390" s="26"/>
      <c r="AG390" s="26">
        <f t="shared" si="101"/>
        <v>0</v>
      </c>
      <c r="AH390" s="23"/>
      <c r="AI390" s="23">
        <f t="shared" si="102"/>
        <v>0</v>
      </c>
      <c r="AJ390" s="23"/>
      <c r="AK390" s="23">
        <f t="shared" ref="AK390:AK453" si="120">AJ390*35.95</f>
        <v>0</v>
      </c>
      <c r="AL390" s="26"/>
      <c r="AM390" s="26">
        <f t="shared" ref="AM390:AM453" si="121">AL390*36.67</f>
        <v>0</v>
      </c>
      <c r="AN390" s="12">
        <f t="shared" ref="AN390:AN453" si="122">F390+H390+J390+L390+N390+P390+R390+T390+V390+X390+Z390+AB390+AD390+AF390+AH390+AJ390+AL390</f>
        <v>777</v>
      </c>
      <c r="AO390" s="22">
        <f t="shared" ref="AO390:AO453" si="123">G390+I390+K390+M390+O390+Q390+S390+U390+W390+Y390+AA390+AC390+AE390+AG390+AI390+AK390+AM390</f>
        <v>26817.969999999998</v>
      </c>
    </row>
    <row r="391" spans="1:41" s="31" customFormat="1" x14ac:dyDescent="0.5">
      <c r="A391" s="19">
        <v>387</v>
      </c>
      <c r="B391" s="20" t="s">
        <v>707</v>
      </c>
      <c r="C391" s="21" t="s">
        <v>708</v>
      </c>
      <c r="D391" s="16">
        <v>747</v>
      </c>
      <c r="E391" s="16">
        <v>9</v>
      </c>
      <c r="F391" s="22">
        <v>227</v>
      </c>
      <c r="G391" s="22">
        <f t="shared" si="107"/>
        <v>7064.24</v>
      </c>
      <c r="H391" s="22"/>
      <c r="I391" s="23">
        <f t="shared" si="108"/>
        <v>0</v>
      </c>
      <c r="J391" s="22"/>
      <c r="K391" s="22">
        <f t="shared" si="109"/>
        <v>0</v>
      </c>
      <c r="L391" s="22"/>
      <c r="M391" s="24">
        <f t="shared" si="110"/>
        <v>0</v>
      </c>
      <c r="N391" s="23"/>
      <c r="O391" s="23">
        <f t="shared" si="111"/>
        <v>0</v>
      </c>
      <c r="P391" s="22"/>
      <c r="Q391" s="22">
        <f t="shared" si="112"/>
        <v>0</v>
      </c>
      <c r="R391" s="25"/>
      <c r="S391" s="25">
        <f t="shared" si="113"/>
        <v>0</v>
      </c>
      <c r="T391" s="25"/>
      <c r="U391" s="25">
        <f t="shared" si="114"/>
        <v>0</v>
      </c>
      <c r="V391" s="23"/>
      <c r="W391" s="23">
        <f t="shared" si="115"/>
        <v>0</v>
      </c>
      <c r="X391" s="23"/>
      <c r="Y391" s="23">
        <f t="shared" si="116"/>
        <v>0</v>
      </c>
      <c r="Z391" s="23">
        <v>236</v>
      </c>
      <c r="AA391" s="23">
        <f t="shared" si="117"/>
        <v>8179.7599999999993</v>
      </c>
      <c r="AB391" s="23">
        <v>211</v>
      </c>
      <c r="AC391" s="23">
        <f t="shared" si="118"/>
        <v>7606.5499999999993</v>
      </c>
      <c r="AD391" s="23">
        <v>196</v>
      </c>
      <c r="AE391" s="23">
        <f t="shared" si="119"/>
        <v>6867.84</v>
      </c>
      <c r="AF391" s="26">
        <v>220</v>
      </c>
      <c r="AG391" s="26">
        <f t="shared" ref="AG391:AG454" si="124">AF391*34.18</f>
        <v>7519.6</v>
      </c>
      <c r="AH391" s="23">
        <v>324</v>
      </c>
      <c r="AI391" s="23">
        <f t="shared" ref="AI391:AI454" si="125">AH391*33.3</f>
        <v>10789.199999999999</v>
      </c>
      <c r="AJ391" s="23">
        <v>350</v>
      </c>
      <c r="AK391" s="23">
        <f t="shared" si="120"/>
        <v>12582.500000000002</v>
      </c>
      <c r="AL391" s="26">
        <v>178</v>
      </c>
      <c r="AM391" s="26">
        <f t="shared" si="121"/>
        <v>6527.26</v>
      </c>
      <c r="AN391" s="12">
        <f t="shared" si="122"/>
        <v>1942</v>
      </c>
      <c r="AO391" s="22">
        <f t="shared" si="123"/>
        <v>67136.95</v>
      </c>
    </row>
    <row r="392" spans="1:41" s="31" customFormat="1" x14ac:dyDescent="0.5">
      <c r="A392" s="19">
        <v>388</v>
      </c>
      <c r="B392" s="27" t="s">
        <v>709</v>
      </c>
      <c r="C392" s="28" t="s">
        <v>710</v>
      </c>
      <c r="D392" s="16">
        <v>749</v>
      </c>
      <c r="E392" s="16">
        <v>9</v>
      </c>
      <c r="F392" s="22"/>
      <c r="G392" s="22">
        <f t="shared" si="107"/>
        <v>0</v>
      </c>
      <c r="H392" s="22"/>
      <c r="I392" s="23">
        <f t="shared" si="108"/>
        <v>0</v>
      </c>
      <c r="J392" s="22"/>
      <c r="K392" s="22">
        <f t="shared" si="109"/>
        <v>0</v>
      </c>
      <c r="L392" s="22"/>
      <c r="M392" s="24">
        <f t="shared" si="110"/>
        <v>0</v>
      </c>
      <c r="N392" s="23"/>
      <c r="O392" s="23">
        <f t="shared" si="111"/>
        <v>0</v>
      </c>
      <c r="P392" s="22"/>
      <c r="Q392" s="22">
        <f t="shared" si="112"/>
        <v>0</v>
      </c>
      <c r="R392" s="25"/>
      <c r="S392" s="25">
        <f t="shared" si="113"/>
        <v>0</v>
      </c>
      <c r="T392" s="25"/>
      <c r="U392" s="25">
        <f t="shared" si="114"/>
        <v>0</v>
      </c>
      <c r="V392" s="23"/>
      <c r="W392" s="23">
        <f t="shared" si="115"/>
        <v>0</v>
      </c>
      <c r="X392" s="23"/>
      <c r="Y392" s="23">
        <f t="shared" si="116"/>
        <v>0</v>
      </c>
      <c r="Z392" s="23"/>
      <c r="AA392" s="23">
        <f t="shared" si="117"/>
        <v>0</v>
      </c>
      <c r="AB392" s="23"/>
      <c r="AC392" s="23">
        <f t="shared" si="118"/>
        <v>0</v>
      </c>
      <c r="AD392" s="23"/>
      <c r="AE392" s="23">
        <f t="shared" si="119"/>
        <v>0</v>
      </c>
      <c r="AF392" s="26"/>
      <c r="AG392" s="26">
        <f t="shared" si="124"/>
        <v>0</v>
      </c>
      <c r="AH392" s="23"/>
      <c r="AI392" s="23">
        <f t="shared" si="125"/>
        <v>0</v>
      </c>
      <c r="AJ392" s="23"/>
      <c r="AK392" s="23">
        <f t="shared" si="120"/>
        <v>0</v>
      </c>
      <c r="AL392" s="23"/>
      <c r="AM392" s="26">
        <f t="shared" si="121"/>
        <v>0</v>
      </c>
      <c r="AN392" s="12">
        <f t="shared" si="122"/>
        <v>0</v>
      </c>
      <c r="AO392" s="22">
        <f t="shared" si="123"/>
        <v>0</v>
      </c>
    </row>
    <row r="393" spans="1:41" s="31" customFormat="1" x14ac:dyDescent="0.5">
      <c r="A393" s="19">
        <v>389</v>
      </c>
      <c r="B393" s="27" t="s">
        <v>711</v>
      </c>
      <c r="C393" s="28" t="s">
        <v>712</v>
      </c>
      <c r="D393" s="16">
        <v>752</v>
      </c>
      <c r="E393" s="16">
        <v>9</v>
      </c>
      <c r="F393" s="22"/>
      <c r="G393" s="22">
        <f t="shared" si="107"/>
        <v>0</v>
      </c>
      <c r="H393" s="22"/>
      <c r="I393" s="23">
        <f t="shared" si="108"/>
        <v>0</v>
      </c>
      <c r="J393" s="22"/>
      <c r="K393" s="22">
        <f t="shared" si="109"/>
        <v>0</v>
      </c>
      <c r="L393" s="22"/>
      <c r="M393" s="24">
        <f t="shared" si="110"/>
        <v>0</v>
      </c>
      <c r="N393" s="23"/>
      <c r="O393" s="23">
        <f t="shared" si="111"/>
        <v>0</v>
      </c>
      <c r="P393" s="22"/>
      <c r="Q393" s="22">
        <f t="shared" si="112"/>
        <v>0</v>
      </c>
      <c r="R393" s="25"/>
      <c r="S393" s="25">
        <f t="shared" si="113"/>
        <v>0</v>
      </c>
      <c r="T393" s="25"/>
      <c r="U393" s="25">
        <f t="shared" si="114"/>
        <v>0</v>
      </c>
      <c r="V393" s="23"/>
      <c r="W393" s="23">
        <f t="shared" si="115"/>
        <v>0</v>
      </c>
      <c r="X393" s="23"/>
      <c r="Y393" s="23">
        <f t="shared" si="116"/>
        <v>0</v>
      </c>
      <c r="Z393" s="23"/>
      <c r="AA393" s="23">
        <f t="shared" si="117"/>
        <v>0</v>
      </c>
      <c r="AB393" s="23"/>
      <c r="AC393" s="23">
        <f t="shared" si="118"/>
        <v>0</v>
      </c>
      <c r="AD393" s="23"/>
      <c r="AE393" s="23">
        <f t="shared" si="119"/>
        <v>0</v>
      </c>
      <c r="AF393" s="26"/>
      <c r="AG393" s="26">
        <f t="shared" si="124"/>
        <v>0</v>
      </c>
      <c r="AH393" s="23"/>
      <c r="AI393" s="23">
        <f t="shared" si="125"/>
        <v>0</v>
      </c>
      <c r="AJ393" s="23"/>
      <c r="AK393" s="23">
        <f t="shared" si="120"/>
        <v>0</v>
      </c>
      <c r="AL393" s="23"/>
      <c r="AM393" s="26">
        <f t="shared" si="121"/>
        <v>0</v>
      </c>
      <c r="AN393" s="12">
        <f t="shared" si="122"/>
        <v>0</v>
      </c>
      <c r="AO393" s="22">
        <f t="shared" si="123"/>
        <v>0</v>
      </c>
    </row>
    <row r="394" spans="1:41" x14ac:dyDescent="0.5">
      <c r="A394" s="19">
        <v>390</v>
      </c>
      <c r="B394" s="27" t="s">
        <v>713</v>
      </c>
      <c r="C394" s="28" t="s">
        <v>714</v>
      </c>
      <c r="D394" s="16">
        <v>753</v>
      </c>
      <c r="E394" s="16">
        <v>9</v>
      </c>
      <c r="F394" s="22"/>
      <c r="G394" s="22">
        <f t="shared" si="107"/>
        <v>0</v>
      </c>
      <c r="H394" s="22"/>
      <c r="I394" s="23">
        <f t="shared" si="108"/>
        <v>0</v>
      </c>
      <c r="J394" s="22"/>
      <c r="K394" s="22">
        <f t="shared" si="109"/>
        <v>0</v>
      </c>
      <c r="L394" s="29"/>
      <c r="M394" s="24">
        <f t="shared" si="110"/>
        <v>0</v>
      </c>
      <c r="N394" s="30"/>
      <c r="O394" s="23">
        <f t="shared" si="111"/>
        <v>0</v>
      </c>
      <c r="P394" s="22"/>
      <c r="Q394" s="22">
        <f t="shared" si="112"/>
        <v>0</v>
      </c>
      <c r="R394" s="25"/>
      <c r="S394" s="25">
        <f t="shared" si="113"/>
        <v>0</v>
      </c>
      <c r="T394" s="25"/>
      <c r="U394" s="25">
        <f t="shared" si="114"/>
        <v>0</v>
      </c>
      <c r="V394" s="23"/>
      <c r="W394" s="23">
        <f t="shared" si="115"/>
        <v>0</v>
      </c>
      <c r="X394" s="23"/>
      <c r="Y394" s="23">
        <f t="shared" si="116"/>
        <v>0</v>
      </c>
      <c r="Z394" s="23"/>
      <c r="AA394" s="23">
        <f t="shared" si="117"/>
        <v>0</v>
      </c>
      <c r="AB394" s="23"/>
      <c r="AC394" s="23">
        <f t="shared" si="118"/>
        <v>0</v>
      </c>
      <c r="AD394" s="23"/>
      <c r="AE394" s="23">
        <f t="shared" si="119"/>
        <v>0</v>
      </c>
      <c r="AF394" s="26"/>
      <c r="AG394" s="26">
        <f t="shared" si="124"/>
        <v>0</v>
      </c>
      <c r="AH394" s="23"/>
      <c r="AI394" s="23">
        <f t="shared" si="125"/>
        <v>0</v>
      </c>
      <c r="AJ394" s="23"/>
      <c r="AK394" s="23">
        <f t="shared" si="120"/>
        <v>0</v>
      </c>
      <c r="AL394" s="23"/>
      <c r="AM394" s="26">
        <f t="shared" si="121"/>
        <v>0</v>
      </c>
      <c r="AN394" s="12">
        <f t="shared" si="122"/>
        <v>0</v>
      </c>
      <c r="AO394" s="22">
        <f t="shared" si="123"/>
        <v>0</v>
      </c>
    </row>
    <row r="395" spans="1:41" x14ac:dyDescent="0.5">
      <c r="A395" s="19">
        <v>391</v>
      </c>
      <c r="B395" s="27" t="s">
        <v>715</v>
      </c>
      <c r="C395" s="28" t="s">
        <v>675</v>
      </c>
      <c r="D395" s="16">
        <v>754</v>
      </c>
      <c r="E395" s="16">
        <v>9</v>
      </c>
      <c r="F395" s="22">
        <v>547</v>
      </c>
      <c r="G395" s="22">
        <f t="shared" si="107"/>
        <v>17022.64</v>
      </c>
      <c r="H395" s="22">
        <v>435</v>
      </c>
      <c r="I395" s="23">
        <f t="shared" si="108"/>
        <v>14098.349999999999</v>
      </c>
      <c r="J395" s="22">
        <v>258</v>
      </c>
      <c r="K395" s="22">
        <f t="shared" si="109"/>
        <v>8516.58</v>
      </c>
      <c r="L395" s="22">
        <v>380</v>
      </c>
      <c r="M395" s="24">
        <f t="shared" si="110"/>
        <v>13345.599999999999</v>
      </c>
      <c r="N395" s="23">
        <v>434</v>
      </c>
      <c r="O395" s="23">
        <f t="shared" si="111"/>
        <v>16600.5</v>
      </c>
      <c r="P395" s="22">
        <v>419</v>
      </c>
      <c r="Q395" s="22">
        <f t="shared" si="112"/>
        <v>17598</v>
      </c>
      <c r="R395" s="25">
        <v>406</v>
      </c>
      <c r="S395" s="25">
        <f t="shared" si="113"/>
        <v>15712.2</v>
      </c>
      <c r="T395" s="25">
        <v>481</v>
      </c>
      <c r="U395" s="25">
        <f t="shared" si="114"/>
        <v>16209.7</v>
      </c>
      <c r="V395" s="23">
        <v>433</v>
      </c>
      <c r="W395" s="23">
        <f t="shared" si="115"/>
        <v>14202.4</v>
      </c>
      <c r="X395" s="23">
        <v>406</v>
      </c>
      <c r="Y395" s="23">
        <f t="shared" si="116"/>
        <v>14270.9</v>
      </c>
      <c r="Z395" s="23">
        <v>659</v>
      </c>
      <c r="AA395" s="23">
        <f t="shared" si="117"/>
        <v>22840.94</v>
      </c>
      <c r="AB395" s="23">
        <v>532</v>
      </c>
      <c r="AC395" s="23">
        <f t="shared" si="118"/>
        <v>19178.599999999999</v>
      </c>
      <c r="AD395" s="23">
        <v>636</v>
      </c>
      <c r="AE395" s="23">
        <f t="shared" si="119"/>
        <v>22285.439999999999</v>
      </c>
      <c r="AF395" s="26">
        <v>707</v>
      </c>
      <c r="AG395" s="26">
        <f t="shared" si="124"/>
        <v>24165.26</v>
      </c>
      <c r="AH395" s="23">
        <v>432</v>
      </c>
      <c r="AI395" s="23">
        <f t="shared" si="125"/>
        <v>14385.599999999999</v>
      </c>
      <c r="AJ395" s="23">
        <v>671</v>
      </c>
      <c r="AK395" s="23">
        <f t="shared" si="120"/>
        <v>24122.45</v>
      </c>
      <c r="AL395" s="23">
        <v>579</v>
      </c>
      <c r="AM395" s="26">
        <f t="shared" si="121"/>
        <v>21231.93</v>
      </c>
      <c r="AN395" s="12">
        <f t="shared" si="122"/>
        <v>8415</v>
      </c>
      <c r="AO395" s="22">
        <f t="shared" si="123"/>
        <v>295787.09000000003</v>
      </c>
    </row>
    <row r="396" spans="1:41" x14ac:dyDescent="0.5">
      <c r="A396" s="19">
        <v>392</v>
      </c>
      <c r="B396" s="27" t="s">
        <v>716</v>
      </c>
      <c r="C396" s="28" t="s">
        <v>717</v>
      </c>
      <c r="D396" s="16">
        <v>755</v>
      </c>
      <c r="E396" s="16">
        <v>9</v>
      </c>
      <c r="F396" s="22"/>
      <c r="G396" s="22">
        <f t="shared" ref="G396:G462" si="126">F396*31.12</f>
        <v>0</v>
      </c>
      <c r="H396" s="22"/>
      <c r="I396" s="23">
        <f t="shared" ref="I396:I462" si="127">H396*32.41</f>
        <v>0</v>
      </c>
      <c r="J396" s="22"/>
      <c r="K396" s="22">
        <f t="shared" ref="K396:K462" si="128">J396*33.01</f>
        <v>0</v>
      </c>
      <c r="L396" s="22"/>
      <c r="M396" s="24">
        <f t="shared" si="110"/>
        <v>0</v>
      </c>
      <c r="N396" s="23"/>
      <c r="O396" s="23">
        <f t="shared" si="111"/>
        <v>0</v>
      </c>
      <c r="P396" s="22"/>
      <c r="Q396" s="22">
        <f t="shared" ref="Q396:Q461" si="129">P396*42</f>
        <v>0</v>
      </c>
      <c r="R396" s="25"/>
      <c r="S396" s="25">
        <f t="shared" ref="S396:S461" si="130">R396*38.7</f>
        <v>0</v>
      </c>
      <c r="T396" s="25"/>
      <c r="U396" s="25">
        <f t="shared" si="114"/>
        <v>0</v>
      </c>
      <c r="V396" s="23"/>
      <c r="W396" s="23">
        <f t="shared" si="115"/>
        <v>0</v>
      </c>
      <c r="X396" s="23"/>
      <c r="Y396" s="23">
        <f t="shared" si="116"/>
        <v>0</v>
      </c>
      <c r="Z396" s="23"/>
      <c r="AA396" s="23">
        <f t="shared" si="117"/>
        <v>0</v>
      </c>
      <c r="AB396" s="23"/>
      <c r="AC396" s="23">
        <f t="shared" si="118"/>
        <v>0</v>
      </c>
      <c r="AD396" s="23"/>
      <c r="AE396" s="23">
        <f t="shared" si="119"/>
        <v>0</v>
      </c>
      <c r="AF396" s="26"/>
      <c r="AG396" s="26">
        <f t="shared" si="124"/>
        <v>0</v>
      </c>
      <c r="AH396" s="23"/>
      <c r="AI396" s="23">
        <f t="shared" si="125"/>
        <v>0</v>
      </c>
      <c r="AJ396" s="23"/>
      <c r="AK396" s="23">
        <f t="shared" si="120"/>
        <v>0</v>
      </c>
      <c r="AL396" s="23">
        <f>+AL268346</f>
        <v>0</v>
      </c>
      <c r="AM396" s="26">
        <f t="shared" si="121"/>
        <v>0</v>
      </c>
      <c r="AN396" s="12">
        <f t="shared" si="122"/>
        <v>0</v>
      </c>
      <c r="AO396" s="22">
        <f t="shared" si="123"/>
        <v>0</v>
      </c>
    </row>
    <row r="397" spans="1:41" s="31" customFormat="1" x14ac:dyDescent="0.5">
      <c r="A397" s="19">
        <v>393</v>
      </c>
      <c r="B397" s="20" t="s">
        <v>718</v>
      </c>
      <c r="C397" s="21" t="s">
        <v>719</v>
      </c>
      <c r="D397" s="16">
        <v>761</v>
      </c>
      <c r="E397" s="16">
        <v>9</v>
      </c>
      <c r="F397" s="22">
        <v>2080</v>
      </c>
      <c r="G397" s="22">
        <f t="shared" si="126"/>
        <v>64729.599999999999</v>
      </c>
      <c r="H397" s="22"/>
      <c r="I397" s="23">
        <f t="shared" si="127"/>
        <v>0</v>
      </c>
      <c r="J397" s="22"/>
      <c r="K397" s="22">
        <f t="shared" si="128"/>
        <v>0</v>
      </c>
      <c r="L397" s="22"/>
      <c r="M397" s="24">
        <f t="shared" ref="M397:M462" si="131">L397*35.12</f>
        <v>0</v>
      </c>
      <c r="N397" s="23"/>
      <c r="O397" s="23">
        <f t="shared" ref="O397:O462" si="132">N397*38.25</f>
        <v>0</v>
      </c>
      <c r="P397" s="22">
        <v>1383</v>
      </c>
      <c r="Q397" s="22">
        <f t="shared" si="129"/>
        <v>58086</v>
      </c>
      <c r="R397" s="25">
        <v>812</v>
      </c>
      <c r="S397" s="25">
        <f t="shared" si="130"/>
        <v>31424.400000000001</v>
      </c>
      <c r="T397" s="25">
        <v>1542</v>
      </c>
      <c r="U397" s="25">
        <f t="shared" si="114"/>
        <v>51965.4</v>
      </c>
      <c r="V397" s="23">
        <v>1336</v>
      </c>
      <c r="W397" s="23">
        <f t="shared" si="115"/>
        <v>43820.799999999996</v>
      </c>
      <c r="X397" s="23">
        <v>1527</v>
      </c>
      <c r="Y397" s="23">
        <f t="shared" si="116"/>
        <v>53674.049999999996</v>
      </c>
      <c r="Z397" s="23">
        <v>1474</v>
      </c>
      <c r="AA397" s="23">
        <f t="shared" si="117"/>
        <v>51088.84</v>
      </c>
      <c r="AB397" s="23"/>
      <c r="AC397" s="23">
        <f t="shared" si="118"/>
        <v>0</v>
      </c>
      <c r="AD397" s="23">
        <v>2482</v>
      </c>
      <c r="AE397" s="23">
        <f t="shared" si="119"/>
        <v>86969.279999999999</v>
      </c>
      <c r="AF397" s="26">
        <v>2221</v>
      </c>
      <c r="AG397" s="26">
        <f t="shared" si="124"/>
        <v>75913.78</v>
      </c>
      <c r="AH397" s="23">
        <v>1891</v>
      </c>
      <c r="AI397" s="23">
        <f t="shared" si="125"/>
        <v>62970.299999999996</v>
      </c>
      <c r="AJ397" s="23">
        <v>2135</v>
      </c>
      <c r="AK397" s="23">
        <f t="shared" si="120"/>
        <v>76753.25</v>
      </c>
      <c r="AL397" s="26">
        <v>2072</v>
      </c>
      <c r="AM397" s="26">
        <f t="shared" si="121"/>
        <v>75980.240000000005</v>
      </c>
      <c r="AN397" s="12">
        <f t="shared" si="122"/>
        <v>20955</v>
      </c>
      <c r="AO397" s="22">
        <f t="shared" si="123"/>
        <v>733375.94000000006</v>
      </c>
    </row>
    <row r="398" spans="1:41" x14ac:dyDescent="0.5">
      <c r="A398" s="19">
        <v>394</v>
      </c>
      <c r="B398" s="20" t="s">
        <v>720</v>
      </c>
      <c r="C398" s="21" t="s">
        <v>666</v>
      </c>
      <c r="D398" s="16">
        <v>762</v>
      </c>
      <c r="E398" s="16">
        <v>9</v>
      </c>
      <c r="F398" s="22"/>
      <c r="G398" s="22">
        <f t="shared" si="126"/>
        <v>0</v>
      </c>
      <c r="H398" s="22"/>
      <c r="I398" s="23">
        <f t="shared" si="127"/>
        <v>0</v>
      </c>
      <c r="J398" s="22">
        <v>183</v>
      </c>
      <c r="K398" s="22">
        <f t="shared" si="128"/>
        <v>6040.83</v>
      </c>
      <c r="L398" s="29"/>
      <c r="M398" s="24">
        <f t="shared" si="131"/>
        <v>0</v>
      </c>
      <c r="N398" s="30"/>
      <c r="O398" s="23">
        <f t="shared" si="132"/>
        <v>0</v>
      </c>
      <c r="P398" s="22"/>
      <c r="Q398" s="22">
        <f t="shared" si="129"/>
        <v>0</v>
      </c>
      <c r="R398" s="25"/>
      <c r="S398" s="25">
        <f t="shared" si="130"/>
        <v>0</v>
      </c>
      <c r="T398" s="25"/>
      <c r="U398" s="25">
        <f t="shared" si="114"/>
        <v>0</v>
      </c>
      <c r="V398" s="23"/>
      <c r="W398" s="23">
        <f t="shared" si="115"/>
        <v>0</v>
      </c>
      <c r="X398" s="23"/>
      <c r="Y398" s="23">
        <f t="shared" si="116"/>
        <v>0</v>
      </c>
      <c r="Z398" s="23"/>
      <c r="AA398" s="23">
        <f t="shared" si="117"/>
        <v>0</v>
      </c>
      <c r="AB398" s="23"/>
      <c r="AC398" s="23">
        <f t="shared" si="118"/>
        <v>0</v>
      </c>
      <c r="AD398" s="23"/>
      <c r="AE398" s="23">
        <f t="shared" si="119"/>
        <v>0</v>
      </c>
      <c r="AF398" s="26">
        <v>297</v>
      </c>
      <c r="AG398" s="26">
        <f t="shared" si="124"/>
        <v>10151.459999999999</v>
      </c>
      <c r="AH398" s="23">
        <v>363</v>
      </c>
      <c r="AI398" s="23">
        <f t="shared" si="125"/>
        <v>12087.9</v>
      </c>
      <c r="AJ398" s="23"/>
      <c r="AK398" s="23">
        <f t="shared" si="120"/>
        <v>0</v>
      </c>
      <c r="AL398" s="26"/>
      <c r="AM398" s="26">
        <f t="shared" si="121"/>
        <v>0</v>
      </c>
      <c r="AN398" s="12">
        <f t="shared" si="122"/>
        <v>843</v>
      </c>
      <c r="AO398" s="22">
        <f t="shared" si="123"/>
        <v>28280.19</v>
      </c>
    </row>
    <row r="399" spans="1:41" x14ac:dyDescent="0.5">
      <c r="A399" s="19">
        <v>395</v>
      </c>
      <c r="B399" s="20" t="s">
        <v>721</v>
      </c>
      <c r="C399" s="21" t="s">
        <v>722</v>
      </c>
      <c r="D399" s="16">
        <v>764</v>
      </c>
      <c r="E399" s="16">
        <v>9</v>
      </c>
      <c r="F399" s="22">
        <v>3778</v>
      </c>
      <c r="G399" s="22">
        <f t="shared" si="126"/>
        <v>117571.36</v>
      </c>
      <c r="H399" s="22">
        <v>2498</v>
      </c>
      <c r="I399" s="23">
        <f t="shared" si="127"/>
        <v>80960.179999999993</v>
      </c>
      <c r="J399" s="22">
        <v>1193</v>
      </c>
      <c r="K399" s="22">
        <f t="shared" si="128"/>
        <v>39380.93</v>
      </c>
      <c r="L399" s="29">
        <v>1667</v>
      </c>
      <c r="M399" s="24">
        <f t="shared" si="131"/>
        <v>58545.039999999994</v>
      </c>
      <c r="N399" s="30">
        <v>455</v>
      </c>
      <c r="O399" s="23">
        <f t="shared" si="132"/>
        <v>17403.75</v>
      </c>
      <c r="P399" s="22">
        <v>2167</v>
      </c>
      <c r="Q399" s="22">
        <f t="shared" si="129"/>
        <v>91014</v>
      </c>
      <c r="R399" s="25">
        <v>1691</v>
      </c>
      <c r="S399" s="25">
        <f t="shared" si="130"/>
        <v>65441.700000000004</v>
      </c>
      <c r="T399" s="25">
        <v>2140</v>
      </c>
      <c r="U399" s="25">
        <f t="shared" si="114"/>
        <v>72118</v>
      </c>
      <c r="V399" s="23">
        <v>3435</v>
      </c>
      <c r="W399" s="23">
        <f t="shared" si="115"/>
        <v>112667.99999999999</v>
      </c>
      <c r="X399" s="23">
        <v>3816</v>
      </c>
      <c r="Y399" s="23">
        <f t="shared" si="116"/>
        <v>134132.4</v>
      </c>
      <c r="Z399" s="23">
        <v>1840</v>
      </c>
      <c r="AA399" s="23">
        <f t="shared" si="117"/>
        <v>63774.399999999994</v>
      </c>
      <c r="AB399" s="23">
        <v>2477</v>
      </c>
      <c r="AC399" s="23">
        <f t="shared" si="118"/>
        <v>89295.849999999991</v>
      </c>
      <c r="AD399" s="23">
        <v>3622</v>
      </c>
      <c r="AE399" s="23">
        <f t="shared" si="119"/>
        <v>126914.87999999999</v>
      </c>
      <c r="AF399" s="26">
        <v>3945</v>
      </c>
      <c r="AG399" s="26">
        <f t="shared" si="124"/>
        <v>134840.1</v>
      </c>
      <c r="AH399" s="23">
        <v>3858</v>
      </c>
      <c r="AI399" s="23">
        <f t="shared" si="125"/>
        <v>128471.4</v>
      </c>
      <c r="AJ399" s="23">
        <v>3666</v>
      </c>
      <c r="AK399" s="23">
        <f t="shared" si="120"/>
        <v>131792.70000000001</v>
      </c>
      <c r="AL399" s="26">
        <v>3963</v>
      </c>
      <c r="AM399" s="26">
        <f t="shared" si="121"/>
        <v>145323.21000000002</v>
      </c>
      <c r="AN399" s="12">
        <f t="shared" si="122"/>
        <v>46211</v>
      </c>
      <c r="AO399" s="22">
        <f t="shared" si="123"/>
        <v>1609647.9</v>
      </c>
    </row>
    <row r="400" spans="1:41" s="31" customFormat="1" x14ac:dyDescent="0.5">
      <c r="A400" s="19">
        <v>396</v>
      </c>
      <c r="B400" s="20" t="s">
        <v>723</v>
      </c>
      <c r="C400" s="21" t="s">
        <v>461</v>
      </c>
      <c r="D400" s="16">
        <v>777</v>
      </c>
      <c r="E400" s="16">
        <v>9</v>
      </c>
      <c r="F400" s="22">
        <v>649</v>
      </c>
      <c r="G400" s="22">
        <f t="shared" si="126"/>
        <v>20196.88</v>
      </c>
      <c r="H400" s="22">
        <v>307</v>
      </c>
      <c r="I400" s="23">
        <f t="shared" si="127"/>
        <v>9949.869999999999</v>
      </c>
      <c r="J400" s="22">
        <v>186</v>
      </c>
      <c r="K400" s="22">
        <f t="shared" si="128"/>
        <v>6139.86</v>
      </c>
      <c r="L400" s="29"/>
      <c r="M400" s="24">
        <f t="shared" si="131"/>
        <v>0</v>
      </c>
      <c r="N400" s="30">
        <v>180</v>
      </c>
      <c r="O400" s="23">
        <f t="shared" si="132"/>
        <v>6885</v>
      </c>
      <c r="P400" s="22"/>
      <c r="Q400" s="22">
        <f t="shared" si="129"/>
        <v>0</v>
      </c>
      <c r="R400" s="25">
        <v>135</v>
      </c>
      <c r="S400" s="25">
        <f t="shared" si="130"/>
        <v>5224.5</v>
      </c>
      <c r="T400" s="25">
        <v>533</v>
      </c>
      <c r="U400" s="25">
        <f t="shared" si="114"/>
        <v>17962.100000000002</v>
      </c>
      <c r="V400" s="23">
        <v>348</v>
      </c>
      <c r="W400" s="23">
        <f t="shared" si="115"/>
        <v>11414.4</v>
      </c>
      <c r="X400" s="23">
        <v>399</v>
      </c>
      <c r="Y400" s="23">
        <f t="shared" si="116"/>
        <v>14024.849999999999</v>
      </c>
      <c r="Z400" s="23">
        <v>452</v>
      </c>
      <c r="AA400" s="23">
        <f t="shared" si="117"/>
        <v>15666.319999999998</v>
      </c>
      <c r="AB400" s="23">
        <v>389</v>
      </c>
      <c r="AC400" s="23">
        <f t="shared" si="118"/>
        <v>14023.449999999999</v>
      </c>
      <c r="AD400" s="23">
        <v>402</v>
      </c>
      <c r="AE400" s="23">
        <f t="shared" si="119"/>
        <v>14086.08</v>
      </c>
      <c r="AF400" s="26">
        <v>420</v>
      </c>
      <c r="AG400" s="26">
        <f t="shared" si="124"/>
        <v>14355.6</v>
      </c>
      <c r="AH400" s="23">
        <v>428</v>
      </c>
      <c r="AI400" s="23">
        <f t="shared" si="125"/>
        <v>14252.4</v>
      </c>
      <c r="AJ400" s="23">
        <v>434</v>
      </c>
      <c r="AK400" s="23">
        <f t="shared" si="120"/>
        <v>15602.300000000001</v>
      </c>
      <c r="AL400" s="26">
        <v>404</v>
      </c>
      <c r="AM400" s="26">
        <f t="shared" si="121"/>
        <v>14814.68</v>
      </c>
      <c r="AN400" s="12">
        <f t="shared" si="122"/>
        <v>5666</v>
      </c>
      <c r="AO400" s="22">
        <f t="shared" si="123"/>
        <v>194598.28999999995</v>
      </c>
    </row>
    <row r="401" spans="1:41" s="31" customFormat="1" x14ac:dyDescent="0.5">
      <c r="A401" s="19">
        <v>397</v>
      </c>
      <c r="B401" s="20" t="s">
        <v>724</v>
      </c>
      <c r="C401" s="21" t="s">
        <v>725</v>
      </c>
      <c r="D401" s="16">
        <v>814</v>
      </c>
      <c r="E401" s="16">
        <v>9</v>
      </c>
      <c r="F401" s="22">
        <v>239</v>
      </c>
      <c r="G401" s="22">
        <f t="shared" si="126"/>
        <v>7437.68</v>
      </c>
      <c r="H401" s="22">
        <v>207</v>
      </c>
      <c r="I401" s="23">
        <f t="shared" si="127"/>
        <v>6708.869999999999</v>
      </c>
      <c r="J401" s="22">
        <v>167</v>
      </c>
      <c r="K401" s="22">
        <f t="shared" si="128"/>
        <v>5512.67</v>
      </c>
      <c r="L401" s="22"/>
      <c r="M401" s="24">
        <f t="shared" si="131"/>
        <v>0</v>
      </c>
      <c r="N401" s="23">
        <v>157</v>
      </c>
      <c r="O401" s="23">
        <f t="shared" si="132"/>
        <v>6005.25</v>
      </c>
      <c r="P401" s="22">
        <v>220</v>
      </c>
      <c r="Q401" s="22">
        <f t="shared" si="129"/>
        <v>9240</v>
      </c>
      <c r="R401" s="25">
        <v>195</v>
      </c>
      <c r="S401" s="25">
        <f t="shared" si="130"/>
        <v>7546.5000000000009</v>
      </c>
      <c r="T401" s="25">
        <v>281</v>
      </c>
      <c r="U401" s="25">
        <f t="shared" si="114"/>
        <v>9469.7000000000007</v>
      </c>
      <c r="V401" s="23">
        <v>217</v>
      </c>
      <c r="W401" s="23">
        <f t="shared" si="115"/>
        <v>7117.5999999999995</v>
      </c>
      <c r="X401" s="23">
        <v>267</v>
      </c>
      <c r="Y401" s="23">
        <f t="shared" si="116"/>
        <v>9385.0499999999993</v>
      </c>
      <c r="Z401" s="23">
        <v>219</v>
      </c>
      <c r="AA401" s="23">
        <f t="shared" si="117"/>
        <v>7590.5399999999991</v>
      </c>
      <c r="AB401" s="23"/>
      <c r="AC401" s="23">
        <f t="shared" si="118"/>
        <v>0</v>
      </c>
      <c r="AD401" s="23">
        <v>266</v>
      </c>
      <c r="AE401" s="23">
        <f t="shared" si="119"/>
        <v>9320.64</v>
      </c>
      <c r="AF401" s="26">
        <v>257</v>
      </c>
      <c r="AG401" s="26">
        <f t="shared" si="124"/>
        <v>8784.26</v>
      </c>
      <c r="AH401" s="23">
        <v>218</v>
      </c>
      <c r="AI401" s="23">
        <f t="shared" si="125"/>
        <v>7259.4</v>
      </c>
      <c r="AJ401" s="23">
        <v>234</v>
      </c>
      <c r="AK401" s="23">
        <f t="shared" si="120"/>
        <v>8412.3000000000011</v>
      </c>
      <c r="AL401" s="26">
        <v>267</v>
      </c>
      <c r="AM401" s="26">
        <f t="shared" si="121"/>
        <v>9790.8900000000012</v>
      </c>
      <c r="AN401" s="12">
        <f t="shared" si="122"/>
        <v>3411</v>
      </c>
      <c r="AO401" s="22">
        <f t="shared" si="123"/>
        <v>119581.34999999998</v>
      </c>
    </row>
    <row r="402" spans="1:41" s="31" customFormat="1" x14ac:dyDescent="0.5">
      <c r="A402" s="19">
        <v>398</v>
      </c>
      <c r="B402" s="20" t="s">
        <v>726</v>
      </c>
      <c r="C402" s="21" t="s">
        <v>695</v>
      </c>
      <c r="D402" s="16">
        <v>818</v>
      </c>
      <c r="E402" s="16">
        <v>9</v>
      </c>
      <c r="F402" s="22">
        <v>1050</v>
      </c>
      <c r="G402" s="22">
        <f t="shared" si="126"/>
        <v>32676</v>
      </c>
      <c r="H402" s="22">
        <v>519</v>
      </c>
      <c r="I402" s="23">
        <f t="shared" si="127"/>
        <v>16820.789999999997</v>
      </c>
      <c r="J402" s="22">
        <v>759</v>
      </c>
      <c r="K402" s="22">
        <f t="shared" si="128"/>
        <v>25054.59</v>
      </c>
      <c r="L402" s="22">
        <v>344</v>
      </c>
      <c r="M402" s="24">
        <f t="shared" si="131"/>
        <v>12081.279999999999</v>
      </c>
      <c r="N402" s="23">
        <v>575</v>
      </c>
      <c r="O402" s="23">
        <f t="shared" si="132"/>
        <v>21993.75</v>
      </c>
      <c r="P402" s="22">
        <v>1114</v>
      </c>
      <c r="Q402" s="22">
        <f t="shared" si="129"/>
        <v>46788</v>
      </c>
      <c r="R402" s="25">
        <v>789</v>
      </c>
      <c r="S402" s="25">
        <f t="shared" si="130"/>
        <v>30534.300000000003</v>
      </c>
      <c r="T402" s="25">
        <v>1624</v>
      </c>
      <c r="U402" s="25">
        <f t="shared" si="114"/>
        <v>54728.800000000003</v>
      </c>
      <c r="V402" s="23">
        <v>1475</v>
      </c>
      <c r="W402" s="23">
        <f t="shared" si="115"/>
        <v>48379.999999999993</v>
      </c>
      <c r="X402" s="23">
        <v>1640</v>
      </c>
      <c r="Y402" s="23">
        <f t="shared" si="116"/>
        <v>57646</v>
      </c>
      <c r="Z402" s="23">
        <v>1731</v>
      </c>
      <c r="AA402" s="23">
        <f t="shared" si="117"/>
        <v>59996.459999999992</v>
      </c>
      <c r="AB402" s="23">
        <v>1496</v>
      </c>
      <c r="AC402" s="23">
        <f t="shared" si="118"/>
        <v>53930.799999999996</v>
      </c>
      <c r="AD402" s="23">
        <v>1465</v>
      </c>
      <c r="AE402" s="23">
        <f t="shared" si="119"/>
        <v>51333.599999999999</v>
      </c>
      <c r="AF402" s="26">
        <v>897</v>
      </c>
      <c r="AG402" s="26">
        <f t="shared" si="124"/>
        <v>30659.46</v>
      </c>
      <c r="AH402" s="23">
        <v>813</v>
      </c>
      <c r="AI402" s="23">
        <f t="shared" si="125"/>
        <v>27072.899999999998</v>
      </c>
      <c r="AJ402" s="23">
        <v>941</v>
      </c>
      <c r="AK402" s="23">
        <f t="shared" si="120"/>
        <v>33828.950000000004</v>
      </c>
      <c r="AL402" s="26">
        <v>1883</v>
      </c>
      <c r="AM402" s="26">
        <f t="shared" si="121"/>
        <v>69049.61</v>
      </c>
      <c r="AN402" s="12">
        <f t="shared" si="122"/>
        <v>19115</v>
      </c>
      <c r="AO402" s="22">
        <f t="shared" si="123"/>
        <v>672575.28999999992</v>
      </c>
    </row>
    <row r="403" spans="1:41" s="31" customFormat="1" x14ac:dyDescent="0.5">
      <c r="A403" s="19">
        <v>399</v>
      </c>
      <c r="B403" s="27" t="s">
        <v>727</v>
      </c>
      <c r="C403" s="28" t="s">
        <v>728</v>
      </c>
      <c r="D403" s="16">
        <v>845</v>
      </c>
      <c r="E403" s="16">
        <v>9</v>
      </c>
      <c r="F403" s="22">
        <v>210</v>
      </c>
      <c r="G403" s="22">
        <f t="shared" si="126"/>
        <v>6535.2</v>
      </c>
      <c r="H403" s="22">
        <v>163</v>
      </c>
      <c r="I403" s="23">
        <f t="shared" si="127"/>
        <v>5282.829999999999</v>
      </c>
      <c r="J403" s="22"/>
      <c r="K403" s="22">
        <f t="shared" si="128"/>
        <v>0</v>
      </c>
      <c r="L403" s="22"/>
      <c r="M403" s="24">
        <f t="shared" si="131"/>
        <v>0</v>
      </c>
      <c r="N403" s="23"/>
      <c r="O403" s="23">
        <f t="shared" si="132"/>
        <v>0</v>
      </c>
      <c r="P403" s="22"/>
      <c r="Q403" s="22">
        <f t="shared" si="129"/>
        <v>0</v>
      </c>
      <c r="R403" s="25">
        <v>313</v>
      </c>
      <c r="S403" s="25">
        <f t="shared" si="130"/>
        <v>12113.1</v>
      </c>
      <c r="T403" s="25">
        <v>388</v>
      </c>
      <c r="U403" s="25">
        <f t="shared" si="114"/>
        <v>13075.6</v>
      </c>
      <c r="V403" s="23">
        <v>273</v>
      </c>
      <c r="W403" s="23">
        <f t="shared" si="115"/>
        <v>8954.4</v>
      </c>
      <c r="X403" s="23">
        <v>327</v>
      </c>
      <c r="Y403" s="23">
        <f t="shared" si="116"/>
        <v>11494.05</v>
      </c>
      <c r="Z403" s="23">
        <v>328</v>
      </c>
      <c r="AA403" s="23">
        <f t="shared" si="117"/>
        <v>11368.48</v>
      </c>
      <c r="AB403" s="23">
        <v>205</v>
      </c>
      <c r="AC403" s="23">
        <f t="shared" si="118"/>
        <v>7390.2499999999991</v>
      </c>
      <c r="AD403" s="23">
        <v>279</v>
      </c>
      <c r="AE403" s="23">
        <f t="shared" si="119"/>
        <v>9776.16</v>
      </c>
      <c r="AF403" s="26">
        <v>365</v>
      </c>
      <c r="AG403" s="26">
        <f t="shared" si="124"/>
        <v>12475.7</v>
      </c>
      <c r="AH403" s="23">
        <v>257</v>
      </c>
      <c r="AI403" s="23">
        <f t="shared" si="125"/>
        <v>8558.0999999999985</v>
      </c>
      <c r="AJ403" s="23">
        <v>751</v>
      </c>
      <c r="AK403" s="23">
        <f t="shared" si="120"/>
        <v>26998.45</v>
      </c>
      <c r="AL403" s="23">
        <v>733</v>
      </c>
      <c r="AM403" s="26">
        <f t="shared" si="121"/>
        <v>26879.11</v>
      </c>
      <c r="AN403" s="12">
        <f t="shared" si="122"/>
        <v>4592</v>
      </c>
      <c r="AO403" s="22">
        <f t="shared" si="123"/>
        <v>160901.43</v>
      </c>
    </row>
    <row r="404" spans="1:41" x14ac:dyDescent="0.5">
      <c r="A404" s="19">
        <v>400</v>
      </c>
      <c r="B404" s="27" t="s">
        <v>729</v>
      </c>
      <c r="C404" s="28" t="s">
        <v>730</v>
      </c>
      <c r="D404" s="16">
        <v>847</v>
      </c>
      <c r="E404" s="16">
        <v>9</v>
      </c>
      <c r="F404" s="22">
        <v>580</v>
      </c>
      <c r="G404" s="22">
        <f t="shared" si="126"/>
        <v>18049.600000000002</v>
      </c>
      <c r="H404" s="22">
        <v>242</v>
      </c>
      <c r="I404" s="23">
        <f t="shared" si="127"/>
        <v>7843.2199999999993</v>
      </c>
      <c r="J404" s="22">
        <v>275</v>
      </c>
      <c r="K404" s="22">
        <f t="shared" si="128"/>
        <v>9077.75</v>
      </c>
      <c r="L404" s="29"/>
      <c r="M404" s="24">
        <f t="shared" si="131"/>
        <v>0</v>
      </c>
      <c r="N404" s="30"/>
      <c r="O404" s="23">
        <f t="shared" si="132"/>
        <v>0</v>
      </c>
      <c r="P404" s="22">
        <v>578</v>
      </c>
      <c r="Q404" s="22">
        <f t="shared" si="129"/>
        <v>24276</v>
      </c>
      <c r="R404" s="25">
        <v>522</v>
      </c>
      <c r="S404" s="25">
        <f t="shared" si="130"/>
        <v>20201.400000000001</v>
      </c>
      <c r="T404" s="25">
        <v>685</v>
      </c>
      <c r="U404" s="25">
        <f t="shared" si="114"/>
        <v>23084.500000000004</v>
      </c>
      <c r="V404" s="23">
        <v>588</v>
      </c>
      <c r="W404" s="23">
        <f t="shared" si="115"/>
        <v>19286.399999999998</v>
      </c>
      <c r="X404" s="23">
        <v>527</v>
      </c>
      <c r="Y404" s="23">
        <f t="shared" si="116"/>
        <v>18524.05</v>
      </c>
      <c r="Z404" s="23">
        <v>741</v>
      </c>
      <c r="AA404" s="23">
        <f t="shared" si="117"/>
        <v>25683.059999999998</v>
      </c>
      <c r="AB404" s="23">
        <v>820</v>
      </c>
      <c r="AC404" s="23">
        <f t="shared" si="118"/>
        <v>29560.999999999996</v>
      </c>
      <c r="AD404" s="23">
        <v>600</v>
      </c>
      <c r="AE404" s="23">
        <f t="shared" si="119"/>
        <v>21024</v>
      </c>
      <c r="AF404" s="26">
        <v>827</v>
      </c>
      <c r="AG404" s="26">
        <f t="shared" si="124"/>
        <v>28266.86</v>
      </c>
      <c r="AH404" s="23">
        <v>645</v>
      </c>
      <c r="AI404" s="23">
        <f t="shared" si="125"/>
        <v>21478.499999999996</v>
      </c>
      <c r="AJ404" s="23">
        <v>780</v>
      </c>
      <c r="AK404" s="23">
        <f t="shared" si="120"/>
        <v>28041.000000000004</v>
      </c>
      <c r="AL404" s="23">
        <v>927</v>
      </c>
      <c r="AM404" s="26">
        <f t="shared" si="121"/>
        <v>33993.090000000004</v>
      </c>
      <c r="AN404" s="12">
        <f t="shared" si="122"/>
        <v>9337</v>
      </c>
      <c r="AO404" s="22">
        <f t="shared" si="123"/>
        <v>328390.43</v>
      </c>
    </row>
    <row r="405" spans="1:41" x14ac:dyDescent="0.5">
      <c r="A405" s="19">
        <v>401</v>
      </c>
      <c r="B405" s="27" t="s">
        <v>731</v>
      </c>
      <c r="C405" s="28" t="s">
        <v>681</v>
      </c>
      <c r="D405" s="16">
        <v>865</v>
      </c>
      <c r="E405" s="16">
        <v>9</v>
      </c>
      <c r="F405" s="22"/>
      <c r="G405" s="22">
        <f t="shared" si="126"/>
        <v>0</v>
      </c>
      <c r="H405" s="22"/>
      <c r="I405" s="23">
        <f t="shared" si="127"/>
        <v>0</v>
      </c>
      <c r="J405" s="22"/>
      <c r="K405" s="22">
        <f t="shared" si="128"/>
        <v>0</v>
      </c>
      <c r="L405" s="22"/>
      <c r="M405" s="24">
        <f t="shared" si="131"/>
        <v>0</v>
      </c>
      <c r="N405" s="23"/>
      <c r="O405" s="23">
        <f t="shared" si="132"/>
        <v>0</v>
      </c>
      <c r="P405" s="22"/>
      <c r="Q405" s="22">
        <f t="shared" si="129"/>
        <v>0</v>
      </c>
      <c r="R405" s="25"/>
      <c r="S405" s="25">
        <f t="shared" si="130"/>
        <v>0</v>
      </c>
      <c r="T405" s="25"/>
      <c r="U405" s="25">
        <f t="shared" si="114"/>
        <v>0</v>
      </c>
      <c r="V405" s="23"/>
      <c r="W405" s="23">
        <f t="shared" si="115"/>
        <v>0</v>
      </c>
      <c r="X405" s="23"/>
      <c r="Y405" s="23">
        <f t="shared" si="116"/>
        <v>0</v>
      </c>
      <c r="Z405" s="23"/>
      <c r="AA405" s="23">
        <f t="shared" si="117"/>
        <v>0</v>
      </c>
      <c r="AB405" s="23"/>
      <c r="AC405" s="23">
        <f t="shared" si="118"/>
        <v>0</v>
      </c>
      <c r="AD405" s="23"/>
      <c r="AE405" s="23">
        <f t="shared" si="119"/>
        <v>0</v>
      </c>
      <c r="AF405" s="26"/>
      <c r="AG405" s="26">
        <f t="shared" si="124"/>
        <v>0</v>
      </c>
      <c r="AH405" s="23"/>
      <c r="AI405" s="23">
        <f t="shared" si="125"/>
        <v>0</v>
      </c>
      <c r="AJ405" s="23"/>
      <c r="AK405" s="23">
        <f t="shared" si="120"/>
        <v>0</v>
      </c>
      <c r="AL405" s="23"/>
      <c r="AM405" s="26">
        <f t="shared" si="121"/>
        <v>0</v>
      </c>
      <c r="AN405" s="12">
        <f t="shared" si="122"/>
        <v>0</v>
      </c>
      <c r="AO405" s="22">
        <f t="shared" si="123"/>
        <v>0</v>
      </c>
    </row>
    <row r="406" spans="1:41" x14ac:dyDescent="0.5">
      <c r="A406" s="19">
        <v>402</v>
      </c>
      <c r="B406" s="20" t="s">
        <v>732</v>
      </c>
      <c r="C406" s="21" t="s">
        <v>537</v>
      </c>
      <c r="D406" s="16">
        <v>866</v>
      </c>
      <c r="E406" s="16">
        <v>9</v>
      </c>
      <c r="F406" s="22">
        <v>647</v>
      </c>
      <c r="G406" s="22">
        <f t="shared" si="126"/>
        <v>20134.64</v>
      </c>
      <c r="H406" s="22">
        <v>262</v>
      </c>
      <c r="I406" s="23">
        <f t="shared" si="127"/>
        <v>8491.4199999999983</v>
      </c>
      <c r="J406" s="22">
        <v>254</v>
      </c>
      <c r="K406" s="22">
        <f t="shared" si="128"/>
        <v>8384.5399999999991</v>
      </c>
      <c r="L406" s="22">
        <v>239</v>
      </c>
      <c r="M406" s="24">
        <f t="shared" si="131"/>
        <v>8393.68</v>
      </c>
      <c r="N406" s="23">
        <v>406</v>
      </c>
      <c r="O406" s="23">
        <f t="shared" si="132"/>
        <v>15529.5</v>
      </c>
      <c r="P406" s="22">
        <v>243</v>
      </c>
      <c r="Q406" s="22">
        <f t="shared" si="129"/>
        <v>10206</v>
      </c>
      <c r="R406" s="25">
        <v>195</v>
      </c>
      <c r="S406" s="25">
        <f t="shared" si="130"/>
        <v>7546.5000000000009</v>
      </c>
      <c r="T406" s="25">
        <v>557</v>
      </c>
      <c r="U406" s="25">
        <f t="shared" si="114"/>
        <v>18770.900000000001</v>
      </c>
      <c r="V406" s="23">
        <v>253</v>
      </c>
      <c r="W406" s="23">
        <f t="shared" si="115"/>
        <v>8298.4</v>
      </c>
      <c r="X406" s="23">
        <v>691</v>
      </c>
      <c r="Y406" s="23">
        <f t="shared" si="116"/>
        <v>24288.649999999998</v>
      </c>
      <c r="Z406" s="23">
        <v>432</v>
      </c>
      <c r="AA406" s="23">
        <f t="shared" si="117"/>
        <v>14973.119999999999</v>
      </c>
      <c r="AB406" s="23">
        <v>310</v>
      </c>
      <c r="AC406" s="23">
        <f t="shared" si="118"/>
        <v>11175.5</v>
      </c>
      <c r="AD406" s="23"/>
      <c r="AE406" s="23">
        <f t="shared" si="119"/>
        <v>0</v>
      </c>
      <c r="AF406" s="26">
        <v>826</v>
      </c>
      <c r="AG406" s="26">
        <f t="shared" si="124"/>
        <v>28232.68</v>
      </c>
      <c r="AH406" s="23">
        <v>468</v>
      </c>
      <c r="AI406" s="23">
        <f t="shared" si="125"/>
        <v>15584.399999999998</v>
      </c>
      <c r="AJ406" s="23">
        <v>526</v>
      </c>
      <c r="AK406" s="23">
        <f t="shared" si="120"/>
        <v>18909.7</v>
      </c>
      <c r="AL406" s="26">
        <v>653</v>
      </c>
      <c r="AM406" s="26">
        <f t="shared" si="121"/>
        <v>23945.510000000002</v>
      </c>
      <c r="AN406" s="12">
        <f t="shared" si="122"/>
        <v>6962</v>
      </c>
      <c r="AO406" s="22">
        <f t="shared" si="123"/>
        <v>242865.13999999998</v>
      </c>
    </row>
    <row r="407" spans="1:41" x14ac:dyDescent="0.5">
      <c r="A407" s="19">
        <v>403</v>
      </c>
      <c r="B407" s="20" t="s">
        <v>733</v>
      </c>
      <c r="C407" s="21" t="s">
        <v>681</v>
      </c>
      <c r="D407" s="16">
        <v>867</v>
      </c>
      <c r="E407" s="16">
        <v>9</v>
      </c>
      <c r="F407" s="22">
        <v>404</v>
      </c>
      <c r="G407" s="22">
        <f t="shared" si="126"/>
        <v>12572.48</v>
      </c>
      <c r="H407" s="22"/>
      <c r="I407" s="23">
        <f t="shared" si="127"/>
        <v>0</v>
      </c>
      <c r="J407" s="22"/>
      <c r="K407" s="22">
        <f t="shared" si="128"/>
        <v>0</v>
      </c>
      <c r="L407" s="22"/>
      <c r="M407" s="24">
        <f t="shared" si="131"/>
        <v>0</v>
      </c>
      <c r="N407" s="23">
        <v>295</v>
      </c>
      <c r="O407" s="23">
        <f t="shared" si="132"/>
        <v>11283.75</v>
      </c>
      <c r="P407" s="22">
        <v>380</v>
      </c>
      <c r="Q407" s="22">
        <f t="shared" si="129"/>
        <v>15960</v>
      </c>
      <c r="R407" s="25">
        <v>349</v>
      </c>
      <c r="S407" s="25">
        <f t="shared" si="130"/>
        <v>13506.300000000001</v>
      </c>
      <c r="T407" s="25">
        <v>451</v>
      </c>
      <c r="U407" s="25">
        <f t="shared" si="114"/>
        <v>15198.7</v>
      </c>
      <c r="V407" s="23">
        <v>372</v>
      </c>
      <c r="W407" s="23">
        <f t="shared" si="115"/>
        <v>12201.599999999999</v>
      </c>
      <c r="X407" s="23">
        <v>250</v>
      </c>
      <c r="Y407" s="23">
        <f t="shared" si="116"/>
        <v>8787.5</v>
      </c>
      <c r="Z407" s="23">
        <v>195</v>
      </c>
      <c r="AA407" s="23">
        <f t="shared" si="117"/>
        <v>6758.6999999999989</v>
      </c>
      <c r="AB407" s="23">
        <v>184</v>
      </c>
      <c r="AC407" s="23">
        <f t="shared" si="118"/>
        <v>6633.2</v>
      </c>
      <c r="AD407" s="23">
        <v>178</v>
      </c>
      <c r="AE407" s="23">
        <f t="shared" si="119"/>
        <v>6237.12</v>
      </c>
      <c r="AF407" s="26">
        <v>204</v>
      </c>
      <c r="AG407" s="26">
        <f t="shared" si="124"/>
        <v>6972.72</v>
      </c>
      <c r="AH407" s="23">
        <v>179</v>
      </c>
      <c r="AI407" s="23">
        <f t="shared" si="125"/>
        <v>5960.7</v>
      </c>
      <c r="AJ407" s="23">
        <v>185</v>
      </c>
      <c r="AK407" s="23">
        <f t="shared" si="120"/>
        <v>6650.7500000000009</v>
      </c>
      <c r="AL407" s="26">
        <v>174</v>
      </c>
      <c r="AM407" s="26">
        <f t="shared" si="121"/>
        <v>6380.58</v>
      </c>
      <c r="AN407" s="12">
        <f t="shared" si="122"/>
        <v>3800</v>
      </c>
      <c r="AO407" s="22">
        <f t="shared" si="123"/>
        <v>135104.09999999998</v>
      </c>
    </row>
    <row r="408" spans="1:41" s="31" customFormat="1" x14ac:dyDescent="0.5">
      <c r="A408" s="19">
        <v>404</v>
      </c>
      <c r="B408" s="20" t="s">
        <v>467</v>
      </c>
      <c r="C408" s="21" t="s">
        <v>734</v>
      </c>
      <c r="D408" s="16">
        <v>868</v>
      </c>
      <c r="E408" s="16">
        <v>9</v>
      </c>
      <c r="F408" s="22"/>
      <c r="G408" s="22">
        <f t="shared" si="126"/>
        <v>0</v>
      </c>
      <c r="H408" s="22"/>
      <c r="I408" s="23">
        <f t="shared" si="127"/>
        <v>0</v>
      </c>
      <c r="J408" s="22"/>
      <c r="K408" s="22">
        <f t="shared" si="128"/>
        <v>0</v>
      </c>
      <c r="L408" s="22"/>
      <c r="M408" s="24">
        <f t="shared" si="131"/>
        <v>0</v>
      </c>
      <c r="N408" s="23"/>
      <c r="O408" s="23">
        <f t="shared" si="132"/>
        <v>0</v>
      </c>
      <c r="P408" s="22"/>
      <c r="Q408" s="22">
        <f t="shared" si="129"/>
        <v>0</v>
      </c>
      <c r="R408" s="25"/>
      <c r="S408" s="25">
        <f t="shared" si="130"/>
        <v>0</v>
      </c>
      <c r="T408" s="25"/>
      <c r="U408" s="25">
        <f t="shared" si="114"/>
        <v>0</v>
      </c>
      <c r="V408" s="23">
        <v>264</v>
      </c>
      <c r="W408" s="23">
        <f t="shared" si="115"/>
        <v>8659.1999999999989</v>
      </c>
      <c r="X408" s="23">
        <v>232</v>
      </c>
      <c r="Y408" s="23">
        <f t="shared" si="116"/>
        <v>8154.7999999999993</v>
      </c>
      <c r="Z408" s="23">
        <v>167</v>
      </c>
      <c r="AA408" s="23">
        <f t="shared" si="117"/>
        <v>5788.2199999999993</v>
      </c>
      <c r="AB408" s="23">
        <v>314</v>
      </c>
      <c r="AC408" s="23">
        <f t="shared" si="118"/>
        <v>11319.699999999999</v>
      </c>
      <c r="AD408" s="23">
        <v>268</v>
      </c>
      <c r="AE408" s="23">
        <f t="shared" si="119"/>
        <v>9390.7199999999993</v>
      </c>
      <c r="AF408" s="26">
        <v>243</v>
      </c>
      <c r="AG408" s="26">
        <f t="shared" si="124"/>
        <v>8305.74</v>
      </c>
      <c r="AH408" s="23"/>
      <c r="AI408" s="23">
        <f t="shared" si="125"/>
        <v>0</v>
      </c>
      <c r="AJ408" s="23">
        <v>286</v>
      </c>
      <c r="AK408" s="23">
        <f t="shared" si="120"/>
        <v>10281.700000000001</v>
      </c>
      <c r="AL408" s="26">
        <v>202</v>
      </c>
      <c r="AM408" s="26">
        <f t="shared" si="121"/>
        <v>7407.34</v>
      </c>
      <c r="AN408" s="12">
        <f t="shared" si="122"/>
        <v>1976</v>
      </c>
      <c r="AO408" s="22">
        <f t="shared" si="123"/>
        <v>69307.42</v>
      </c>
    </row>
    <row r="409" spans="1:41" s="31" customFormat="1" x14ac:dyDescent="0.5">
      <c r="A409" s="19">
        <v>405</v>
      </c>
      <c r="B409" s="20" t="s">
        <v>108</v>
      </c>
      <c r="C409" s="21" t="s">
        <v>735</v>
      </c>
      <c r="D409" s="16">
        <v>875</v>
      </c>
      <c r="E409" s="16">
        <v>9</v>
      </c>
      <c r="F409" s="22">
        <v>486</v>
      </c>
      <c r="G409" s="22">
        <f t="shared" si="126"/>
        <v>15124.32</v>
      </c>
      <c r="H409" s="22"/>
      <c r="I409" s="23">
        <f t="shared" si="127"/>
        <v>0</v>
      </c>
      <c r="J409" s="22"/>
      <c r="K409" s="22">
        <f t="shared" si="128"/>
        <v>0</v>
      </c>
      <c r="L409" s="22"/>
      <c r="M409" s="24">
        <f t="shared" si="131"/>
        <v>0</v>
      </c>
      <c r="N409" s="23"/>
      <c r="O409" s="23">
        <f t="shared" si="132"/>
        <v>0</v>
      </c>
      <c r="P409" s="22"/>
      <c r="Q409" s="22">
        <f t="shared" si="129"/>
        <v>0</v>
      </c>
      <c r="R409" s="25">
        <v>598</v>
      </c>
      <c r="S409" s="25">
        <f t="shared" si="130"/>
        <v>23142.600000000002</v>
      </c>
      <c r="T409" s="25">
        <v>465</v>
      </c>
      <c r="U409" s="25">
        <f t="shared" si="114"/>
        <v>15670.500000000002</v>
      </c>
      <c r="V409" s="23">
        <v>717</v>
      </c>
      <c r="W409" s="23">
        <f t="shared" si="115"/>
        <v>23517.599999999999</v>
      </c>
      <c r="X409" s="23">
        <v>764</v>
      </c>
      <c r="Y409" s="23">
        <f t="shared" si="116"/>
        <v>26854.6</v>
      </c>
      <c r="Z409" s="23">
        <v>649</v>
      </c>
      <c r="AA409" s="23">
        <f t="shared" si="117"/>
        <v>22494.339999999997</v>
      </c>
      <c r="AB409" s="23">
        <v>613</v>
      </c>
      <c r="AC409" s="23">
        <f t="shared" si="118"/>
        <v>22098.649999999998</v>
      </c>
      <c r="AD409" s="23">
        <v>623</v>
      </c>
      <c r="AE409" s="23">
        <f t="shared" si="119"/>
        <v>21829.919999999998</v>
      </c>
      <c r="AF409" s="26">
        <v>280</v>
      </c>
      <c r="AG409" s="26">
        <f t="shared" si="124"/>
        <v>9570.4</v>
      </c>
      <c r="AH409" s="23">
        <v>859</v>
      </c>
      <c r="AI409" s="23">
        <f t="shared" si="125"/>
        <v>28604.699999999997</v>
      </c>
      <c r="AJ409" s="23">
        <v>663</v>
      </c>
      <c r="AK409" s="23">
        <f t="shared" si="120"/>
        <v>23834.850000000002</v>
      </c>
      <c r="AL409" s="26">
        <v>555</v>
      </c>
      <c r="AM409" s="26">
        <f t="shared" si="121"/>
        <v>20351.850000000002</v>
      </c>
      <c r="AN409" s="12">
        <f t="shared" si="122"/>
        <v>7272</v>
      </c>
      <c r="AO409" s="22">
        <f t="shared" si="123"/>
        <v>253094.32999999996</v>
      </c>
    </row>
    <row r="410" spans="1:41" x14ac:dyDescent="0.5">
      <c r="A410" s="19">
        <v>406</v>
      </c>
      <c r="B410" s="20" t="s">
        <v>483</v>
      </c>
      <c r="C410" s="21" t="s">
        <v>736</v>
      </c>
      <c r="D410" s="16">
        <v>877</v>
      </c>
      <c r="E410" s="16">
        <v>9</v>
      </c>
      <c r="F410" s="22">
        <v>246</v>
      </c>
      <c r="G410" s="22">
        <f t="shared" si="126"/>
        <v>7655.52</v>
      </c>
      <c r="H410" s="22">
        <v>122</v>
      </c>
      <c r="I410" s="23">
        <f t="shared" si="127"/>
        <v>3954.0199999999995</v>
      </c>
      <c r="J410" s="22"/>
      <c r="K410" s="22">
        <f t="shared" si="128"/>
        <v>0</v>
      </c>
      <c r="L410" s="29">
        <v>227</v>
      </c>
      <c r="M410" s="24">
        <f t="shared" si="131"/>
        <v>7972.24</v>
      </c>
      <c r="N410" s="30"/>
      <c r="O410" s="23">
        <f t="shared" si="132"/>
        <v>0</v>
      </c>
      <c r="P410" s="22">
        <v>277</v>
      </c>
      <c r="Q410" s="22">
        <f t="shared" si="129"/>
        <v>11634</v>
      </c>
      <c r="R410" s="25">
        <v>213</v>
      </c>
      <c r="S410" s="25">
        <f t="shared" si="130"/>
        <v>8243.1</v>
      </c>
      <c r="T410" s="25">
        <v>351</v>
      </c>
      <c r="U410" s="25">
        <f t="shared" si="114"/>
        <v>11828.7</v>
      </c>
      <c r="V410" s="23">
        <v>235</v>
      </c>
      <c r="W410" s="23">
        <f t="shared" si="115"/>
        <v>7707.9999999999991</v>
      </c>
      <c r="X410" s="23">
        <v>287</v>
      </c>
      <c r="Y410" s="23">
        <f t="shared" si="116"/>
        <v>10088.049999999999</v>
      </c>
      <c r="Z410" s="23">
        <v>259</v>
      </c>
      <c r="AA410" s="23">
        <f t="shared" si="117"/>
        <v>8976.9399999999987</v>
      </c>
      <c r="AB410" s="23">
        <v>207</v>
      </c>
      <c r="AC410" s="23">
        <f t="shared" si="118"/>
        <v>7462.3499999999995</v>
      </c>
      <c r="AD410" s="23">
        <v>220</v>
      </c>
      <c r="AE410" s="23">
        <f t="shared" si="119"/>
        <v>7708.8</v>
      </c>
      <c r="AF410" s="26">
        <v>258</v>
      </c>
      <c r="AG410" s="26">
        <f t="shared" si="124"/>
        <v>8818.44</v>
      </c>
      <c r="AH410" s="23">
        <v>223</v>
      </c>
      <c r="AI410" s="23">
        <f t="shared" si="125"/>
        <v>7425.9</v>
      </c>
      <c r="AJ410" s="23">
        <v>230</v>
      </c>
      <c r="AK410" s="23">
        <f t="shared" si="120"/>
        <v>8268.5</v>
      </c>
      <c r="AL410" s="26">
        <v>238</v>
      </c>
      <c r="AM410" s="26">
        <f t="shared" si="121"/>
        <v>8727.4600000000009</v>
      </c>
      <c r="AN410" s="12">
        <f t="shared" si="122"/>
        <v>3593</v>
      </c>
      <c r="AO410" s="22">
        <f t="shared" si="123"/>
        <v>126472.02000000002</v>
      </c>
    </row>
    <row r="411" spans="1:41" x14ac:dyDescent="0.5">
      <c r="A411" s="19">
        <v>407</v>
      </c>
      <c r="B411" s="27" t="s">
        <v>672</v>
      </c>
      <c r="C411" s="28" t="s">
        <v>737</v>
      </c>
      <c r="D411" s="16">
        <v>878</v>
      </c>
      <c r="E411" s="16">
        <v>9</v>
      </c>
      <c r="F411" s="22">
        <v>426</v>
      </c>
      <c r="G411" s="22">
        <f t="shared" si="126"/>
        <v>13257.12</v>
      </c>
      <c r="H411" s="22"/>
      <c r="I411" s="23">
        <f t="shared" si="127"/>
        <v>0</v>
      </c>
      <c r="J411" s="22">
        <v>345</v>
      </c>
      <c r="K411" s="22">
        <f t="shared" si="128"/>
        <v>11388.449999999999</v>
      </c>
      <c r="L411" s="22"/>
      <c r="M411" s="24">
        <f t="shared" si="131"/>
        <v>0</v>
      </c>
      <c r="N411" s="23">
        <v>335</v>
      </c>
      <c r="O411" s="23">
        <f t="shared" si="132"/>
        <v>12813.75</v>
      </c>
      <c r="P411" s="22">
        <v>332</v>
      </c>
      <c r="Q411" s="22">
        <f t="shared" si="129"/>
        <v>13944</v>
      </c>
      <c r="R411" s="25">
        <v>225</v>
      </c>
      <c r="S411" s="25">
        <f t="shared" si="130"/>
        <v>8707.5</v>
      </c>
      <c r="T411" s="25">
        <v>374</v>
      </c>
      <c r="U411" s="25">
        <f t="shared" si="114"/>
        <v>12603.800000000001</v>
      </c>
      <c r="V411" s="23">
        <v>388</v>
      </c>
      <c r="W411" s="23">
        <f t="shared" si="115"/>
        <v>12726.4</v>
      </c>
      <c r="X411" s="23"/>
      <c r="Y411" s="23">
        <f t="shared" si="116"/>
        <v>0</v>
      </c>
      <c r="Z411" s="23"/>
      <c r="AA411" s="23">
        <f t="shared" si="117"/>
        <v>0</v>
      </c>
      <c r="AB411" s="23"/>
      <c r="AC411" s="23">
        <f t="shared" si="118"/>
        <v>0</v>
      </c>
      <c r="AD411" s="23">
        <v>512</v>
      </c>
      <c r="AE411" s="23">
        <f t="shared" si="119"/>
        <v>17940.48</v>
      </c>
      <c r="AF411" s="26">
        <v>532</v>
      </c>
      <c r="AG411" s="26">
        <f t="shared" si="124"/>
        <v>18183.759999999998</v>
      </c>
      <c r="AH411" s="23">
        <v>441</v>
      </c>
      <c r="AI411" s="23">
        <f t="shared" si="125"/>
        <v>14685.3</v>
      </c>
      <c r="AJ411" s="23">
        <v>549</v>
      </c>
      <c r="AK411" s="23">
        <f t="shared" si="120"/>
        <v>19736.550000000003</v>
      </c>
      <c r="AL411" s="23">
        <v>558</v>
      </c>
      <c r="AM411" s="26">
        <f t="shared" si="121"/>
        <v>20461.86</v>
      </c>
      <c r="AN411" s="12">
        <f t="shared" si="122"/>
        <v>5017</v>
      </c>
      <c r="AO411" s="22">
        <f t="shared" si="123"/>
        <v>176448.96999999997</v>
      </c>
    </row>
    <row r="412" spans="1:41" x14ac:dyDescent="0.5">
      <c r="A412" s="19">
        <v>408</v>
      </c>
      <c r="B412" s="27" t="s">
        <v>738</v>
      </c>
      <c r="C412" s="28" t="s">
        <v>739</v>
      </c>
      <c r="D412" s="16">
        <v>881</v>
      </c>
      <c r="E412" s="16">
        <v>9</v>
      </c>
      <c r="F412" s="22"/>
      <c r="G412" s="22">
        <f t="shared" si="126"/>
        <v>0</v>
      </c>
      <c r="H412" s="22">
        <v>290</v>
      </c>
      <c r="I412" s="23">
        <f t="shared" si="127"/>
        <v>9398.9</v>
      </c>
      <c r="J412" s="22"/>
      <c r="K412" s="22">
        <f t="shared" si="128"/>
        <v>0</v>
      </c>
      <c r="L412" s="22">
        <v>343</v>
      </c>
      <c r="M412" s="24">
        <f t="shared" si="131"/>
        <v>12046.16</v>
      </c>
      <c r="N412" s="23">
        <v>125</v>
      </c>
      <c r="O412" s="23">
        <f t="shared" si="132"/>
        <v>4781.25</v>
      </c>
      <c r="P412" s="22">
        <v>210</v>
      </c>
      <c r="Q412" s="22">
        <f t="shared" si="129"/>
        <v>8820</v>
      </c>
      <c r="R412" s="25">
        <v>262</v>
      </c>
      <c r="S412" s="25">
        <f t="shared" si="130"/>
        <v>10139.400000000001</v>
      </c>
      <c r="T412" s="25">
        <v>359</v>
      </c>
      <c r="U412" s="25">
        <f t="shared" si="114"/>
        <v>12098.300000000001</v>
      </c>
      <c r="V412" s="23">
        <v>459</v>
      </c>
      <c r="W412" s="23">
        <f t="shared" si="115"/>
        <v>15055.199999999999</v>
      </c>
      <c r="X412" s="23">
        <v>460</v>
      </c>
      <c r="Y412" s="23">
        <f t="shared" si="116"/>
        <v>16169</v>
      </c>
      <c r="Z412" s="23"/>
      <c r="AA412" s="23">
        <f t="shared" si="117"/>
        <v>0</v>
      </c>
      <c r="AB412" s="23">
        <v>316</v>
      </c>
      <c r="AC412" s="23">
        <f t="shared" si="118"/>
        <v>11391.8</v>
      </c>
      <c r="AD412" s="23">
        <v>369</v>
      </c>
      <c r="AE412" s="23">
        <f t="shared" si="119"/>
        <v>12929.76</v>
      </c>
      <c r="AF412" s="26">
        <v>389</v>
      </c>
      <c r="AG412" s="26">
        <f t="shared" si="124"/>
        <v>13296.02</v>
      </c>
      <c r="AH412" s="23">
        <v>322</v>
      </c>
      <c r="AI412" s="23">
        <f t="shared" si="125"/>
        <v>10722.599999999999</v>
      </c>
      <c r="AJ412" s="23">
        <v>490</v>
      </c>
      <c r="AK412" s="23">
        <f t="shared" si="120"/>
        <v>17615.5</v>
      </c>
      <c r="AL412" s="23">
        <v>480</v>
      </c>
      <c r="AM412" s="26">
        <f t="shared" si="121"/>
        <v>17601.600000000002</v>
      </c>
      <c r="AN412" s="12">
        <f t="shared" si="122"/>
        <v>4874</v>
      </c>
      <c r="AO412" s="22">
        <f t="shared" si="123"/>
        <v>172065.49000000002</v>
      </c>
    </row>
    <row r="413" spans="1:41" s="31" customFormat="1" x14ac:dyDescent="0.5">
      <c r="A413" s="19">
        <v>409</v>
      </c>
      <c r="B413" s="20" t="s">
        <v>740</v>
      </c>
      <c r="C413" s="21" t="s">
        <v>741</v>
      </c>
      <c r="D413" s="16">
        <v>884</v>
      </c>
      <c r="E413" s="16">
        <v>9</v>
      </c>
      <c r="F413" s="22">
        <v>373</v>
      </c>
      <c r="G413" s="22">
        <f t="shared" si="126"/>
        <v>11607.76</v>
      </c>
      <c r="H413" s="22">
        <v>233</v>
      </c>
      <c r="I413" s="23">
        <f t="shared" si="127"/>
        <v>7551.5299999999988</v>
      </c>
      <c r="J413" s="22">
        <v>152</v>
      </c>
      <c r="K413" s="22">
        <f t="shared" si="128"/>
        <v>5017.5199999999995</v>
      </c>
      <c r="L413" s="22">
        <v>152</v>
      </c>
      <c r="M413" s="24">
        <f t="shared" si="131"/>
        <v>5338.24</v>
      </c>
      <c r="N413" s="23"/>
      <c r="O413" s="23">
        <f t="shared" si="132"/>
        <v>0</v>
      </c>
      <c r="P413" s="22">
        <v>147</v>
      </c>
      <c r="Q413" s="22">
        <f t="shared" si="129"/>
        <v>6174</v>
      </c>
      <c r="R413" s="25">
        <v>205</v>
      </c>
      <c r="S413" s="25">
        <f t="shared" si="130"/>
        <v>7933.5000000000009</v>
      </c>
      <c r="T413" s="25">
        <v>184</v>
      </c>
      <c r="U413" s="25">
        <f t="shared" si="114"/>
        <v>6200.8</v>
      </c>
      <c r="V413" s="23">
        <v>246</v>
      </c>
      <c r="W413" s="23">
        <f t="shared" si="115"/>
        <v>8068.7999999999993</v>
      </c>
      <c r="X413" s="23">
        <v>246</v>
      </c>
      <c r="Y413" s="23">
        <f t="shared" si="116"/>
        <v>8646.9</v>
      </c>
      <c r="Z413" s="23">
        <v>298</v>
      </c>
      <c r="AA413" s="23">
        <f t="shared" si="117"/>
        <v>10328.679999999998</v>
      </c>
      <c r="AB413" s="23"/>
      <c r="AC413" s="23">
        <f t="shared" si="118"/>
        <v>0</v>
      </c>
      <c r="AD413" s="23">
        <v>362</v>
      </c>
      <c r="AE413" s="23">
        <f t="shared" si="119"/>
        <v>12684.48</v>
      </c>
      <c r="AF413" s="26">
        <v>295</v>
      </c>
      <c r="AG413" s="26">
        <f t="shared" si="124"/>
        <v>10083.1</v>
      </c>
      <c r="AH413" s="23">
        <v>338</v>
      </c>
      <c r="AI413" s="23">
        <f t="shared" si="125"/>
        <v>11255.4</v>
      </c>
      <c r="AJ413" s="23">
        <v>332</v>
      </c>
      <c r="AK413" s="23">
        <f t="shared" si="120"/>
        <v>11935.400000000001</v>
      </c>
      <c r="AL413" s="26">
        <v>303</v>
      </c>
      <c r="AM413" s="26">
        <f t="shared" si="121"/>
        <v>11111.01</v>
      </c>
      <c r="AN413" s="12">
        <f t="shared" si="122"/>
        <v>3866</v>
      </c>
      <c r="AO413" s="22">
        <f t="shared" si="123"/>
        <v>133937.12</v>
      </c>
    </row>
    <row r="414" spans="1:41" x14ac:dyDescent="0.5">
      <c r="A414" s="19">
        <v>410</v>
      </c>
      <c r="B414" s="20" t="s">
        <v>742</v>
      </c>
      <c r="C414" s="21" t="s">
        <v>743</v>
      </c>
      <c r="D414" s="16">
        <v>890</v>
      </c>
      <c r="E414" s="16">
        <v>9</v>
      </c>
      <c r="F414" s="22">
        <v>903</v>
      </c>
      <c r="G414" s="22">
        <f t="shared" si="126"/>
        <v>28101.360000000001</v>
      </c>
      <c r="H414" s="22">
        <v>580</v>
      </c>
      <c r="I414" s="23">
        <f t="shared" si="127"/>
        <v>18797.8</v>
      </c>
      <c r="J414" s="22">
        <v>630</v>
      </c>
      <c r="K414" s="22">
        <f t="shared" si="128"/>
        <v>20796.3</v>
      </c>
      <c r="L414" s="29">
        <v>644</v>
      </c>
      <c r="M414" s="24">
        <f t="shared" si="131"/>
        <v>22617.279999999999</v>
      </c>
      <c r="N414" s="30"/>
      <c r="O414" s="23">
        <f t="shared" si="132"/>
        <v>0</v>
      </c>
      <c r="P414" s="22">
        <v>682</v>
      </c>
      <c r="Q414" s="22">
        <f t="shared" si="129"/>
        <v>28644</v>
      </c>
      <c r="R414" s="25">
        <v>752</v>
      </c>
      <c r="S414" s="25">
        <f t="shared" si="130"/>
        <v>29102.400000000001</v>
      </c>
      <c r="T414" s="25">
        <v>965</v>
      </c>
      <c r="U414" s="25">
        <f t="shared" si="114"/>
        <v>32520.500000000004</v>
      </c>
      <c r="V414" s="23">
        <v>822</v>
      </c>
      <c r="W414" s="23">
        <f t="shared" si="115"/>
        <v>26961.599999999999</v>
      </c>
      <c r="X414" s="23">
        <v>866</v>
      </c>
      <c r="Y414" s="23">
        <f t="shared" si="116"/>
        <v>30439.899999999998</v>
      </c>
      <c r="Z414" s="23">
        <v>764</v>
      </c>
      <c r="AA414" s="23">
        <f t="shared" si="117"/>
        <v>26480.239999999998</v>
      </c>
      <c r="AB414" s="23">
        <v>649</v>
      </c>
      <c r="AC414" s="23">
        <f t="shared" si="118"/>
        <v>23396.449999999997</v>
      </c>
      <c r="AD414" s="23">
        <v>990</v>
      </c>
      <c r="AE414" s="23">
        <f t="shared" si="119"/>
        <v>34689.599999999999</v>
      </c>
      <c r="AF414" s="26">
        <v>1185</v>
      </c>
      <c r="AG414" s="26">
        <f t="shared" si="124"/>
        <v>40503.300000000003</v>
      </c>
      <c r="AH414" s="23">
        <v>967</v>
      </c>
      <c r="AI414" s="23">
        <f t="shared" si="125"/>
        <v>32201.1</v>
      </c>
      <c r="AJ414" s="23">
        <v>1193</v>
      </c>
      <c r="AK414" s="23">
        <f t="shared" si="120"/>
        <v>42888.350000000006</v>
      </c>
      <c r="AL414" s="26">
        <v>1156</v>
      </c>
      <c r="AM414" s="26">
        <f t="shared" si="121"/>
        <v>42390.520000000004</v>
      </c>
      <c r="AN414" s="12">
        <f t="shared" si="122"/>
        <v>13748</v>
      </c>
      <c r="AO414" s="22">
        <f t="shared" si="123"/>
        <v>480530.69999999995</v>
      </c>
    </row>
    <row r="415" spans="1:41" s="31" customFormat="1" x14ac:dyDescent="0.5">
      <c r="A415" s="19">
        <v>411</v>
      </c>
      <c r="B415" s="20" t="s">
        <v>744</v>
      </c>
      <c r="C415" s="21" t="s">
        <v>745</v>
      </c>
      <c r="D415" s="16">
        <v>897</v>
      </c>
      <c r="E415" s="16">
        <v>9</v>
      </c>
      <c r="F415" s="22">
        <v>1212</v>
      </c>
      <c r="G415" s="22">
        <f t="shared" si="126"/>
        <v>37717.440000000002</v>
      </c>
      <c r="H415" s="22">
        <v>370</v>
      </c>
      <c r="I415" s="23">
        <f t="shared" si="127"/>
        <v>11991.699999999999</v>
      </c>
      <c r="J415" s="22">
        <v>255</v>
      </c>
      <c r="K415" s="22">
        <f t="shared" si="128"/>
        <v>8417.5499999999993</v>
      </c>
      <c r="L415" s="22"/>
      <c r="M415" s="24">
        <f t="shared" si="131"/>
        <v>0</v>
      </c>
      <c r="N415" s="23">
        <v>769</v>
      </c>
      <c r="O415" s="23">
        <f t="shared" si="132"/>
        <v>29414.25</v>
      </c>
      <c r="P415" s="22">
        <v>631</v>
      </c>
      <c r="Q415" s="22">
        <f t="shared" si="129"/>
        <v>26502</v>
      </c>
      <c r="R415" s="25"/>
      <c r="S415" s="25">
        <f t="shared" si="130"/>
        <v>0</v>
      </c>
      <c r="T415" s="25">
        <v>1348</v>
      </c>
      <c r="U415" s="25">
        <f t="shared" si="114"/>
        <v>45427.600000000006</v>
      </c>
      <c r="V415" s="23">
        <v>1182</v>
      </c>
      <c r="W415" s="23">
        <f t="shared" si="115"/>
        <v>38769.599999999999</v>
      </c>
      <c r="X415" s="23">
        <v>955</v>
      </c>
      <c r="Y415" s="23">
        <f t="shared" si="116"/>
        <v>33568.25</v>
      </c>
      <c r="Z415" s="23">
        <v>925</v>
      </c>
      <c r="AA415" s="23">
        <f t="shared" si="117"/>
        <v>32060.499999999996</v>
      </c>
      <c r="AB415" s="23"/>
      <c r="AC415" s="23">
        <f t="shared" si="118"/>
        <v>0</v>
      </c>
      <c r="AD415" s="23">
        <v>1416</v>
      </c>
      <c r="AE415" s="23">
        <f t="shared" si="119"/>
        <v>49616.639999999999</v>
      </c>
      <c r="AF415" s="26">
        <v>1207</v>
      </c>
      <c r="AG415" s="26">
        <f t="shared" si="124"/>
        <v>41255.26</v>
      </c>
      <c r="AH415" s="23">
        <v>1243</v>
      </c>
      <c r="AI415" s="23">
        <f t="shared" si="125"/>
        <v>41391.899999999994</v>
      </c>
      <c r="AJ415" s="23">
        <v>1492</v>
      </c>
      <c r="AK415" s="23">
        <f t="shared" si="120"/>
        <v>53637.4</v>
      </c>
      <c r="AL415" s="26">
        <v>1435</v>
      </c>
      <c r="AM415" s="26">
        <f t="shared" si="121"/>
        <v>52621.450000000004</v>
      </c>
      <c r="AN415" s="12">
        <f t="shared" si="122"/>
        <v>14440</v>
      </c>
      <c r="AO415" s="22">
        <f t="shared" si="123"/>
        <v>502391.5400000001</v>
      </c>
    </row>
    <row r="416" spans="1:41" s="31" customFormat="1" x14ac:dyDescent="0.5">
      <c r="A416" s="19">
        <v>412</v>
      </c>
      <c r="B416" s="27" t="s">
        <v>746</v>
      </c>
      <c r="C416" s="28" t="s">
        <v>747</v>
      </c>
      <c r="D416" s="16">
        <v>898</v>
      </c>
      <c r="E416" s="16">
        <v>9</v>
      </c>
      <c r="F416" s="22">
        <v>1438</v>
      </c>
      <c r="G416" s="22">
        <f t="shared" si="126"/>
        <v>44750.560000000005</v>
      </c>
      <c r="H416" s="22">
        <v>483</v>
      </c>
      <c r="I416" s="23">
        <f t="shared" si="127"/>
        <v>15654.029999999999</v>
      </c>
      <c r="J416" s="22">
        <v>1312</v>
      </c>
      <c r="K416" s="22">
        <f t="shared" si="128"/>
        <v>43309.119999999995</v>
      </c>
      <c r="L416" s="22">
        <v>319</v>
      </c>
      <c r="M416" s="24">
        <f t="shared" si="131"/>
        <v>11203.279999999999</v>
      </c>
      <c r="N416" s="23">
        <v>441</v>
      </c>
      <c r="O416" s="23">
        <f t="shared" si="132"/>
        <v>16868.25</v>
      </c>
      <c r="P416" s="22">
        <v>964</v>
      </c>
      <c r="Q416" s="22">
        <f t="shared" si="129"/>
        <v>40488</v>
      </c>
      <c r="R416" s="25">
        <v>766</v>
      </c>
      <c r="S416" s="25">
        <f t="shared" si="130"/>
        <v>29644.2</v>
      </c>
      <c r="T416" s="25">
        <v>1146</v>
      </c>
      <c r="U416" s="25">
        <f t="shared" si="114"/>
        <v>38620.200000000004</v>
      </c>
      <c r="V416" s="23">
        <v>444</v>
      </c>
      <c r="W416" s="23">
        <f t="shared" si="115"/>
        <v>14563.199999999999</v>
      </c>
      <c r="X416" s="23">
        <v>977</v>
      </c>
      <c r="Y416" s="23">
        <f t="shared" si="116"/>
        <v>34341.549999999996</v>
      </c>
      <c r="Z416" s="23">
        <v>750</v>
      </c>
      <c r="AA416" s="23">
        <f t="shared" si="117"/>
        <v>25994.999999999996</v>
      </c>
      <c r="AB416" s="23"/>
      <c r="AC416" s="23">
        <f t="shared" si="118"/>
        <v>0</v>
      </c>
      <c r="AD416" s="23">
        <v>1069</v>
      </c>
      <c r="AE416" s="23">
        <f t="shared" si="119"/>
        <v>37457.760000000002</v>
      </c>
      <c r="AF416" s="26">
        <v>783</v>
      </c>
      <c r="AG416" s="26">
        <f t="shared" si="124"/>
        <v>26762.94</v>
      </c>
      <c r="AH416" s="23">
        <v>830</v>
      </c>
      <c r="AI416" s="23">
        <f t="shared" si="125"/>
        <v>27638.999999999996</v>
      </c>
      <c r="AJ416" s="23">
        <v>1054</v>
      </c>
      <c r="AK416" s="23">
        <f t="shared" si="120"/>
        <v>37891.300000000003</v>
      </c>
      <c r="AL416" s="23">
        <v>1826</v>
      </c>
      <c r="AM416" s="26">
        <f t="shared" si="121"/>
        <v>66959.42</v>
      </c>
      <c r="AN416" s="12">
        <f t="shared" si="122"/>
        <v>14602</v>
      </c>
      <c r="AO416" s="22">
        <f t="shared" si="123"/>
        <v>512147.81</v>
      </c>
    </row>
    <row r="417" spans="1:41" x14ac:dyDescent="0.5">
      <c r="A417" s="19">
        <v>413</v>
      </c>
      <c r="B417" s="20" t="s">
        <v>748</v>
      </c>
      <c r="C417" s="21" t="s">
        <v>749</v>
      </c>
      <c r="D417" s="16">
        <v>903</v>
      </c>
      <c r="E417" s="16">
        <v>9</v>
      </c>
      <c r="F417" s="22">
        <v>340</v>
      </c>
      <c r="G417" s="22">
        <f t="shared" si="126"/>
        <v>10580.800000000001</v>
      </c>
      <c r="H417" s="22"/>
      <c r="I417" s="23">
        <f t="shared" si="127"/>
        <v>0</v>
      </c>
      <c r="J417" s="22"/>
      <c r="K417" s="22">
        <f t="shared" si="128"/>
        <v>0</v>
      </c>
      <c r="L417" s="22"/>
      <c r="M417" s="24">
        <f t="shared" si="131"/>
        <v>0</v>
      </c>
      <c r="N417" s="23"/>
      <c r="O417" s="23">
        <f t="shared" si="132"/>
        <v>0</v>
      </c>
      <c r="P417" s="22">
        <v>452</v>
      </c>
      <c r="Q417" s="22">
        <f t="shared" si="129"/>
        <v>18984</v>
      </c>
      <c r="R417" s="25">
        <v>455</v>
      </c>
      <c r="S417" s="25">
        <f t="shared" si="130"/>
        <v>17608.5</v>
      </c>
      <c r="T417" s="25">
        <v>606</v>
      </c>
      <c r="U417" s="25">
        <f t="shared" si="114"/>
        <v>20422.2</v>
      </c>
      <c r="V417" s="23"/>
      <c r="W417" s="23">
        <f t="shared" si="115"/>
        <v>0</v>
      </c>
      <c r="X417" s="23"/>
      <c r="Y417" s="23">
        <f t="shared" si="116"/>
        <v>0</v>
      </c>
      <c r="Z417" s="23"/>
      <c r="AA417" s="23">
        <f t="shared" si="117"/>
        <v>0</v>
      </c>
      <c r="AB417" s="23"/>
      <c r="AC417" s="23">
        <f t="shared" si="118"/>
        <v>0</v>
      </c>
      <c r="AD417" s="23">
        <v>759</v>
      </c>
      <c r="AE417" s="23">
        <f t="shared" si="119"/>
        <v>26595.360000000001</v>
      </c>
      <c r="AF417" s="26">
        <v>665</v>
      </c>
      <c r="AG417" s="26">
        <f t="shared" si="124"/>
        <v>22729.7</v>
      </c>
      <c r="AH417" s="23">
        <v>740</v>
      </c>
      <c r="AI417" s="23">
        <f t="shared" si="125"/>
        <v>24641.999999999996</v>
      </c>
      <c r="AJ417" s="23">
        <v>699</v>
      </c>
      <c r="AK417" s="23">
        <f t="shared" si="120"/>
        <v>25129.050000000003</v>
      </c>
      <c r="AL417" s="26">
        <v>708</v>
      </c>
      <c r="AM417" s="26">
        <f t="shared" si="121"/>
        <v>25962.36</v>
      </c>
      <c r="AN417" s="12">
        <f t="shared" si="122"/>
        <v>5424</v>
      </c>
      <c r="AO417" s="22">
        <f t="shared" si="123"/>
        <v>192653.96999999997</v>
      </c>
    </row>
    <row r="418" spans="1:41" x14ac:dyDescent="0.5">
      <c r="A418" s="19">
        <v>414</v>
      </c>
      <c r="B418" s="27" t="s">
        <v>750</v>
      </c>
      <c r="C418" s="28" t="s">
        <v>751</v>
      </c>
      <c r="D418" s="16">
        <v>904</v>
      </c>
      <c r="E418" s="16">
        <v>9</v>
      </c>
      <c r="F418" s="22"/>
      <c r="G418" s="22">
        <f t="shared" si="126"/>
        <v>0</v>
      </c>
      <c r="H418" s="22"/>
      <c r="I418" s="23">
        <f t="shared" si="127"/>
        <v>0</v>
      </c>
      <c r="J418" s="22"/>
      <c r="K418" s="22">
        <f t="shared" si="128"/>
        <v>0</v>
      </c>
      <c r="L418" s="22"/>
      <c r="M418" s="24">
        <f t="shared" si="131"/>
        <v>0</v>
      </c>
      <c r="N418" s="23"/>
      <c r="O418" s="23">
        <f t="shared" si="132"/>
        <v>0</v>
      </c>
      <c r="P418" s="22"/>
      <c r="Q418" s="22">
        <f t="shared" si="129"/>
        <v>0</v>
      </c>
      <c r="R418" s="25"/>
      <c r="S418" s="25">
        <f t="shared" si="130"/>
        <v>0</v>
      </c>
      <c r="T418" s="25"/>
      <c r="U418" s="25">
        <f t="shared" si="114"/>
        <v>0</v>
      </c>
      <c r="V418" s="23"/>
      <c r="W418" s="23">
        <f t="shared" si="115"/>
        <v>0</v>
      </c>
      <c r="X418" s="23"/>
      <c r="Y418" s="23">
        <f t="shared" si="116"/>
        <v>0</v>
      </c>
      <c r="Z418" s="23"/>
      <c r="AA418" s="23">
        <f t="shared" si="117"/>
        <v>0</v>
      </c>
      <c r="AB418" s="23"/>
      <c r="AC418" s="23">
        <f t="shared" si="118"/>
        <v>0</v>
      </c>
      <c r="AD418" s="23"/>
      <c r="AE418" s="23">
        <f t="shared" si="119"/>
        <v>0</v>
      </c>
      <c r="AF418" s="26"/>
      <c r="AG418" s="26">
        <f t="shared" si="124"/>
        <v>0</v>
      </c>
      <c r="AH418" s="23"/>
      <c r="AI418" s="23">
        <f t="shared" si="125"/>
        <v>0</v>
      </c>
      <c r="AJ418" s="23"/>
      <c r="AK418" s="23">
        <f t="shared" si="120"/>
        <v>0</v>
      </c>
      <c r="AL418" s="23"/>
      <c r="AM418" s="26">
        <f t="shared" si="121"/>
        <v>0</v>
      </c>
      <c r="AN418" s="12">
        <f t="shared" si="122"/>
        <v>0</v>
      </c>
      <c r="AO418" s="22">
        <f t="shared" si="123"/>
        <v>0</v>
      </c>
    </row>
    <row r="419" spans="1:41" s="31" customFormat="1" x14ac:dyDescent="0.5">
      <c r="A419" s="19">
        <v>415</v>
      </c>
      <c r="B419" s="27" t="s">
        <v>752</v>
      </c>
      <c r="C419" s="28" t="s">
        <v>753</v>
      </c>
      <c r="D419" s="16">
        <v>914</v>
      </c>
      <c r="E419" s="16">
        <v>9</v>
      </c>
      <c r="F419" s="22">
        <v>474</v>
      </c>
      <c r="G419" s="22">
        <f t="shared" si="126"/>
        <v>14750.880000000001</v>
      </c>
      <c r="H419" s="22">
        <v>282</v>
      </c>
      <c r="I419" s="23">
        <f t="shared" si="127"/>
        <v>9139.619999999999</v>
      </c>
      <c r="J419" s="22">
        <v>242</v>
      </c>
      <c r="K419" s="22">
        <f t="shared" si="128"/>
        <v>7988.4199999999992</v>
      </c>
      <c r="L419" s="22"/>
      <c r="M419" s="24">
        <f t="shared" si="131"/>
        <v>0</v>
      </c>
      <c r="N419" s="23">
        <v>318</v>
      </c>
      <c r="O419" s="23">
        <f t="shared" si="132"/>
        <v>12163.5</v>
      </c>
      <c r="P419" s="22">
        <v>467</v>
      </c>
      <c r="Q419" s="22">
        <f t="shared" si="129"/>
        <v>19614</v>
      </c>
      <c r="R419" s="25">
        <v>442</v>
      </c>
      <c r="S419" s="25">
        <f t="shared" si="130"/>
        <v>17105.400000000001</v>
      </c>
      <c r="T419" s="25">
        <v>410</v>
      </c>
      <c r="U419" s="25">
        <f t="shared" si="114"/>
        <v>13817.000000000002</v>
      </c>
      <c r="V419" s="23">
        <v>424</v>
      </c>
      <c r="W419" s="23">
        <f t="shared" si="115"/>
        <v>13907.199999999999</v>
      </c>
      <c r="X419" s="23">
        <v>530</v>
      </c>
      <c r="Y419" s="23">
        <f t="shared" si="116"/>
        <v>18629.5</v>
      </c>
      <c r="Z419" s="23">
        <v>402</v>
      </c>
      <c r="AA419" s="23">
        <f t="shared" si="117"/>
        <v>13933.319999999998</v>
      </c>
      <c r="AB419" s="23"/>
      <c r="AC419" s="23">
        <f t="shared" si="118"/>
        <v>0</v>
      </c>
      <c r="AD419" s="23">
        <v>311</v>
      </c>
      <c r="AE419" s="23">
        <f t="shared" si="119"/>
        <v>10897.44</v>
      </c>
      <c r="AF419" s="26">
        <v>382</v>
      </c>
      <c r="AG419" s="26">
        <f t="shared" si="124"/>
        <v>13056.76</v>
      </c>
      <c r="AH419" s="23">
        <v>537</v>
      </c>
      <c r="AI419" s="23">
        <f t="shared" si="125"/>
        <v>17882.099999999999</v>
      </c>
      <c r="AJ419" s="23">
        <v>482</v>
      </c>
      <c r="AK419" s="23">
        <f t="shared" si="120"/>
        <v>17327.900000000001</v>
      </c>
      <c r="AL419" s="23">
        <v>592</v>
      </c>
      <c r="AM419" s="26">
        <f t="shared" si="121"/>
        <v>21708.639999999999</v>
      </c>
      <c r="AN419" s="12">
        <f t="shared" si="122"/>
        <v>6295</v>
      </c>
      <c r="AO419" s="22">
        <f t="shared" si="123"/>
        <v>221921.68</v>
      </c>
    </row>
    <row r="420" spans="1:41" x14ac:dyDescent="0.5">
      <c r="A420" s="19">
        <v>416</v>
      </c>
      <c r="B420" s="20" t="s">
        <v>754</v>
      </c>
      <c r="C420" s="21" t="s">
        <v>755</v>
      </c>
      <c r="D420" s="16">
        <v>921</v>
      </c>
      <c r="E420" s="16">
        <v>9</v>
      </c>
      <c r="F420" s="22">
        <v>347</v>
      </c>
      <c r="G420" s="22">
        <f t="shared" si="126"/>
        <v>10798.640000000001</v>
      </c>
      <c r="H420" s="22">
        <v>369</v>
      </c>
      <c r="I420" s="23">
        <f t="shared" si="127"/>
        <v>11959.289999999999</v>
      </c>
      <c r="J420" s="22">
        <v>176</v>
      </c>
      <c r="K420" s="22">
        <f t="shared" si="128"/>
        <v>5809.7599999999993</v>
      </c>
      <c r="L420" s="22">
        <v>197</v>
      </c>
      <c r="M420" s="24">
        <f t="shared" si="131"/>
        <v>6918.6399999999994</v>
      </c>
      <c r="N420" s="23">
        <v>235</v>
      </c>
      <c r="O420" s="23">
        <f t="shared" si="132"/>
        <v>8988.75</v>
      </c>
      <c r="P420" s="22">
        <v>174</v>
      </c>
      <c r="Q420" s="22">
        <f t="shared" si="129"/>
        <v>7308</v>
      </c>
      <c r="R420" s="25">
        <v>177</v>
      </c>
      <c r="S420" s="25">
        <f t="shared" si="130"/>
        <v>6849.9000000000005</v>
      </c>
      <c r="T420" s="25">
        <v>216</v>
      </c>
      <c r="U420" s="25">
        <f t="shared" si="114"/>
        <v>7279.2000000000007</v>
      </c>
      <c r="V420" s="23">
        <v>256</v>
      </c>
      <c r="W420" s="23">
        <f t="shared" si="115"/>
        <v>8396.7999999999993</v>
      </c>
      <c r="X420" s="23">
        <v>240</v>
      </c>
      <c r="Y420" s="23">
        <f t="shared" si="116"/>
        <v>8436</v>
      </c>
      <c r="Z420" s="23">
        <v>196</v>
      </c>
      <c r="AA420" s="23">
        <f t="shared" si="117"/>
        <v>6793.36</v>
      </c>
      <c r="AB420" s="23">
        <v>245</v>
      </c>
      <c r="AC420" s="23">
        <f t="shared" si="118"/>
        <v>8832.25</v>
      </c>
      <c r="AD420" s="23">
        <v>301</v>
      </c>
      <c r="AE420" s="23">
        <f t="shared" si="119"/>
        <v>10547.039999999999</v>
      </c>
      <c r="AF420" s="26">
        <v>366</v>
      </c>
      <c r="AG420" s="26">
        <f t="shared" si="124"/>
        <v>12509.88</v>
      </c>
      <c r="AH420" s="23">
        <v>338</v>
      </c>
      <c r="AI420" s="23">
        <f t="shared" si="125"/>
        <v>11255.4</v>
      </c>
      <c r="AJ420" s="23">
        <v>333</v>
      </c>
      <c r="AK420" s="23">
        <f t="shared" si="120"/>
        <v>11971.35</v>
      </c>
      <c r="AL420" s="26">
        <v>307</v>
      </c>
      <c r="AM420" s="26">
        <f t="shared" si="121"/>
        <v>11257.69</v>
      </c>
      <c r="AN420" s="12">
        <f t="shared" si="122"/>
        <v>4473</v>
      </c>
      <c r="AO420" s="22">
        <f t="shared" si="123"/>
        <v>155911.95000000001</v>
      </c>
    </row>
    <row r="421" spans="1:41" x14ac:dyDescent="0.5">
      <c r="A421" s="19">
        <v>417</v>
      </c>
      <c r="B421" s="20" t="s">
        <v>756</v>
      </c>
      <c r="C421" s="21" t="s">
        <v>722</v>
      </c>
      <c r="D421" s="16">
        <v>957</v>
      </c>
      <c r="E421" s="16">
        <v>9</v>
      </c>
      <c r="F421" s="22">
        <v>958</v>
      </c>
      <c r="G421" s="22">
        <f t="shared" si="126"/>
        <v>29812.960000000003</v>
      </c>
      <c r="H421" s="22">
        <v>700</v>
      </c>
      <c r="I421" s="23">
        <f t="shared" si="127"/>
        <v>22686.999999999996</v>
      </c>
      <c r="J421" s="22">
        <v>587</v>
      </c>
      <c r="K421" s="22">
        <f t="shared" si="128"/>
        <v>19376.87</v>
      </c>
      <c r="L421" s="22">
        <v>358</v>
      </c>
      <c r="M421" s="24">
        <f t="shared" si="131"/>
        <v>12572.96</v>
      </c>
      <c r="N421" s="23">
        <v>455</v>
      </c>
      <c r="O421" s="23">
        <f t="shared" si="132"/>
        <v>17403.75</v>
      </c>
      <c r="P421" s="22">
        <v>586</v>
      </c>
      <c r="Q421" s="22">
        <f t="shared" si="129"/>
        <v>24612</v>
      </c>
      <c r="R421" s="25">
        <v>990</v>
      </c>
      <c r="S421" s="25">
        <f t="shared" si="130"/>
        <v>38313</v>
      </c>
      <c r="T421" s="25">
        <v>1226</v>
      </c>
      <c r="U421" s="25">
        <f t="shared" si="114"/>
        <v>41316.200000000004</v>
      </c>
      <c r="V421" s="23">
        <v>1124</v>
      </c>
      <c r="W421" s="23">
        <f t="shared" si="115"/>
        <v>36867.199999999997</v>
      </c>
      <c r="X421" s="23">
        <v>1267</v>
      </c>
      <c r="Y421" s="23">
        <f t="shared" si="116"/>
        <v>44535.049999999996</v>
      </c>
      <c r="Z421" s="23">
        <v>937</v>
      </c>
      <c r="AA421" s="23">
        <f t="shared" si="117"/>
        <v>32476.42</v>
      </c>
      <c r="AB421" s="23">
        <v>1180</v>
      </c>
      <c r="AC421" s="23">
        <f t="shared" si="118"/>
        <v>42539</v>
      </c>
      <c r="AD421" s="23">
        <v>1209</v>
      </c>
      <c r="AE421" s="23">
        <f t="shared" si="119"/>
        <v>42363.360000000001</v>
      </c>
      <c r="AF421" s="26">
        <v>1304</v>
      </c>
      <c r="AG421" s="26">
        <f t="shared" si="124"/>
        <v>44570.720000000001</v>
      </c>
      <c r="AH421" s="23">
        <v>1500</v>
      </c>
      <c r="AI421" s="23">
        <f t="shared" si="125"/>
        <v>49949.999999999993</v>
      </c>
      <c r="AJ421" s="23">
        <v>1209</v>
      </c>
      <c r="AK421" s="23">
        <f t="shared" si="120"/>
        <v>43463.55</v>
      </c>
      <c r="AL421" s="26">
        <v>1581</v>
      </c>
      <c r="AM421" s="26">
        <f t="shared" si="121"/>
        <v>57975.270000000004</v>
      </c>
      <c r="AN421" s="12">
        <f t="shared" si="122"/>
        <v>17171</v>
      </c>
      <c r="AO421" s="22">
        <f t="shared" si="123"/>
        <v>600835.31000000006</v>
      </c>
    </row>
    <row r="422" spans="1:41" x14ac:dyDescent="0.5">
      <c r="A422" s="19">
        <v>418</v>
      </c>
      <c r="B422" s="27" t="s">
        <v>757</v>
      </c>
      <c r="C422" s="28" t="s">
        <v>681</v>
      </c>
      <c r="D422" s="16">
        <v>965</v>
      </c>
      <c r="E422" s="16">
        <v>9</v>
      </c>
      <c r="F422" s="22"/>
      <c r="G422" s="22">
        <f t="shared" si="126"/>
        <v>0</v>
      </c>
      <c r="H422" s="22"/>
      <c r="I422" s="23">
        <f t="shared" si="127"/>
        <v>0</v>
      </c>
      <c r="J422" s="22"/>
      <c r="K422" s="22">
        <f t="shared" si="128"/>
        <v>0</v>
      </c>
      <c r="L422" s="22"/>
      <c r="M422" s="24">
        <f t="shared" si="131"/>
        <v>0</v>
      </c>
      <c r="N422" s="23"/>
      <c r="O422" s="23">
        <f t="shared" si="132"/>
        <v>0</v>
      </c>
      <c r="P422" s="22"/>
      <c r="Q422" s="22">
        <f t="shared" si="129"/>
        <v>0</v>
      </c>
      <c r="R422" s="25"/>
      <c r="S422" s="25">
        <f t="shared" si="130"/>
        <v>0</v>
      </c>
      <c r="T422" s="25"/>
      <c r="U422" s="25">
        <f t="shared" si="114"/>
        <v>0</v>
      </c>
      <c r="V422" s="23"/>
      <c r="W422" s="23">
        <f t="shared" si="115"/>
        <v>0</v>
      </c>
      <c r="X422" s="23"/>
      <c r="Y422" s="23">
        <f t="shared" si="116"/>
        <v>0</v>
      </c>
      <c r="Z422" s="23"/>
      <c r="AA422" s="23">
        <f t="shared" si="117"/>
        <v>0</v>
      </c>
      <c r="AB422" s="23"/>
      <c r="AC422" s="23">
        <f t="shared" si="118"/>
        <v>0</v>
      </c>
      <c r="AD422" s="23"/>
      <c r="AE422" s="23">
        <f t="shared" si="119"/>
        <v>0</v>
      </c>
      <c r="AF422" s="26"/>
      <c r="AG422" s="26">
        <f t="shared" si="124"/>
        <v>0</v>
      </c>
      <c r="AH422" s="23"/>
      <c r="AI422" s="23">
        <f t="shared" si="125"/>
        <v>0</v>
      </c>
      <c r="AJ422" s="23"/>
      <c r="AK422" s="23">
        <f t="shared" si="120"/>
        <v>0</v>
      </c>
      <c r="AL422" s="23"/>
      <c r="AM422" s="26">
        <f t="shared" si="121"/>
        <v>0</v>
      </c>
      <c r="AN422" s="12">
        <f t="shared" si="122"/>
        <v>0</v>
      </c>
      <c r="AO422" s="22">
        <f t="shared" si="123"/>
        <v>0</v>
      </c>
    </row>
    <row r="423" spans="1:41" x14ac:dyDescent="0.5">
      <c r="A423" s="19">
        <v>419</v>
      </c>
      <c r="B423" s="20" t="s">
        <v>758</v>
      </c>
      <c r="C423" s="21" t="s">
        <v>759</v>
      </c>
      <c r="D423" s="16">
        <v>986</v>
      </c>
      <c r="E423" s="16">
        <v>9</v>
      </c>
      <c r="F423" s="22">
        <v>346</v>
      </c>
      <c r="G423" s="22">
        <f t="shared" si="126"/>
        <v>10767.52</v>
      </c>
      <c r="H423" s="22">
        <v>292</v>
      </c>
      <c r="I423" s="23">
        <f t="shared" si="127"/>
        <v>9463.7199999999993</v>
      </c>
      <c r="J423" s="22">
        <v>154</v>
      </c>
      <c r="K423" s="22">
        <f t="shared" si="128"/>
        <v>5083.54</v>
      </c>
      <c r="L423" s="22"/>
      <c r="M423" s="24">
        <f t="shared" si="131"/>
        <v>0</v>
      </c>
      <c r="N423" s="23"/>
      <c r="O423" s="23">
        <f t="shared" si="132"/>
        <v>0</v>
      </c>
      <c r="P423" s="22">
        <v>201</v>
      </c>
      <c r="Q423" s="22">
        <f t="shared" si="129"/>
        <v>8442</v>
      </c>
      <c r="R423" s="25">
        <v>403</v>
      </c>
      <c r="S423" s="25">
        <f t="shared" si="130"/>
        <v>15596.1</v>
      </c>
      <c r="T423" s="25">
        <v>392</v>
      </c>
      <c r="U423" s="25">
        <f t="shared" si="114"/>
        <v>13210.400000000001</v>
      </c>
      <c r="V423" s="23">
        <v>442</v>
      </c>
      <c r="W423" s="23">
        <f t="shared" si="115"/>
        <v>14497.599999999999</v>
      </c>
      <c r="X423" s="23"/>
      <c r="Y423" s="23">
        <f t="shared" si="116"/>
        <v>0</v>
      </c>
      <c r="Z423" s="23">
        <v>436</v>
      </c>
      <c r="AA423" s="23">
        <f t="shared" si="117"/>
        <v>15111.759999999998</v>
      </c>
      <c r="AB423" s="23">
        <v>522</v>
      </c>
      <c r="AC423" s="23">
        <f t="shared" si="118"/>
        <v>18818.099999999999</v>
      </c>
      <c r="AD423" s="23">
        <v>562</v>
      </c>
      <c r="AE423" s="23">
        <f t="shared" si="119"/>
        <v>19692.48</v>
      </c>
      <c r="AF423" s="26">
        <v>692</v>
      </c>
      <c r="AG423" s="26">
        <f t="shared" si="124"/>
        <v>23652.560000000001</v>
      </c>
      <c r="AH423" s="23">
        <v>546</v>
      </c>
      <c r="AI423" s="23">
        <f t="shared" si="125"/>
        <v>18181.8</v>
      </c>
      <c r="AJ423" s="23">
        <v>678</v>
      </c>
      <c r="AK423" s="23">
        <f t="shared" si="120"/>
        <v>24374.100000000002</v>
      </c>
      <c r="AL423" s="26">
        <v>626</v>
      </c>
      <c r="AM423" s="26">
        <f t="shared" si="121"/>
        <v>22955.420000000002</v>
      </c>
      <c r="AN423" s="12">
        <f t="shared" si="122"/>
        <v>6292</v>
      </c>
      <c r="AO423" s="22">
        <f t="shared" si="123"/>
        <v>219847.1</v>
      </c>
    </row>
    <row r="424" spans="1:41" x14ac:dyDescent="0.5">
      <c r="A424" s="19">
        <v>420</v>
      </c>
      <c r="B424" s="20" t="s">
        <v>760</v>
      </c>
      <c r="C424" s="21" t="s">
        <v>761</v>
      </c>
      <c r="D424" s="16">
        <v>988</v>
      </c>
      <c r="E424" s="16">
        <v>9</v>
      </c>
      <c r="F424" s="22">
        <v>4002</v>
      </c>
      <c r="G424" s="22">
        <f t="shared" si="126"/>
        <v>124542.24</v>
      </c>
      <c r="H424" s="22">
        <v>2231</v>
      </c>
      <c r="I424" s="23">
        <f t="shared" si="127"/>
        <v>72306.709999999992</v>
      </c>
      <c r="J424" s="22">
        <v>2165</v>
      </c>
      <c r="K424" s="22">
        <f t="shared" si="128"/>
        <v>71466.649999999994</v>
      </c>
      <c r="L424" s="22">
        <v>1708</v>
      </c>
      <c r="M424" s="24">
        <f t="shared" si="131"/>
        <v>59984.959999999999</v>
      </c>
      <c r="N424" s="23">
        <v>1554</v>
      </c>
      <c r="O424" s="23">
        <f t="shared" si="132"/>
        <v>59440.5</v>
      </c>
      <c r="P424" s="22">
        <v>2142</v>
      </c>
      <c r="Q424" s="22">
        <f t="shared" si="129"/>
        <v>89964</v>
      </c>
      <c r="R424" s="25">
        <v>3200</v>
      </c>
      <c r="S424" s="25">
        <f t="shared" si="130"/>
        <v>123840.00000000001</v>
      </c>
      <c r="T424" s="25">
        <v>4452</v>
      </c>
      <c r="U424" s="25">
        <f t="shared" si="114"/>
        <v>150032.40000000002</v>
      </c>
      <c r="V424" s="23">
        <v>4043</v>
      </c>
      <c r="W424" s="23">
        <f t="shared" si="115"/>
        <v>132610.4</v>
      </c>
      <c r="X424" s="23">
        <v>2515</v>
      </c>
      <c r="Y424" s="23">
        <f t="shared" si="116"/>
        <v>88402.25</v>
      </c>
      <c r="Z424" s="23">
        <v>3213</v>
      </c>
      <c r="AA424" s="23">
        <f t="shared" si="117"/>
        <v>111362.57999999999</v>
      </c>
      <c r="AB424" s="23">
        <v>2404</v>
      </c>
      <c r="AC424" s="23">
        <f t="shared" si="118"/>
        <v>86664.2</v>
      </c>
      <c r="AD424" s="23">
        <v>3600</v>
      </c>
      <c r="AE424" s="23">
        <f t="shared" si="119"/>
        <v>126144</v>
      </c>
      <c r="AF424" s="26">
        <v>3949</v>
      </c>
      <c r="AG424" s="26">
        <f t="shared" si="124"/>
        <v>134976.82</v>
      </c>
      <c r="AH424" s="23">
        <v>3291</v>
      </c>
      <c r="AI424" s="23">
        <f t="shared" si="125"/>
        <v>109590.29999999999</v>
      </c>
      <c r="AJ424" s="23">
        <v>3894</v>
      </c>
      <c r="AK424" s="23">
        <f t="shared" si="120"/>
        <v>139989.30000000002</v>
      </c>
      <c r="AL424" s="26">
        <v>4293</v>
      </c>
      <c r="AM424" s="26">
        <f t="shared" si="121"/>
        <v>157424.31</v>
      </c>
      <c r="AN424" s="12">
        <f t="shared" si="122"/>
        <v>52656</v>
      </c>
      <c r="AO424" s="22">
        <f t="shared" si="123"/>
        <v>1838741.6200000003</v>
      </c>
    </row>
    <row r="425" spans="1:41" s="31" customFormat="1" x14ac:dyDescent="0.5">
      <c r="A425" s="19">
        <v>421</v>
      </c>
      <c r="B425" s="20" t="s">
        <v>77</v>
      </c>
      <c r="C425" s="21" t="s">
        <v>762</v>
      </c>
      <c r="D425" s="16">
        <v>993</v>
      </c>
      <c r="E425" s="16">
        <v>9</v>
      </c>
      <c r="F425" s="22">
        <v>422</v>
      </c>
      <c r="G425" s="22">
        <f t="shared" si="126"/>
        <v>13132.640000000001</v>
      </c>
      <c r="H425" s="22">
        <v>280</v>
      </c>
      <c r="I425" s="23">
        <f t="shared" si="127"/>
        <v>9074.7999999999993</v>
      </c>
      <c r="J425" s="22">
        <v>328</v>
      </c>
      <c r="K425" s="22">
        <f t="shared" si="128"/>
        <v>10827.279999999999</v>
      </c>
      <c r="L425" s="22">
        <v>223</v>
      </c>
      <c r="M425" s="24">
        <f t="shared" si="131"/>
        <v>7831.7599999999993</v>
      </c>
      <c r="N425" s="23"/>
      <c r="O425" s="23">
        <f t="shared" si="132"/>
        <v>0</v>
      </c>
      <c r="P425" s="22">
        <v>407</v>
      </c>
      <c r="Q425" s="22">
        <f t="shared" si="129"/>
        <v>17094</v>
      </c>
      <c r="R425" s="25">
        <v>287</v>
      </c>
      <c r="S425" s="25">
        <f t="shared" si="130"/>
        <v>11106.900000000001</v>
      </c>
      <c r="T425" s="25">
        <v>378</v>
      </c>
      <c r="U425" s="25">
        <f t="shared" si="114"/>
        <v>12738.6</v>
      </c>
      <c r="V425" s="23">
        <v>398</v>
      </c>
      <c r="W425" s="23">
        <f t="shared" si="115"/>
        <v>13054.4</v>
      </c>
      <c r="X425" s="23">
        <v>506</v>
      </c>
      <c r="Y425" s="23">
        <f t="shared" si="116"/>
        <v>17785.899999999998</v>
      </c>
      <c r="Z425" s="23">
        <v>390</v>
      </c>
      <c r="AA425" s="23">
        <f t="shared" si="117"/>
        <v>13517.399999999998</v>
      </c>
      <c r="AB425" s="23"/>
      <c r="AC425" s="23">
        <f t="shared" si="118"/>
        <v>0</v>
      </c>
      <c r="AD425" s="23">
        <v>440</v>
      </c>
      <c r="AE425" s="23">
        <f t="shared" si="119"/>
        <v>15417.6</v>
      </c>
      <c r="AF425" s="26">
        <v>722</v>
      </c>
      <c r="AG425" s="26">
        <f t="shared" si="124"/>
        <v>24677.96</v>
      </c>
      <c r="AH425" s="23">
        <v>789</v>
      </c>
      <c r="AI425" s="23">
        <f t="shared" si="125"/>
        <v>26273.699999999997</v>
      </c>
      <c r="AJ425" s="23">
        <v>526</v>
      </c>
      <c r="AK425" s="23">
        <f t="shared" si="120"/>
        <v>18909.7</v>
      </c>
      <c r="AL425" s="26">
        <v>799</v>
      </c>
      <c r="AM425" s="26">
        <f t="shared" si="121"/>
        <v>29299.33</v>
      </c>
      <c r="AN425" s="12">
        <f t="shared" si="122"/>
        <v>6895</v>
      </c>
      <c r="AO425" s="22">
        <f t="shared" si="123"/>
        <v>240741.97000000003</v>
      </c>
    </row>
    <row r="426" spans="1:41" x14ac:dyDescent="0.5">
      <c r="A426" s="19">
        <v>422</v>
      </c>
      <c r="B426" s="20" t="s">
        <v>763</v>
      </c>
      <c r="C426" s="21" t="s">
        <v>764</v>
      </c>
      <c r="D426" s="16">
        <v>997</v>
      </c>
      <c r="E426" s="16">
        <v>9</v>
      </c>
      <c r="F426" s="22">
        <v>776</v>
      </c>
      <c r="G426" s="22">
        <f t="shared" si="126"/>
        <v>24149.119999999999</v>
      </c>
      <c r="H426" s="22">
        <v>619</v>
      </c>
      <c r="I426" s="23">
        <f t="shared" si="127"/>
        <v>20061.789999999997</v>
      </c>
      <c r="J426" s="22">
        <v>692</v>
      </c>
      <c r="K426" s="22">
        <f t="shared" si="128"/>
        <v>22842.92</v>
      </c>
      <c r="L426" s="22">
        <v>536</v>
      </c>
      <c r="M426" s="24">
        <f t="shared" si="131"/>
        <v>18824.32</v>
      </c>
      <c r="N426" s="23">
        <v>511</v>
      </c>
      <c r="O426" s="23">
        <f t="shared" si="132"/>
        <v>19545.75</v>
      </c>
      <c r="P426" s="22">
        <v>559</v>
      </c>
      <c r="Q426" s="22">
        <f t="shared" si="129"/>
        <v>23478</v>
      </c>
      <c r="R426" s="25">
        <v>742</v>
      </c>
      <c r="S426" s="25">
        <f t="shared" si="130"/>
        <v>28715.4</v>
      </c>
      <c r="T426" s="25">
        <v>780</v>
      </c>
      <c r="U426" s="25">
        <f t="shared" si="114"/>
        <v>26286.000000000004</v>
      </c>
      <c r="V426" s="23">
        <v>534</v>
      </c>
      <c r="W426" s="23">
        <f t="shared" si="115"/>
        <v>17515.199999999997</v>
      </c>
      <c r="X426" s="23">
        <v>734</v>
      </c>
      <c r="Y426" s="23">
        <f t="shared" si="116"/>
        <v>25800.1</v>
      </c>
      <c r="Z426" s="23">
        <v>647</v>
      </c>
      <c r="AA426" s="23">
        <f t="shared" si="117"/>
        <v>22425.019999999997</v>
      </c>
      <c r="AB426" s="23"/>
      <c r="AC426" s="23">
        <f t="shared" si="118"/>
        <v>0</v>
      </c>
      <c r="AD426" s="23">
        <v>1076</v>
      </c>
      <c r="AE426" s="23">
        <f t="shared" si="119"/>
        <v>37703.040000000001</v>
      </c>
      <c r="AF426" s="26">
        <v>831</v>
      </c>
      <c r="AG426" s="26">
        <f t="shared" si="124"/>
        <v>28403.579999999998</v>
      </c>
      <c r="AH426" s="23">
        <v>855</v>
      </c>
      <c r="AI426" s="23">
        <f t="shared" si="125"/>
        <v>28471.499999999996</v>
      </c>
      <c r="AJ426" s="23">
        <v>1000</v>
      </c>
      <c r="AK426" s="23">
        <f t="shared" si="120"/>
        <v>35950</v>
      </c>
      <c r="AL426" s="26">
        <v>1018</v>
      </c>
      <c r="AM426" s="26">
        <f t="shared" si="121"/>
        <v>37330.060000000005</v>
      </c>
      <c r="AN426" s="12">
        <f t="shared" si="122"/>
        <v>11910</v>
      </c>
      <c r="AO426" s="22">
        <f t="shared" si="123"/>
        <v>417501.8</v>
      </c>
    </row>
    <row r="427" spans="1:41" x14ac:dyDescent="0.5">
      <c r="A427" s="19">
        <v>423</v>
      </c>
      <c r="B427" s="20" t="s">
        <v>765</v>
      </c>
      <c r="C427" s="21" t="s">
        <v>766</v>
      </c>
      <c r="D427" s="16">
        <v>999</v>
      </c>
      <c r="E427" s="16">
        <v>9</v>
      </c>
      <c r="F427" s="22">
        <v>1175</v>
      </c>
      <c r="G427" s="22">
        <f t="shared" si="126"/>
        <v>36566</v>
      </c>
      <c r="H427" s="22">
        <v>764</v>
      </c>
      <c r="I427" s="23">
        <f t="shared" si="127"/>
        <v>24761.239999999998</v>
      </c>
      <c r="J427" s="22">
        <v>278</v>
      </c>
      <c r="K427" s="22">
        <f t="shared" si="128"/>
        <v>9176.7799999999988</v>
      </c>
      <c r="L427" s="22">
        <v>138</v>
      </c>
      <c r="M427" s="24">
        <f t="shared" si="131"/>
        <v>4846.5599999999995</v>
      </c>
      <c r="N427" s="23">
        <v>1067</v>
      </c>
      <c r="O427" s="23">
        <f t="shared" si="132"/>
        <v>40812.75</v>
      </c>
      <c r="P427" s="22">
        <v>917</v>
      </c>
      <c r="Q427" s="22">
        <f t="shared" si="129"/>
        <v>38514</v>
      </c>
      <c r="R427" s="25">
        <v>1021</v>
      </c>
      <c r="S427" s="25">
        <f t="shared" si="130"/>
        <v>39512.700000000004</v>
      </c>
      <c r="T427" s="25">
        <v>1245</v>
      </c>
      <c r="U427" s="25">
        <f t="shared" si="114"/>
        <v>41956.5</v>
      </c>
      <c r="V427" s="23">
        <v>1289</v>
      </c>
      <c r="W427" s="23">
        <f t="shared" si="115"/>
        <v>42279.199999999997</v>
      </c>
      <c r="X427" s="23">
        <v>1368</v>
      </c>
      <c r="Y427" s="23">
        <f t="shared" si="116"/>
        <v>48085.2</v>
      </c>
      <c r="Z427" s="23">
        <v>1129</v>
      </c>
      <c r="AA427" s="23">
        <f t="shared" si="117"/>
        <v>39131.14</v>
      </c>
      <c r="AB427" s="23">
        <v>1107</v>
      </c>
      <c r="AC427" s="23">
        <f t="shared" si="118"/>
        <v>39907.35</v>
      </c>
      <c r="AD427" s="23">
        <v>1166</v>
      </c>
      <c r="AE427" s="23">
        <f t="shared" si="119"/>
        <v>40856.639999999999</v>
      </c>
      <c r="AF427" s="26">
        <v>1392</v>
      </c>
      <c r="AG427" s="26">
        <f t="shared" si="124"/>
        <v>47578.559999999998</v>
      </c>
      <c r="AH427" s="23">
        <v>1171</v>
      </c>
      <c r="AI427" s="23">
        <f t="shared" si="125"/>
        <v>38994.299999999996</v>
      </c>
      <c r="AJ427" s="23">
        <v>1567</v>
      </c>
      <c r="AK427" s="23">
        <f t="shared" si="120"/>
        <v>56333.65</v>
      </c>
      <c r="AL427" s="26">
        <v>1796</v>
      </c>
      <c r="AM427" s="26">
        <f t="shared" si="121"/>
        <v>65859.320000000007</v>
      </c>
      <c r="AN427" s="12">
        <f t="shared" si="122"/>
        <v>18590</v>
      </c>
      <c r="AO427" s="22">
        <f t="shared" si="123"/>
        <v>655171.89000000013</v>
      </c>
    </row>
    <row r="428" spans="1:41" x14ac:dyDescent="0.5">
      <c r="A428" s="19">
        <v>424</v>
      </c>
      <c r="B428" s="20" t="s">
        <v>767</v>
      </c>
      <c r="C428" s="21" t="s">
        <v>768</v>
      </c>
      <c r="D428" s="16">
        <v>1000</v>
      </c>
      <c r="E428" s="16">
        <v>9</v>
      </c>
      <c r="F428" s="22">
        <v>1325</v>
      </c>
      <c r="G428" s="22">
        <f t="shared" si="126"/>
        <v>41234</v>
      </c>
      <c r="H428" s="22">
        <v>879</v>
      </c>
      <c r="I428" s="23">
        <f t="shared" si="127"/>
        <v>28488.389999999996</v>
      </c>
      <c r="J428" s="22">
        <v>834</v>
      </c>
      <c r="K428" s="22">
        <f t="shared" si="128"/>
        <v>27530.34</v>
      </c>
      <c r="L428" s="22">
        <v>801</v>
      </c>
      <c r="M428" s="24">
        <f t="shared" si="131"/>
        <v>28131.119999999999</v>
      </c>
      <c r="N428" s="23">
        <v>949</v>
      </c>
      <c r="O428" s="23">
        <f t="shared" si="132"/>
        <v>36299.25</v>
      </c>
      <c r="P428" s="22">
        <v>976</v>
      </c>
      <c r="Q428" s="22">
        <f t="shared" si="129"/>
        <v>40992</v>
      </c>
      <c r="R428" s="25">
        <v>1083</v>
      </c>
      <c r="S428" s="25">
        <f t="shared" si="130"/>
        <v>41912.100000000006</v>
      </c>
      <c r="T428" s="25">
        <v>1369</v>
      </c>
      <c r="U428" s="25">
        <f t="shared" si="114"/>
        <v>46135.3</v>
      </c>
      <c r="V428" s="23">
        <v>1234</v>
      </c>
      <c r="W428" s="23">
        <f t="shared" si="115"/>
        <v>40475.199999999997</v>
      </c>
      <c r="X428" s="23">
        <v>1602</v>
      </c>
      <c r="Y428" s="23">
        <f t="shared" si="116"/>
        <v>56310.299999999996</v>
      </c>
      <c r="Z428" s="23">
        <v>1171</v>
      </c>
      <c r="AA428" s="23">
        <f t="shared" si="117"/>
        <v>40586.859999999993</v>
      </c>
      <c r="AB428" s="23">
        <v>1022</v>
      </c>
      <c r="AC428" s="23">
        <f t="shared" si="118"/>
        <v>36843.1</v>
      </c>
      <c r="AD428" s="23">
        <v>1340</v>
      </c>
      <c r="AE428" s="23">
        <f t="shared" si="119"/>
        <v>46953.599999999999</v>
      </c>
      <c r="AF428" s="26">
        <v>1214</v>
      </c>
      <c r="AG428" s="26">
        <f t="shared" si="124"/>
        <v>41494.519999999997</v>
      </c>
      <c r="AH428" s="23">
        <v>1325</v>
      </c>
      <c r="AI428" s="23">
        <f t="shared" si="125"/>
        <v>44122.499999999993</v>
      </c>
      <c r="AJ428" s="23">
        <v>1591</v>
      </c>
      <c r="AK428" s="23">
        <f t="shared" si="120"/>
        <v>57196.450000000004</v>
      </c>
      <c r="AL428" s="26">
        <v>1757</v>
      </c>
      <c r="AM428" s="26">
        <f t="shared" si="121"/>
        <v>64429.19</v>
      </c>
      <c r="AN428" s="12">
        <f t="shared" si="122"/>
        <v>20472</v>
      </c>
      <c r="AO428" s="22">
        <f t="shared" si="123"/>
        <v>719134.22</v>
      </c>
    </row>
    <row r="429" spans="1:41" x14ac:dyDescent="0.5">
      <c r="A429" s="19">
        <v>425</v>
      </c>
      <c r="B429" s="20" t="s">
        <v>248</v>
      </c>
      <c r="C429" s="21" t="s">
        <v>769</v>
      </c>
      <c r="D429" s="16">
        <v>1102</v>
      </c>
      <c r="E429" s="16">
        <v>9</v>
      </c>
      <c r="F429" s="22"/>
      <c r="G429" s="22">
        <f t="shared" si="126"/>
        <v>0</v>
      </c>
      <c r="H429" s="22"/>
      <c r="I429" s="23">
        <f t="shared" si="127"/>
        <v>0</v>
      </c>
      <c r="J429" s="22"/>
      <c r="K429" s="22">
        <f t="shared" si="128"/>
        <v>0</v>
      </c>
      <c r="L429" s="22"/>
      <c r="M429" s="24">
        <f t="shared" si="131"/>
        <v>0</v>
      </c>
      <c r="N429" s="23"/>
      <c r="O429" s="23">
        <f t="shared" si="132"/>
        <v>0</v>
      </c>
      <c r="P429" s="22"/>
      <c r="Q429" s="22">
        <f t="shared" si="129"/>
        <v>0</v>
      </c>
      <c r="R429" s="25"/>
      <c r="S429" s="25">
        <f t="shared" si="130"/>
        <v>0</v>
      </c>
      <c r="T429" s="25"/>
      <c r="U429" s="25">
        <f t="shared" si="114"/>
        <v>0</v>
      </c>
      <c r="V429" s="23"/>
      <c r="W429" s="23">
        <f t="shared" si="115"/>
        <v>0</v>
      </c>
      <c r="X429" s="23"/>
      <c r="Y429" s="23">
        <f t="shared" si="116"/>
        <v>0</v>
      </c>
      <c r="Z429" s="23"/>
      <c r="AA429" s="23">
        <f t="shared" si="117"/>
        <v>0</v>
      </c>
      <c r="AB429" s="23"/>
      <c r="AC429" s="23">
        <f t="shared" si="118"/>
        <v>0</v>
      </c>
      <c r="AD429" s="23"/>
      <c r="AE429" s="23">
        <f t="shared" si="119"/>
        <v>0</v>
      </c>
      <c r="AF429" s="26"/>
      <c r="AG429" s="26">
        <f t="shared" si="124"/>
        <v>0</v>
      </c>
      <c r="AH429" s="23"/>
      <c r="AI429" s="23">
        <f t="shared" si="125"/>
        <v>0</v>
      </c>
      <c r="AJ429" s="23"/>
      <c r="AK429" s="23">
        <f t="shared" si="120"/>
        <v>0</v>
      </c>
      <c r="AL429" s="26"/>
      <c r="AM429" s="26">
        <f t="shared" si="121"/>
        <v>0</v>
      </c>
      <c r="AN429" s="12">
        <f t="shared" si="122"/>
        <v>0</v>
      </c>
      <c r="AO429" s="22">
        <f t="shared" si="123"/>
        <v>0</v>
      </c>
    </row>
    <row r="430" spans="1:41" s="31" customFormat="1" x14ac:dyDescent="0.5">
      <c r="A430" s="19">
        <v>426</v>
      </c>
      <c r="B430" s="20" t="s">
        <v>770</v>
      </c>
      <c r="C430" s="21" t="s">
        <v>771</v>
      </c>
      <c r="D430" s="16">
        <v>1003</v>
      </c>
      <c r="E430" s="16">
        <v>9</v>
      </c>
      <c r="F430" s="22">
        <v>184</v>
      </c>
      <c r="G430" s="22">
        <f t="shared" si="126"/>
        <v>5726.08</v>
      </c>
      <c r="H430" s="22"/>
      <c r="I430" s="23">
        <f t="shared" si="127"/>
        <v>0</v>
      </c>
      <c r="J430" s="22"/>
      <c r="K430" s="22">
        <f t="shared" si="128"/>
        <v>0</v>
      </c>
      <c r="L430" s="22"/>
      <c r="M430" s="24">
        <f t="shared" si="131"/>
        <v>0</v>
      </c>
      <c r="N430" s="23"/>
      <c r="O430" s="23">
        <f t="shared" si="132"/>
        <v>0</v>
      </c>
      <c r="P430" s="22">
        <v>263</v>
      </c>
      <c r="Q430" s="22">
        <f t="shared" si="129"/>
        <v>11046</v>
      </c>
      <c r="R430" s="25">
        <v>239</v>
      </c>
      <c r="S430" s="25">
        <f t="shared" si="130"/>
        <v>9249.3000000000011</v>
      </c>
      <c r="T430" s="25">
        <v>273</v>
      </c>
      <c r="U430" s="25">
        <f t="shared" si="114"/>
        <v>9200.1</v>
      </c>
      <c r="V430" s="23">
        <v>267</v>
      </c>
      <c r="W430" s="23">
        <f t="shared" si="115"/>
        <v>8757.5999999999985</v>
      </c>
      <c r="X430" s="23">
        <v>387</v>
      </c>
      <c r="Y430" s="23">
        <f t="shared" si="116"/>
        <v>13603.05</v>
      </c>
      <c r="Z430" s="23">
        <v>286</v>
      </c>
      <c r="AA430" s="23">
        <f t="shared" si="117"/>
        <v>9912.7599999999984</v>
      </c>
      <c r="AB430" s="23">
        <v>329</v>
      </c>
      <c r="AC430" s="23">
        <f t="shared" si="118"/>
        <v>11860.449999999999</v>
      </c>
      <c r="AD430" s="23">
        <v>342</v>
      </c>
      <c r="AE430" s="23">
        <f t="shared" si="119"/>
        <v>11983.68</v>
      </c>
      <c r="AF430" s="26">
        <v>475</v>
      </c>
      <c r="AG430" s="26">
        <f t="shared" si="124"/>
        <v>16235.5</v>
      </c>
      <c r="AH430" s="23">
        <v>450</v>
      </c>
      <c r="AI430" s="23">
        <f t="shared" si="125"/>
        <v>14984.999999999998</v>
      </c>
      <c r="AJ430" s="23">
        <v>441</v>
      </c>
      <c r="AK430" s="23">
        <f t="shared" si="120"/>
        <v>15853.95</v>
      </c>
      <c r="AL430" s="26">
        <v>391</v>
      </c>
      <c r="AM430" s="26">
        <f t="shared" si="121"/>
        <v>14337.970000000001</v>
      </c>
      <c r="AN430" s="12">
        <f t="shared" si="122"/>
        <v>4327</v>
      </c>
      <c r="AO430" s="22">
        <f t="shared" si="123"/>
        <v>152751.44</v>
      </c>
    </row>
    <row r="431" spans="1:41" s="31" customFormat="1" x14ac:dyDescent="0.5">
      <c r="A431" s="19">
        <v>427</v>
      </c>
      <c r="B431" s="20" t="s">
        <v>772</v>
      </c>
      <c r="C431" s="21" t="s">
        <v>773</v>
      </c>
      <c r="D431" s="16">
        <v>1007</v>
      </c>
      <c r="E431" s="16">
        <v>9</v>
      </c>
      <c r="F431" s="22">
        <v>281</v>
      </c>
      <c r="G431" s="22">
        <f t="shared" si="126"/>
        <v>8744.7200000000012</v>
      </c>
      <c r="H431" s="22"/>
      <c r="I431" s="23">
        <f t="shared" si="127"/>
        <v>0</v>
      </c>
      <c r="J431" s="22"/>
      <c r="K431" s="22">
        <f t="shared" si="128"/>
        <v>0</v>
      </c>
      <c r="L431" s="22"/>
      <c r="M431" s="24">
        <f t="shared" si="131"/>
        <v>0</v>
      </c>
      <c r="N431" s="23"/>
      <c r="O431" s="23">
        <f t="shared" si="132"/>
        <v>0</v>
      </c>
      <c r="P431" s="22">
        <v>428</v>
      </c>
      <c r="Q431" s="22">
        <f t="shared" si="129"/>
        <v>17976</v>
      </c>
      <c r="R431" s="25"/>
      <c r="S431" s="25">
        <f t="shared" si="130"/>
        <v>0</v>
      </c>
      <c r="T431" s="25"/>
      <c r="U431" s="25">
        <f t="shared" si="114"/>
        <v>0</v>
      </c>
      <c r="V431" s="23"/>
      <c r="W431" s="23">
        <f t="shared" si="115"/>
        <v>0</v>
      </c>
      <c r="X431" s="23"/>
      <c r="Y431" s="23">
        <f t="shared" si="116"/>
        <v>0</v>
      </c>
      <c r="Z431" s="23"/>
      <c r="AA431" s="23">
        <f t="shared" si="117"/>
        <v>0</v>
      </c>
      <c r="AB431" s="23"/>
      <c r="AC431" s="23">
        <f t="shared" si="118"/>
        <v>0</v>
      </c>
      <c r="AD431" s="23"/>
      <c r="AE431" s="23">
        <f t="shared" si="119"/>
        <v>0</v>
      </c>
      <c r="AF431" s="26"/>
      <c r="AG431" s="26">
        <f t="shared" si="124"/>
        <v>0</v>
      </c>
      <c r="AH431" s="23"/>
      <c r="AI431" s="23">
        <f t="shared" si="125"/>
        <v>0</v>
      </c>
      <c r="AJ431" s="23"/>
      <c r="AK431" s="23">
        <f t="shared" si="120"/>
        <v>0</v>
      </c>
      <c r="AL431" s="26"/>
      <c r="AM431" s="26">
        <f t="shared" si="121"/>
        <v>0</v>
      </c>
      <c r="AN431" s="12">
        <f t="shared" si="122"/>
        <v>709</v>
      </c>
      <c r="AO431" s="22">
        <f t="shared" si="123"/>
        <v>26720.720000000001</v>
      </c>
    </row>
    <row r="432" spans="1:41" s="31" customFormat="1" x14ac:dyDescent="0.5">
      <c r="A432" s="19">
        <v>428</v>
      </c>
      <c r="B432" s="20" t="s">
        <v>774</v>
      </c>
      <c r="C432" s="21" t="s">
        <v>775</v>
      </c>
      <c r="D432" s="16">
        <v>1023</v>
      </c>
      <c r="E432" s="16">
        <v>9</v>
      </c>
      <c r="F432" s="22"/>
      <c r="G432" s="22">
        <f t="shared" si="126"/>
        <v>0</v>
      </c>
      <c r="H432" s="22"/>
      <c r="I432" s="23">
        <f t="shared" si="127"/>
        <v>0</v>
      </c>
      <c r="J432" s="22"/>
      <c r="K432" s="22">
        <f t="shared" si="128"/>
        <v>0</v>
      </c>
      <c r="L432" s="22"/>
      <c r="M432" s="24">
        <f t="shared" si="131"/>
        <v>0</v>
      </c>
      <c r="N432" s="23"/>
      <c r="O432" s="23">
        <f t="shared" si="132"/>
        <v>0</v>
      </c>
      <c r="P432" s="22"/>
      <c r="Q432" s="22">
        <f t="shared" si="129"/>
        <v>0</v>
      </c>
      <c r="R432" s="25"/>
      <c r="S432" s="25">
        <f t="shared" si="130"/>
        <v>0</v>
      </c>
      <c r="T432" s="25"/>
      <c r="U432" s="25">
        <f t="shared" si="114"/>
        <v>0</v>
      </c>
      <c r="V432" s="23"/>
      <c r="W432" s="23">
        <f t="shared" si="115"/>
        <v>0</v>
      </c>
      <c r="X432" s="23"/>
      <c r="Y432" s="23">
        <f t="shared" si="116"/>
        <v>0</v>
      </c>
      <c r="Z432" s="23"/>
      <c r="AA432" s="23">
        <f t="shared" si="117"/>
        <v>0</v>
      </c>
      <c r="AB432" s="23"/>
      <c r="AC432" s="23">
        <f t="shared" si="118"/>
        <v>0</v>
      </c>
      <c r="AD432" s="23"/>
      <c r="AE432" s="23">
        <f t="shared" si="119"/>
        <v>0</v>
      </c>
      <c r="AF432" s="26"/>
      <c r="AG432" s="26">
        <f t="shared" si="124"/>
        <v>0</v>
      </c>
      <c r="AH432" s="23"/>
      <c r="AI432" s="23">
        <f t="shared" si="125"/>
        <v>0</v>
      </c>
      <c r="AJ432" s="23"/>
      <c r="AK432" s="23">
        <f t="shared" si="120"/>
        <v>0</v>
      </c>
      <c r="AL432" s="26"/>
      <c r="AM432" s="26">
        <f t="shared" si="121"/>
        <v>0</v>
      </c>
      <c r="AN432" s="12">
        <f t="shared" si="122"/>
        <v>0</v>
      </c>
      <c r="AO432" s="22">
        <f t="shared" si="123"/>
        <v>0</v>
      </c>
    </row>
    <row r="433" spans="1:41" s="31" customFormat="1" x14ac:dyDescent="0.5">
      <c r="A433" s="19">
        <v>429</v>
      </c>
      <c r="B433" s="20" t="s">
        <v>776</v>
      </c>
      <c r="C433" s="21" t="s">
        <v>777</v>
      </c>
      <c r="D433" s="16">
        <v>1024</v>
      </c>
      <c r="E433" s="16">
        <v>9</v>
      </c>
      <c r="F433" s="22">
        <v>1083</v>
      </c>
      <c r="G433" s="22">
        <f t="shared" si="126"/>
        <v>33702.959999999999</v>
      </c>
      <c r="H433" s="22">
        <v>177</v>
      </c>
      <c r="I433" s="23">
        <f t="shared" si="127"/>
        <v>5736.57</v>
      </c>
      <c r="J433" s="22"/>
      <c r="K433" s="22">
        <f t="shared" si="128"/>
        <v>0</v>
      </c>
      <c r="L433" s="22">
        <v>157</v>
      </c>
      <c r="M433" s="24">
        <f t="shared" si="131"/>
        <v>5513.8399999999992</v>
      </c>
      <c r="N433" s="23"/>
      <c r="O433" s="23">
        <f t="shared" si="132"/>
        <v>0</v>
      </c>
      <c r="P433" s="22">
        <v>474</v>
      </c>
      <c r="Q433" s="22">
        <f t="shared" si="129"/>
        <v>19908</v>
      </c>
      <c r="R433" s="25">
        <v>826</v>
      </c>
      <c r="S433" s="25">
        <f t="shared" si="130"/>
        <v>31966.2</v>
      </c>
      <c r="T433" s="25">
        <v>814</v>
      </c>
      <c r="U433" s="25">
        <f t="shared" si="114"/>
        <v>27431.800000000003</v>
      </c>
      <c r="V433" s="23">
        <v>716</v>
      </c>
      <c r="W433" s="23">
        <f t="shared" si="115"/>
        <v>23484.799999999999</v>
      </c>
      <c r="X433" s="23">
        <v>1003</v>
      </c>
      <c r="Y433" s="23">
        <f t="shared" si="116"/>
        <v>35255.449999999997</v>
      </c>
      <c r="Z433" s="23">
        <v>972</v>
      </c>
      <c r="AA433" s="23">
        <f t="shared" si="117"/>
        <v>33689.519999999997</v>
      </c>
      <c r="AB433" s="23">
        <v>818</v>
      </c>
      <c r="AC433" s="23">
        <f t="shared" si="118"/>
        <v>29488.899999999998</v>
      </c>
      <c r="AD433" s="23">
        <v>977</v>
      </c>
      <c r="AE433" s="23">
        <f t="shared" si="119"/>
        <v>34234.080000000002</v>
      </c>
      <c r="AF433" s="26">
        <v>1026</v>
      </c>
      <c r="AG433" s="26">
        <f t="shared" si="124"/>
        <v>35068.68</v>
      </c>
      <c r="AH433" s="23">
        <v>1268</v>
      </c>
      <c r="AI433" s="23">
        <f t="shared" si="125"/>
        <v>42224.399999999994</v>
      </c>
      <c r="AJ433" s="23">
        <v>1302</v>
      </c>
      <c r="AK433" s="23">
        <f t="shared" si="120"/>
        <v>46806.9</v>
      </c>
      <c r="AL433" s="26">
        <v>1094</v>
      </c>
      <c r="AM433" s="26">
        <f t="shared" si="121"/>
        <v>40116.980000000003</v>
      </c>
      <c r="AN433" s="12">
        <f t="shared" si="122"/>
        <v>12707</v>
      </c>
      <c r="AO433" s="22">
        <f t="shared" si="123"/>
        <v>444629.07999999996</v>
      </c>
    </row>
    <row r="434" spans="1:41" s="31" customFormat="1" x14ac:dyDescent="0.5">
      <c r="A434" s="19">
        <v>430</v>
      </c>
      <c r="B434" s="20" t="s">
        <v>778</v>
      </c>
      <c r="C434" s="21" t="s">
        <v>779</v>
      </c>
      <c r="D434" s="16">
        <v>1028</v>
      </c>
      <c r="E434" s="16">
        <v>9</v>
      </c>
      <c r="F434" s="22">
        <v>1299</v>
      </c>
      <c r="G434" s="22">
        <f t="shared" si="126"/>
        <v>40424.880000000005</v>
      </c>
      <c r="H434" s="22">
        <v>502</v>
      </c>
      <c r="I434" s="23">
        <f t="shared" si="127"/>
        <v>16269.819999999998</v>
      </c>
      <c r="J434" s="22">
        <v>867</v>
      </c>
      <c r="K434" s="22">
        <f t="shared" si="128"/>
        <v>28619.67</v>
      </c>
      <c r="L434" s="22">
        <v>345</v>
      </c>
      <c r="M434" s="24">
        <f t="shared" si="131"/>
        <v>12116.4</v>
      </c>
      <c r="N434" s="23">
        <v>1085</v>
      </c>
      <c r="O434" s="23">
        <f t="shared" si="132"/>
        <v>41501.25</v>
      </c>
      <c r="P434" s="22">
        <v>589</v>
      </c>
      <c r="Q434" s="22">
        <f t="shared" si="129"/>
        <v>24738</v>
      </c>
      <c r="R434" s="25">
        <v>1005</v>
      </c>
      <c r="S434" s="25">
        <f t="shared" si="130"/>
        <v>38893.5</v>
      </c>
      <c r="T434" s="25">
        <v>1176</v>
      </c>
      <c r="U434" s="25">
        <f t="shared" si="114"/>
        <v>39631.200000000004</v>
      </c>
      <c r="V434" s="23">
        <v>1157</v>
      </c>
      <c r="W434" s="23">
        <f t="shared" si="115"/>
        <v>37949.599999999999</v>
      </c>
      <c r="X434" s="23">
        <v>1484</v>
      </c>
      <c r="Y434" s="23">
        <f t="shared" si="116"/>
        <v>52162.6</v>
      </c>
      <c r="Z434" s="23">
        <v>1416</v>
      </c>
      <c r="AA434" s="23">
        <f t="shared" si="117"/>
        <v>49078.559999999998</v>
      </c>
      <c r="AB434" s="23">
        <v>768</v>
      </c>
      <c r="AC434" s="23">
        <f t="shared" si="118"/>
        <v>27686.399999999998</v>
      </c>
      <c r="AD434" s="23">
        <v>1198</v>
      </c>
      <c r="AE434" s="23">
        <f t="shared" si="119"/>
        <v>41977.919999999998</v>
      </c>
      <c r="AF434" s="26">
        <v>1425</v>
      </c>
      <c r="AG434" s="26">
        <f t="shared" si="124"/>
        <v>48706.5</v>
      </c>
      <c r="AH434" s="23">
        <v>1696</v>
      </c>
      <c r="AI434" s="23">
        <f t="shared" si="125"/>
        <v>56476.799999999996</v>
      </c>
      <c r="AJ434" s="23">
        <v>1609</v>
      </c>
      <c r="AK434" s="23">
        <f t="shared" si="120"/>
        <v>57843.55</v>
      </c>
      <c r="AL434" s="26">
        <v>1762</v>
      </c>
      <c r="AM434" s="26">
        <f t="shared" si="121"/>
        <v>64612.54</v>
      </c>
      <c r="AN434" s="12">
        <f t="shared" si="122"/>
        <v>19383</v>
      </c>
      <c r="AO434" s="22">
        <f t="shared" si="123"/>
        <v>678689.19000000006</v>
      </c>
    </row>
    <row r="435" spans="1:41" s="31" customFormat="1" x14ac:dyDescent="0.5">
      <c r="A435" s="19">
        <v>431</v>
      </c>
      <c r="B435" s="20" t="s">
        <v>780</v>
      </c>
      <c r="C435" s="21" t="s">
        <v>695</v>
      </c>
      <c r="D435" s="16">
        <v>1029</v>
      </c>
      <c r="E435" s="16">
        <v>9</v>
      </c>
      <c r="F435" s="22">
        <v>1547</v>
      </c>
      <c r="G435" s="22">
        <f t="shared" si="126"/>
        <v>48142.64</v>
      </c>
      <c r="H435" s="22">
        <v>1006</v>
      </c>
      <c r="I435" s="23">
        <f t="shared" si="127"/>
        <v>32604.459999999995</v>
      </c>
      <c r="J435" s="22">
        <v>902</v>
      </c>
      <c r="K435" s="22">
        <f t="shared" si="128"/>
        <v>29775.019999999997</v>
      </c>
      <c r="L435" s="22">
        <v>311</v>
      </c>
      <c r="M435" s="24">
        <f t="shared" si="131"/>
        <v>10922.32</v>
      </c>
      <c r="N435" s="23">
        <v>675</v>
      </c>
      <c r="O435" s="23">
        <f t="shared" si="132"/>
        <v>25818.75</v>
      </c>
      <c r="P435" s="22">
        <v>1057</v>
      </c>
      <c r="Q435" s="22">
        <f t="shared" si="129"/>
        <v>44394</v>
      </c>
      <c r="R435" s="25">
        <v>991</v>
      </c>
      <c r="S435" s="25">
        <f t="shared" si="130"/>
        <v>38351.700000000004</v>
      </c>
      <c r="T435" s="25">
        <v>1103</v>
      </c>
      <c r="U435" s="25">
        <f t="shared" si="114"/>
        <v>37171.100000000006</v>
      </c>
      <c r="V435" s="23">
        <v>1282</v>
      </c>
      <c r="W435" s="23">
        <f t="shared" si="115"/>
        <v>42049.599999999999</v>
      </c>
      <c r="X435" s="23">
        <v>1546</v>
      </c>
      <c r="Y435" s="23">
        <f t="shared" si="116"/>
        <v>54341.899999999994</v>
      </c>
      <c r="Z435" s="23">
        <v>1346</v>
      </c>
      <c r="AA435" s="23">
        <f t="shared" si="117"/>
        <v>46652.359999999993</v>
      </c>
      <c r="AB435" s="23">
        <v>1134</v>
      </c>
      <c r="AC435" s="23">
        <f t="shared" si="118"/>
        <v>40880.699999999997</v>
      </c>
      <c r="AD435" s="23">
        <v>1271</v>
      </c>
      <c r="AE435" s="23">
        <f t="shared" si="119"/>
        <v>44535.839999999997</v>
      </c>
      <c r="AF435" s="26">
        <v>2003</v>
      </c>
      <c r="AG435" s="26">
        <f t="shared" si="124"/>
        <v>68462.539999999994</v>
      </c>
      <c r="AH435" s="23">
        <v>1743</v>
      </c>
      <c r="AI435" s="23">
        <f t="shared" si="125"/>
        <v>58041.899999999994</v>
      </c>
      <c r="AJ435" s="23">
        <v>2114</v>
      </c>
      <c r="AK435" s="23">
        <f t="shared" si="120"/>
        <v>75998.3</v>
      </c>
      <c r="AL435" s="26">
        <v>2058</v>
      </c>
      <c r="AM435" s="26">
        <f t="shared" si="121"/>
        <v>75466.86</v>
      </c>
      <c r="AN435" s="12">
        <f t="shared" si="122"/>
        <v>22089</v>
      </c>
      <c r="AO435" s="22">
        <f t="shared" si="123"/>
        <v>773609.99000000011</v>
      </c>
    </row>
    <row r="436" spans="1:41" s="31" customFormat="1" x14ac:dyDescent="0.5">
      <c r="A436" s="19">
        <v>432</v>
      </c>
      <c r="B436" s="20" t="s">
        <v>726</v>
      </c>
      <c r="C436" s="21" t="s">
        <v>537</v>
      </c>
      <c r="D436" s="16">
        <v>1053</v>
      </c>
      <c r="E436" s="16">
        <v>9</v>
      </c>
      <c r="F436" s="22"/>
      <c r="G436" s="22">
        <f t="shared" si="126"/>
        <v>0</v>
      </c>
      <c r="H436" s="22"/>
      <c r="I436" s="23">
        <f t="shared" si="127"/>
        <v>0</v>
      </c>
      <c r="J436" s="22"/>
      <c r="K436" s="22">
        <f t="shared" si="128"/>
        <v>0</v>
      </c>
      <c r="L436" s="22"/>
      <c r="M436" s="24">
        <f t="shared" si="131"/>
        <v>0</v>
      </c>
      <c r="N436" s="23"/>
      <c r="O436" s="23">
        <f t="shared" si="132"/>
        <v>0</v>
      </c>
      <c r="P436" s="22"/>
      <c r="Q436" s="22">
        <f t="shared" si="129"/>
        <v>0</v>
      </c>
      <c r="R436" s="25"/>
      <c r="S436" s="25">
        <f t="shared" si="130"/>
        <v>0</v>
      </c>
      <c r="T436" s="25"/>
      <c r="U436" s="25">
        <f t="shared" si="114"/>
        <v>0</v>
      </c>
      <c r="V436" s="23"/>
      <c r="W436" s="23">
        <f t="shared" si="115"/>
        <v>0</v>
      </c>
      <c r="X436" s="23"/>
      <c r="Y436" s="23">
        <f t="shared" si="116"/>
        <v>0</v>
      </c>
      <c r="Z436" s="23"/>
      <c r="AA436" s="23">
        <f t="shared" si="117"/>
        <v>0</v>
      </c>
      <c r="AB436" s="23"/>
      <c r="AC436" s="23">
        <f t="shared" si="118"/>
        <v>0</v>
      </c>
      <c r="AD436" s="23"/>
      <c r="AE436" s="23">
        <f t="shared" si="119"/>
        <v>0</v>
      </c>
      <c r="AF436" s="26"/>
      <c r="AG436" s="26">
        <f t="shared" si="124"/>
        <v>0</v>
      </c>
      <c r="AH436" s="23"/>
      <c r="AI436" s="23">
        <f t="shared" si="125"/>
        <v>0</v>
      </c>
      <c r="AJ436" s="23"/>
      <c r="AK436" s="23">
        <f t="shared" si="120"/>
        <v>0</v>
      </c>
      <c r="AL436" s="26"/>
      <c r="AM436" s="26">
        <f t="shared" si="121"/>
        <v>0</v>
      </c>
      <c r="AN436" s="12">
        <f t="shared" si="122"/>
        <v>0</v>
      </c>
      <c r="AO436" s="22">
        <f t="shared" si="123"/>
        <v>0</v>
      </c>
    </row>
    <row r="437" spans="1:41" s="31" customFormat="1" x14ac:dyDescent="0.5">
      <c r="A437" s="19">
        <v>433</v>
      </c>
      <c r="B437" s="20" t="s">
        <v>781</v>
      </c>
      <c r="C437" s="21" t="s">
        <v>782</v>
      </c>
      <c r="D437" s="16">
        <v>1054</v>
      </c>
      <c r="E437" s="16">
        <v>9</v>
      </c>
      <c r="F437" s="22">
        <v>1336</v>
      </c>
      <c r="G437" s="22">
        <f t="shared" si="126"/>
        <v>41576.32</v>
      </c>
      <c r="H437" s="22">
        <v>573</v>
      </c>
      <c r="I437" s="23">
        <f t="shared" si="127"/>
        <v>18570.929999999997</v>
      </c>
      <c r="J437" s="22">
        <v>518</v>
      </c>
      <c r="K437" s="22">
        <f t="shared" si="128"/>
        <v>17099.18</v>
      </c>
      <c r="L437" s="22"/>
      <c r="M437" s="24">
        <f t="shared" si="131"/>
        <v>0</v>
      </c>
      <c r="N437" s="23"/>
      <c r="O437" s="23">
        <f t="shared" si="132"/>
        <v>0</v>
      </c>
      <c r="P437" s="22">
        <v>1031</v>
      </c>
      <c r="Q437" s="22">
        <f t="shared" si="129"/>
        <v>43302</v>
      </c>
      <c r="R437" s="25">
        <v>585</v>
      </c>
      <c r="S437" s="25">
        <f t="shared" si="130"/>
        <v>22639.5</v>
      </c>
      <c r="T437" s="25">
        <v>694</v>
      </c>
      <c r="U437" s="25">
        <f t="shared" si="114"/>
        <v>23387.800000000003</v>
      </c>
      <c r="V437" s="23"/>
      <c r="W437" s="23">
        <f t="shared" si="115"/>
        <v>0</v>
      </c>
      <c r="X437" s="23"/>
      <c r="Y437" s="23">
        <f t="shared" si="116"/>
        <v>0</v>
      </c>
      <c r="Z437" s="23">
        <v>729</v>
      </c>
      <c r="AA437" s="23">
        <f t="shared" si="117"/>
        <v>25267.139999999996</v>
      </c>
      <c r="AB437" s="23">
        <v>671</v>
      </c>
      <c r="AC437" s="23">
        <f t="shared" si="118"/>
        <v>24189.55</v>
      </c>
      <c r="AD437" s="23">
        <v>567</v>
      </c>
      <c r="AE437" s="23">
        <f t="shared" si="119"/>
        <v>19867.68</v>
      </c>
      <c r="AF437" s="26"/>
      <c r="AG437" s="26">
        <f t="shared" si="124"/>
        <v>0</v>
      </c>
      <c r="AH437" s="23">
        <v>846</v>
      </c>
      <c r="AI437" s="23">
        <f t="shared" si="125"/>
        <v>28171.8</v>
      </c>
      <c r="AJ437" s="23">
        <v>899</v>
      </c>
      <c r="AK437" s="23">
        <f t="shared" si="120"/>
        <v>32319.050000000003</v>
      </c>
      <c r="AL437" s="26">
        <v>1034</v>
      </c>
      <c r="AM437" s="26">
        <f t="shared" si="121"/>
        <v>37916.78</v>
      </c>
      <c r="AN437" s="12">
        <f t="shared" si="122"/>
        <v>9483</v>
      </c>
      <c r="AO437" s="22">
        <f t="shared" si="123"/>
        <v>334307.73</v>
      </c>
    </row>
    <row r="438" spans="1:41" s="31" customFormat="1" x14ac:dyDescent="0.5">
      <c r="A438" s="19">
        <v>434</v>
      </c>
      <c r="B438" s="20" t="s">
        <v>783</v>
      </c>
      <c r="C438" s="21" t="s">
        <v>784</v>
      </c>
      <c r="D438" s="16">
        <v>1060</v>
      </c>
      <c r="E438" s="16">
        <v>9</v>
      </c>
      <c r="F438" s="22">
        <v>1226</v>
      </c>
      <c r="G438" s="22">
        <f t="shared" si="126"/>
        <v>38153.120000000003</v>
      </c>
      <c r="H438" s="22">
        <v>441</v>
      </c>
      <c r="I438" s="23">
        <f t="shared" si="127"/>
        <v>14292.809999999998</v>
      </c>
      <c r="J438" s="22">
        <v>601</v>
      </c>
      <c r="K438" s="22">
        <f t="shared" si="128"/>
        <v>19839.009999999998</v>
      </c>
      <c r="L438" s="22"/>
      <c r="M438" s="24">
        <f t="shared" si="131"/>
        <v>0</v>
      </c>
      <c r="N438" s="23">
        <v>475</v>
      </c>
      <c r="O438" s="23">
        <f t="shared" si="132"/>
        <v>18168.75</v>
      </c>
      <c r="P438" s="22"/>
      <c r="Q438" s="22">
        <f t="shared" si="129"/>
        <v>0</v>
      </c>
      <c r="R438" s="25">
        <v>1214</v>
      </c>
      <c r="S438" s="25">
        <f t="shared" si="130"/>
        <v>46981.8</v>
      </c>
      <c r="T438" s="25">
        <v>531</v>
      </c>
      <c r="U438" s="25">
        <f t="shared" si="114"/>
        <v>17894.7</v>
      </c>
      <c r="V438" s="23">
        <v>1393</v>
      </c>
      <c r="W438" s="23">
        <f t="shared" si="115"/>
        <v>45690.399999999994</v>
      </c>
      <c r="X438" s="23">
        <v>830</v>
      </c>
      <c r="Y438" s="23">
        <f t="shared" si="116"/>
        <v>29174.5</v>
      </c>
      <c r="Z438" s="23"/>
      <c r="AA438" s="23">
        <f t="shared" si="117"/>
        <v>0</v>
      </c>
      <c r="AB438" s="23">
        <v>518</v>
      </c>
      <c r="AC438" s="23">
        <f t="shared" si="118"/>
        <v>18673.899999999998</v>
      </c>
      <c r="AD438" s="23">
        <v>1143</v>
      </c>
      <c r="AE438" s="23">
        <f t="shared" si="119"/>
        <v>40050.720000000001</v>
      </c>
      <c r="AF438" s="26">
        <v>1316</v>
      </c>
      <c r="AG438" s="26">
        <f t="shared" si="124"/>
        <v>44980.88</v>
      </c>
      <c r="AH438" s="23">
        <v>1088</v>
      </c>
      <c r="AI438" s="23">
        <f t="shared" si="125"/>
        <v>36230.399999999994</v>
      </c>
      <c r="AJ438" s="23">
        <v>1372</v>
      </c>
      <c r="AK438" s="23">
        <f t="shared" si="120"/>
        <v>49323.4</v>
      </c>
      <c r="AL438" s="26">
        <v>923</v>
      </c>
      <c r="AM438" s="26">
        <f t="shared" si="121"/>
        <v>33846.410000000003</v>
      </c>
      <c r="AN438" s="12">
        <f t="shared" si="122"/>
        <v>13071</v>
      </c>
      <c r="AO438" s="22">
        <f t="shared" si="123"/>
        <v>453300.80000000005</v>
      </c>
    </row>
    <row r="439" spans="1:41" s="31" customFormat="1" x14ac:dyDescent="0.5">
      <c r="A439" s="19">
        <v>435</v>
      </c>
      <c r="B439" s="20" t="s">
        <v>785</v>
      </c>
      <c r="C439" s="21" t="s">
        <v>234</v>
      </c>
      <c r="D439" s="16">
        <v>1063</v>
      </c>
      <c r="E439" s="16">
        <v>9</v>
      </c>
      <c r="F439" s="22">
        <v>985</v>
      </c>
      <c r="G439" s="22">
        <f t="shared" si="126"/>
        <v>30653.200000000001</v>
      </c>
      <c r="H439" s="22">
        <v>458</v>
      </c>
      <c r="I439" s="23">
        <f t="shared" si="127"/>
        <v>14843.779999999999</v>
      </c>
      <c r="J439" s="22">
        <v>592</v>
      </c>
      <c r="K439" s="22">
        <f t="shared" si="128"/>
        <v>19541.919999999998</v>
      </c>
      <c r="L439" s="22">
        <v>561</v>
      </c>
      <c r="M439" s="24">
        <f t="shared" si="131"/>
        <v>19702.32</v>
      </c>
      <c r="N439" s="23">
        <v>418</v>
      </c>
      <c r="O439" s="23">
        <f t="shared" si="132"/>
        <v>15988.5</v>
      </c>
      <c r="P439" s="22">
        <v>524</v>
      </c>
      <c r="Q439" s="22">
        <f t="shared" si="129"/>
        <v>22008</v>
      </c>
      <c r="R439" s="25">
        <v>357</v>
      </c>
      <c r="S439" s="25">
        <f t="shared" si="130"/>
        <v>13815.900000000001</v>
      </c>
      <c r="T439" s="25">
        <v>840</v>
      </c>
      <c r="U439" s="25">
        <f t="shared" si="114"/>
        <v>28308.000000000004</v>
      </c>
      <c r="V439" s="23">
        <v>592</v>
      </c>
      <c r="W439" s="23">
        <f t="shared" si="115"/>
        <v>19417.599999999999</v>
      </c>
      <c r="X439" s="23">
        <v>733</v>
      </c>
      <c r="Y439" s="23">
        <f t="shared" si="116"/>
        <v>25764.95</v>
      </c>
      <c r="Z439" s="23">
        <v>456</v>
      </c>
      <c r="AA439" s="23">
        <f t="shared" si="117"/>
        <v>15804.96</v>
      </c>
      <c r="AB439" s="23">
        <v>708</v>
      </c>
      <c r="AC439" s="23">
        <f t="shared" si="118"/>
        <v>25523.399999999998</v>
      </c>
      <c r="AD439" s="23">
        <v>727</v>
      </c>
      <c r="AE439" s="23">
        <f t="shared" si="119"/>
        <v>25474.079999999998</v>
      </c>
      <c r="AF439" s="26">
        <v>844</v>
      </c>
      <c r="AG439" s="26">
        <f t="shared" si="124"/>
        <v>28847.919999999998</v>
      </c>
      <c r="AH439" s="23">
        <v>825</v>
      </c>
      <c r="AI439" s="23">
        <f t="shared" si="125"/>
        <v>27472.499999999996</v>
      </c>
      <c r="AJ439" s="23">
        <v>957</v>
      </c>
      <c r="AK439" s="23">
        <f t="shared" si="120"/>
        <v>34404.15</v>
      </c>
      <c r="AL439" s="26">
        <v>1052</v>
      </c>
      <c r="AM439" s="26">
        <f t="shared" si="121"/>
        <v>38576.840000000004</v>
      </c>
      <c r="AN439" s="12">
        <f t="shared" si="122"/>
        <v>11629</v>
      </c>
      <c r="AO439" s="22">
        <f t="shared" si="123"/>
        <v>406148.02</v>
      </c>
    </row>
    <row r="440" spans="1:41" s="31" customFormat="1" x14ac:dyDescent="0.5">
      <c r="A440" s="19">
        <v>436</v>
      </c>
      <c r="B440" s="20" t="s">
        <v>786</v>
      </c>
      <c r="C440" s="21" t="s">
        <v>457</v>
      </c>
      <c r="D440" s="16">
        <v>1064</v>
      </c>
      <c r="E440" s="16">
        <v>9</v>
      </c>
      <c r="F440" s="22">
        <v>356</v>
      </c>
      <c r="G440" s="22">
        <f t="shared" si="126"/>
        <v>11078.720000000001</v>
      </c>
      <c r="H440" s="22">
        <v>345</v>
      </c>
      <c r="I440" s="23">
        <f t="shared" si="127"/>
        <v>11181.449999999999</v>
      </c>
      <c r="J440" s="22">
        <v>344</v>
      </c>
      <c r="K440" s="22">
        <f t="shared" si="128"/>
        <v>11355.439999999999</v>
      </c>
      <c r="L440" s="22">
        <v>425</v>
      </c>
      <c r="M440" s="24">
        <f t="shared" si="131"/>
        <v>14925.999999999998</v>
      </c>
      <c r="N440" s="23">
        <v>1045</v>
      </c>
      <c r="O440" s="23">
        <f t="shared" si="132"/>
        <v>39971.25</v>
      </c>
      <c r="P440" s="22">
        <v>1132</v>
      </c>
      <c r="Q440" s="22">
        <f t="shared" si="129"/>
        <v>47544</v>
      </c>
      <c r="R440" s="25">
        <v>463</v>
      </c>
      <c r="S440" s="25">
        <f t="shared" si="130"/>
        <v>17918.100000000002</v>
      </c>
      <c r="T440" s="25">
        <v>474</v>
      </c>
      <c r="U440" s="25">
        <f t="shared" si="114"/>
        <v>15973.800000000001</v>
      </c>
      <c r="V440" s="23">
        <v>572</v>
      </c>
      <c r="W440" s="23">
        <f t="shared" si="115"/>
        <v>18761.599999999999</v>
      </c>
      <c r="X440" s="23">
        <v>525</v>
      </c>
      <c r="Y440" s="23">
        <f t="shared" si="116"/>
        <v>18453.75</v>
      </c>
      <c r="Z440" s="23">
        <v>378</v>
      </c>
      <c r="AA440" s="23">
        <f t="shared" si="117"/>
        <v>13101.48</v>
      </c>
      <c r="AB440" s="23">
        <v>558</v>
      </c>
      <c r="AC440" s="23">
        <f t="shared" si="118"/>
        <v>20115.899999999998</v>
      </c>
      <c r="AD440" s="23">
        <v>557</v>
      </c>
      <c r="AE440" s="23">
        <f t="shared" si="119"/>
        <v>19517.28</v>
      </c>
      <c r="AF440" s="26">
        <v>301</v>
      </c>
      <c r="AG440" s="26">
        <f t="shared" si="124"/>
        <v>10288.18</v>
      </c>
      <c r="AH440" s="23">
        <v>629</v>
      </c>
      <c r="AI440" s="23">
        <f t="shared" si="125"/>
        <v>20945.699999999997</v>
      </c>
      <c r="AJ440" s="23">
        <v>208</v>
      </c>
      <c r="AK440" s="23">
        <f t="shared" si="120"/>
        <v>7477.6</v>
      </c>
      <c r="AL440" s="26">
        <v>586</v>
      </c>
      <c r="AM440" s="26">
        <f t="shared" si="121"/>
        <v>21488.620000000003</v>
      </c>
      <c r="AN440" s="12">
        <f t="shared" si="122"/>
        <v>8898</v>
      </c>
      <c r="AO440" s="22">
        <f t="shared" si="123"/>
        <v>320098.87</v>
      </c>
    </row>
    <row r="441" spans="1:41" s="31" customFormat="1" x14ac:dyDescent="0.5">
      <c r="A441" s="19">
        <v>437</v>
      </c>
      <c r="B441" s="20" t="s">
        <v>787</v>
      </c>
      <c r="C441" s="21" t="s">
        <v>788</v>
      </c>
      <c r="D441" s="16">
        <v>1069</v>
      </c>
      <c r="E441" s="16">
        <v>9</v>
      </c>
      <c r="F441" s="22">
        <v>1353</v>
      </c>
      <c r="G441" s="22">
        <f t="shared" si="126"/>
        <v>42105.36</v>
      </c>
      <c r="H441" s="22">
        <v>674</v>
      </c>
      <c r="I441" s="23">
        <f t="shared" si="127"/>
        <v>21844.339999999997</v>
      </c>
      <c r="J441" s="22"/>
      <c r="K441" s="22">
        <f t="shared" si="128"/>
        <v>0</v>
      </c>
      <c r="L441" s="22"/>
      <c r="M441" s="24">
        <f t="shared" si="131"/>
        <v>0</v>
      </c>
      <c r="N441" s="23">
        <v>765</v>
      </c>
      <c r="O441" s="23">
        <f t="shared" si="132"/>
        <v>29261.25</v>
      </c>
      <c r="P441" s="22">
        <v>797</v>
      </c>
      <c r="Q441" s="22">
        <f t="shared" si="129"/>
        <v>33474</v>
      </c>
      <c r="R441" s="25">
        <v>810</v>
      </c>
      <c r="S441" s="25">
        <f t="shared" si="130"/>
        <v>31347.000000000004</v>
      </c>
      <c r="T441" s="25">
        <v>1610</v>
      </c>
      <c r="U441" s="25">
        <f t="shared" si="114"/>
        <v>54257.000000000007</v>
      </c>
      <c r="V441" s="23">
        <v>1273</v>
      </c>
      <c r="W441" s="23">
        <f t="shared" si="115"/>
        <v>41754.399999999994</v>
      </c>
      <c r="X441" s="23">
        <v>1749</v>
      </c>
      <c r="Y441" s="23">
        <f t="shared" si="116"/>
        <v>61477.35</v>
      </c>
      <c r="Z441" s="23">
        <v>1356</v>
      </c>
      <c r="AA441" s="23">
        <f t="shared" si="117"/>
        <v>46998.959999999992</v>
      </c>
      <c r="AB441" s="23">
        <v>1104</v>
      </c>
      <c r="AC441" s="23">
        <f t="shared" si="118"/>
        <v>39799.199999999997</v>
      </c>
      <c r="AD441" s="23">
        <v>1613</v>
      </c>
      <c r="AE441" s="23">
        <f t="shared" si="119"/>
        <v>56519.519999999997</v>
      </c>
      <c r="AF441" s="26">
        <v>796</v>
      </c>
      <c r="AG441" s="26">
        <f t="shared" si="124"/>
        <v>27207.279999999999</v>
      </c>
      <c r="AH441" s="23">
        <v>1748</v>
      </c>
      <c r="AI441" s="23">
        <f t="shared" si="125"/>
        <v>58208.399999999994</v>
      </c>
      <c r="AJ441" s="23">
        <v>848</v>
      </c>
      <c r="AK441" s="23">
        <f t="shared" si="120"/>
        <v>30485.600000000002</v>
      </c>
      <c r="AL441" s="26">
        <v>1688</v>
      </c>
      <c r="AM441" s="26">
        <f t="shared" si="121"/>
        <v>61898.960000000006</v>
      </c>
      <c r="AN441" s="12">
        <f t="shared" si="122"/>
        <v>18184</v>
      </c>
      <c r="AO441" s="22">
        <f t="shared" si="123"/>
        <v>636638.62</v>
      </c>
    </row>
    <row r="442" spans="1:41" s="31" customFormat="1" x14ac:dyDescent="0.5">
      <c r="A442" s="19">
        <v>438</v>
      </c>
      <c r="B442" s="20" t="s">
        <v>789</v>
      </c>
      <c r="C442" s="21" t="s">
        <v>144</v>
      </c>
      <c r="D442" s="16">
        <v>1071</v>
      </c>
      <c r="E442" s="16">
        <v>9</v>
      </c>
      <c r="F442" s="22">
        <v>1046</v>
      </c>
      <c r="G442" s="22">
        <f t="shared" si="126"/>
        <v>32551.52</v>
      </c>
      <c r="H442" s="22">
        <v>701</v>
      </c>
      <c r="I442" s="23">
        <f t="shared" si="127"/>
        <v>22719.409999999996</v>
      </c>
      <c r="J442" s="22">
        <v>667</v>
      </c>
      <c r="K442" s="22">
        <f t="shared" si="128"/>
        <v>22017.67</v>
      </c>
      <c r="L442" s="22">
        <v>481</v>
      </c>
      <c r="M442" s="24">
        <f t="shared" si="131"/>
        <v>16892.719999999998</v>
      </c>
      <c r="N442" s="23"/>
      <c r="O442" s="23">
        <f t="shared" si="132"/>
        <v>0</v>
      </c>
      <c r="P442" s="22">
        <v>624</v>
      </c>
      <c r="Q442" s="22">
        <f t="shared" si="129"/>
        <v>26208</v>
      </c>
      <c r="R442" s="25">
        <v>356</v>
      </c>
      <c r="S442" s="25">
        <f t="shared" si="130"/>
        <v>13777.2</v>
      </c>
      <c r="T442" s="25">
        <v>536</v>
      </c>
      <c r="U442" s="25">
        <f t="shared" si="114"/>
        <v>18063.2</v>
      </c>
      <c r="V442" s="23">
        <v>247</v>
      </c>
      <c r="W442" s="23">
        <f t="shared" si="115"/>
        <v>8101.5999999999995</v>
      </c>
      <c r="X442" s="23">
        <v>700</v>
      </c>
      <c r="Y442" s="23">
        <f t="shared" si="116"/>
        <v>24605</v>
      </c>
      <c r="Z442" s="23"/>
      <c r="AA442" s="23">
        <f t="shared" si="117"/>
        <v>0</v>
      </c>
      <c r="AB442" s="23">
        <v>338</v>
      </c>
      <c r="AC442" s="23">
        <f t="shared" si="118"/>
        <v>12184.9</v>
      </c>
      <c r="AD442" s="23">
        <v>753</v>
      </c>
      <c r="AE442" s="23">
        <f t="shared" si="119"/>
        <v>26385.119999999999</v>
      </c>
      <c r="AF442" s="26">
        <v>807</v>
      </c>
      <c r="AG442" s="26">
        <f t="shared" si="124"/>
        <v>27583.26</v>
      </c>
      <c r="AH442" s="23">
        <v>781</v>
      </c>
      <c r="AI442" s="23">
        <f t="shared" si="125"/>
        <v>26007.3</v>
      </c>
      <c r="AJ442" s="23">
        <v>774</v>
      </c>
      <c r="AK442" s="23">
        <f t="shared" si="120"/>
        <v>27825.300000000003</v>
      </c>
      <c r="AL442" s="26">
        <v>876</v>
      </c>
      <c r="AM442" s="26">
        <f t="shared" si="121"/>
        <v>32122.920000000002</v>
      </c>
      <c r="AN442" s="12">
        <f t="shared" si="122"/>
        <v>9687</v>
      </c>
      <c r="AO442" s="22">
        <f t="shared" si="123"/>
        <v>337045.12</v>
      </c>
    </row>
    <row r="443" spans="1:41" s="31" customFormat="1" x14ac:dyDescent="0.5">
      <c r="A443" s="19">
        <v>439</v>
      </c>
      <c r="B443" s="20" t="s">
        <v>790</v>
      </c>
      <c r="C443" s="21" t="s">
        <v>144</v>
      </c>
      <c r="D443" s="16">
        <v>1075</v>
      </c>
      <c r="E443" s="16">
        <v>9</v>
      </c>
      <c r="F443" s="22">
        <v>660</v>
      </c>
      <c r="G443" s="22">
        <f t="shared" si="126"/>
        <v>20539.2</v>
      </c>
      <c r="H443" s="22"/>
      <c r="I443" s="23">
        <f t="shared" si="127"/>
        <v>0</v>
      </c>
      <c r="J443" s="22">
        <v>548</v>
      </c>
      <c r="K443" s="22">
        <f t="shared" si="128"/>
        <v>18089.48</v>
      </c>
      <c r="L443" s="22">
        <v>415</v>
      </c>
      <c r="M443" s="24">
        <f t="shared" si="131"/>
        <v>14574.8</v>
      </c>
      <c r="N443" s="23">
        <v>346</v>
      </c>
      <c r="O443" s="23">
        <f t="shared" si="132"/>
        <v>13234.5</v>
      </c>
      <c r="P443" s="22">
        <v>554</v>
      </c>
      <c r="Q443" s="22">
        <f t="shared" si="129"/>
        <v>23268</v>
      </c>
      <c r="R443" s="25">
        <v>326</v>
      </c>
      <c r="S443" s="25">
        <f t="shared" si="130"/>
        <v>12616.2</v>
      </c>
      <c r="T443" s="25"/>
      <c r="U443" s="25">
        <f t="shared" si="114"/>
        <v>0</v>
      </c>
      <c r="V443" s="23">
        <v>580</v>
      </c>
      <c r="W443" s="23">
        <f t="shared" si="115"/>
        <v>19024</v>
      </c>
      <c r="X443" s="23">
        <v>455</v>
      </c>
      <c r="Y443" s="23">
        <f t="shared" si="116"/>
        <v>15993.25</v>
      </c>
      <c r="Z443" s="23"/>
      <c r="AA443" s="23">
        <f t="shared" si="117"/>
        <v>0</v>
      </c>
      <c r="AB443" s="23"/>
      <c r="AC443" s="23">
        <f t="shared" si="118"/>
        <v>0</v>
      </c>
      <c r="AD443" s="23">
        <v>445</v>
      </c>
      <c r="AE443" s="23">
        <f t="shared" si="119"/>
        <v>15592.8</v>
      </c>
      <c r="AF443" s="26">
        <v>347</v>
      </c>
      <c r="AG443" s="26">
        <f t="shared" si="124"/>
        <v>11860.46</v>
      </c>
      <c r="AH443" s="23">
        <v>453</v>
      </c>
      <c r="AI443" s="23">
        <f t="shared" si="125"/>
        <v>15084.899999999998</v>
      </c>
      <c r="AJ443" s="23">
        <v>509</v>
      </c>
      <c r="AK443" s="23">
        <f t="shared" si="120"/>
        <v>18298.550000000003</v>
      </c>
      <c r="AL443" s="26">
        <v>788</v>
      </c>
      <c r="AM443" s="26">
        <f t="shared" si="121"/>
        <v>28895.960000000003</v>
      </c>
      <c r="AN443" s="12">
        <f t="shared" si="122"/>
        <v>6426</v>
      </c>
      <c r="AO443" s="22">
        <f t="shared" si="123"/>
        <v>227072.09999999995</v>
      </c>
    </row>
    <row r="444" spans="1:41" s="31" customFormat="1" x14ac:dyDescent="0.5">
      <c r="A444" s="19">
        <v>440</v>
      </c>
      <c r="B444" s="20" t="s">
        <v>791</v>
      </c>
      <c r="C444" s="21" t="s">
        <v>792</v>
      </c>
      <c r="D444" s="16">
        <v>1077</v>
      </c>
      <c r="E444" s="16">
        <v>9</v>
      </c>
      <c r="F444" s="22"/>
      <c r="G444" s="22">
        <f t="shared" si="126"/>
        <v>0</v>
      </c>
      <c r="H444" s="22"/>
      <c r="I444" s="23">
        <f t="shared" si="127"/>
        <v>0</v>
      </c>
      <c r="J444" s="22"/>
      <c r="K444" s="22">
        <f t="shared" si="128"/>
        <v>0</v>
      </c>
      <c r="L444" s="22"/>
      <c r="M444" s="24">
        <f t="shared" si="131"/>
        <v>0</v>
      </c>
      <c r="N444" s="23"/>
      <c r="O444" s="23">
        <f t="shared" si="132"/>
        <v>0</v>
      </c>
      <c r="P444" s="22">
        <v>180</v>
      </c>
      <c r="Q444" s="22">
        <f t="shared" si="129"/>
        <v>7560</v>
      </c>
      <c r="R444" s="25">
        <v>322</v>
      </c>
      <c r="S444" s="25">
        <f t="shared" si="130"/>
        <v>12461.400000000001</v>
      </c>
      <c r="T444" s="25">
        <v>292</v>
      </c>
      <c r="U444" s="25">
        <f t="shared" si="114"/>
        <v>9840.4000000000015</v>
      </c>
      <c r="V444" s="23"/>
      <c r="W444" s="23">
        <f t="shared" si="115"/>
        <v>0</v>
      </c>
      <c r="X444" s="23">
        <v>340</v>
      </c>
      <c r="Y444" s="23">
        <f t="shared" si="116"/>
        <v>11951</v>
      </c>
      <c r="Z444" s="23"/>
      <c r="AA444" s="23">
        <f t="shared" si="117"/>
        <v>0</v>
      </c>
      <c r="AB444" s="23"/>
      <c r="AC444" s="23">
        <f t="shared" si="118"/>
        <v>0</v>
      </c>
      <c r="AD444" s="23"/>
      <c r="AE444" s="23">
        <f t="shared" si="119"/>
        <v>0</v>
      </c>
      <c r="AF444" s="26"/>
      <c r="AG444" s="26">
        <f t="shared" si="124"/>
        <v>0</v>
      </c>
      <c r="AH444" s="23"/>
      <c r="AI444" s="23">
        <f t="shared" si="125"/>
        <v>0</v>
      </c>
      <c r="AJ444" s="23">
        <v>419</v>
      </c>
      <c r="AK444" s="23">
        <f t="shared" si="120"/>
        <v>15063.050000000001</v>
      </c>
      <c r="AL444" s="26"/>
      <c r="AM444" s="26">
        <f t="shared" si="121"/>
        <v>0</v>
      </c>
      <c r="AN444" s="12">
        <f t="shared" si="122"/>
        <v>1553</v>
      </c>
      <c r="AO444" s="22">
        <f t="shared" si="123"/>
        <v>56875.850000000006</v>
      </c>
    </row>
    <row r="445" spans="1:41" s="31" customFormat="1" x14ac:dyDescent="0.5">
      <c r="A445" s="19">
        <v>441</v>
      </c>
      <c r="B445" s="20" t="s">
        <v>793</v>
      </c>
      <c r="C445" s="21" t="s">
        <v>712</v>
      </c>
      <c r="D445" s="16">
        <v>1079</v>
      </c>
      <c r="E445" s="16">
        <v>9</v>
      </c>
      <c r="F445" s="22">
        <v>864</v>
      </c>
      <c r="G445" s="22">
        <f t="shared" si="126"/>
        <v>26887.68</v>
      </c>
      <c r="H445" s="22">
        <v>171</v>
      </c>
      <c r="I445" s="23">
        <f t="shared" si="127"/>
        <v>5542.11</v>
      </c>
      <c r="J445" s="22">
        <v>719</v>
      </c>
      <c r="K445" s="22">
        <f t="shared" si="128"/>
        <v>23734.19</v>
      </c>
      <c r="L445" s="22"/>
      <c r="M445" s="24">
        <f t="shared" si="131"/>
        <v>0</v>
      </c>
      <c r="N445" s="23"/>
      <c r="O445" s="23">
        <f t="shared" si="132"/>
        <v>0</v>
      </c>
      <c r="P445" s="22">
        <v>866</v>
      </c>
      <c r="Q445" s="22">
        <f t="shared" si="129"/>
        <v>36372</v>
      </c>
      <c r="R445" s="25">
        <v>186</v>
      </c>
      <c r="S445" s="25">
        <f t="shared" si="130"/>
        <v>7198.2000000000007</v>
      </c>
      <c r="T445" s="25">
        <v>873</v>
      </c>
      <c r="U445" s="25">
        <f t="shared" si="114"/>
        <v>29420.100000000002</v>
      </c>
      <c r="V445" s="23">
        <v>586</v>
      </c>
      <c r="W445" s="23">
        <f t="shared" si="115"/>
        <v>19220.8</v>
      </c>
      <c r="X445" s="23">
        <v>771</v>
      </c>
      <c r="Y445" s="23">
        <f t="shared" si="116"/>
        <v>27100.649999999998</v>
      </c>
      <c r="Z445" s="23">
        <v>699</v>
      </c>
      <c r="AA445" s="23">
        <f t="shared" si="117"/>
        <v>24227.339999999997</v>
      </c>
      <c r="AB445" s="23"/>
      <c r="AC445" s="23">
        <f t="shared" si="118"/>
        <v>0</v>
      </c>
      <c r="AD445" s="23">
        <v>339</v>
      </c>
      <c r="AE445" s="23">
        <f t="shared" si="119"/>
        <v>11878.56</v>
      </c>
      <c r="AF445" s="26">
        <v>920</v>
      </c>
      <c r="AG445" s="26">
        <f t="shared" si="124"/>
        <v>31445.599999999999</v>
      </c>
      <c r="AH445" s="23">
        <v>687</v>
      </c>
      <c r="AI445" s="23">
        <f t="shared" si="125"/>
        <v>22877.1</v>
      </c>
      <c r="AJ445" s="23">
        <v>860</v>
      </c>
      <c r="AK445" s="23">
        <f t="shared" si="120"/>
        <v>30917.000000000004</v>
      </c>
      <c r="AL445" s="26">
        <v>808</v>
      </c>
      <c r="AM445" s="26">
        <f t="shared" si="121"/>
        <v>29629.360000000001</v>
      </c>
      <c r="AN445" s="12">
        <f t="shared" si="122"/>
        <v>9349</v>
      </c>
      <c r="AO445" s="22">
        <f t="shared" si="123"/>
        <v>326450.68999999994</v>
      </c>
    </row>
    <row r="446" spans="1:41" s="31" customFormat="1" x14ac:dyDescent="0.5">
      <c r="A446" s="19">
        <v>442</v>
      </c>
      <c r="B446" s="20" t="s">
        <v>794</v>
      </c>
      <c r="C446" s="21" t="s">
        <v>795</v>
      </c>
      <c r="D446" s="16">
        <v>1081</v>
      </c>
      <c r="E446" s="16">
        <v>9</v>
      </c>
      <c r="F446" s="22">
        <v>1658</v>
      </c>
      <c r="G446" s="22">
        <f t="shared" si="126"/>
        <v>51596.959999999999</v>
      </c>
      <c r="H446" s="22">
        <v>624</v>
      </c>
      <c r="I446" s="23">
        <f t="shared" si="127"/>
        <v>20223.839999999997</v>
      </c>
      <c r="J446" s="22">
        <v>504</v>
      </c>
      <c r="K446" s="22">
        <f t="shared" si="128"/>
        <v>16637.039999999997</v>
      </c>
      <c r="L446" s="22">
        <v>535</v>
      </c>
      <c r="M446" s="24">
        <f t="shared" si="131"/>
        <v>18789.199999999997</v>
      </c>
      <c r="N446" s="23"/>
      <c r="O446" s="23">
        <f t="shared" si="132"/>
        <v>0</v>
      </c>
      <c r="P446" s="22">
        <v>854</v>
      </c>
      <c r="Q446" s="22">
        <f t="shared" si="129"/>
        <v>35868</v>
      </c>
      <c r="R446" s="25">
        <v>506</v>
      </c>
      <c r="S446" s="25">
        <f t="shared" si="130"/>
        <v>19582.2</v>
      </c>
      <c r="T446" s="25">
        <v>695</v>
      </c>
      <c r="U446" s="25">
        <f t="shared" si="114"/>
        <v>23421.500000000004</v>
      </c>
      <c r="V446" s="23">
        <v>785</v>
      </c>
      <c r="W446" s="23">
        <f t="shared" si="115"/>
        <v>25747.999999999996</v>
      </c>
      <c r="X446" s="23">
        <v>781</v>
      </c>
      <c r="Y446" s="23">
        <f t="shared" si="116"/>
        <v>27452.149999999998</v>
      </c>
      <c r="Z446" s="23">
        <v>1474</v>
      </c>
      <c r="AA446" s="23">
        <f t="shared" si="117"/>
        <v>51088.84</v>
      </c>
      <c r="AB446" s="23">
        <v>801</v>
      </c>
      <c r="AC446" s="23">
        <f t="shared" si="118"/>
        <v>28876.05</v>
      </c>
      <c r="AD446" s="23">
        <v>944</v>
      </c>
      <c r="AE446" s="23">
        <f t="shared" si="119"/>
        <v>33077.760000000002</v>
      </c>
      <c r="AF446" s="26">
        <v>1081</v>
      </c>
      <c r="AG446" s="26">
        <f t="shared" si="124"/>
        <v>36948.58</v>
      </c>
      <c r="AH446" s="23">
        <v>958</v>
      </c>
      <c r="AI446" s="23">
        <f t="shared" si="125"/>
        <v>31901.399999999998</v>
      </c>
      <c r="AJ446" s="23">
        <v>943</v>
      </c>
      <c r="AK446" s="23">
        <f t="shared" si="120"/>
        <v>33900.850000000006</v>
      </c>
      <c r="AL446" s="26">
        <v>1399</v>
      </c>
      <c r="AM446" s="26">
        <f t="shared" si="121"/>
        <v>51301.33</v>
      </c>
      <c r="AN446" s="12">
        <f t="shared" si="122"/>
        <v>14542</v>
      </c>
      <c r="AO446" s="22">
        <f t="shared" si="123"/>
        <v>506413.7</v>
      </c>
    </row>
    <row r="447" spans="1:41" s="31" customFormat="1" x14ac:dyDescent="0.5">
      <c r="A447" s="19">
        <v>443</v>
      </c>
      <c r="B447" s="20" t="s">
        <v>796</v>
      </c>
      <c r="C447" s="21" t="s">
        <v>797</v>
      </c>
      <c r="D447" s="16">
        <v>1083</v>
      </c>
      <c r="E447" s="16">
        <v>9</v>
      </c>
      <c r="F447" s="22">
        <v>311</v>
      </c>
      <c r="G447" s="22">
        <f t="shared" si="126"/>
        <v>9678.32</v>
      </c>
      <c r="H447" s="22">
        <v>528</v>
      </c>
      <c r="I447" s="23">
        <f t="shared" si="127"/>
        <v>17112.48</v>
      </c>
      <c r="J447" s="22"/>
      <c r="K447" s="22">
        <f t="shared" si="128"/>
        <v>0</v>
      </c>
      <c r="L447" s="22">
        <v>403</v>
      </c>
      <c r="M447" s="24">
        <f t="shared" si="131"/>
        <v>14153.359999999999</v>
      </c>
      <c r="N447" s="23">
        <v>275</v>
      </c>
      <c r="O447" s="23">
        <f t="shared" si="132"/>
        <v>10518.75</v>
      </c>
      <c r="P447" s="22"/>
      <c r="Q447" s="22">
        <f t="shared" si="129"/>
        <v>0</v>
      </c>
      <c r="R447" s="25">
        <v>444</v>
      </c>
      <c r="S447" s="25">
        <f t="shared" si="130"/>
        <v>17182.800000000003</v>
      </c>
      <c r="T447" s="25"/>
      <c r="U447" s="25">
        <f t="shared" si="114"/>
        <v>0</v>
      </c>
      <c r="V447" s="23">
        <v>288</v>
      </c>
      <c r="W447" s="23">
        <f t="shared" si="115"/>
        <v>9446.4</v>
      </c>
      <c r="X447" s="23">
        <v>348</v>
      </c>
      <c r="Y447" s="23">
        <f t="shared" si="116"/>
        <v>12232.199999999999</v>
      </c>
      <c r="Z447" s="23">
        <v>322</v>
      </c>
      <c r="AA447" s="23">
        <f t="shared" si="117"/>
        <v>11160.519999999999</v>
      </c>
      <c r="AB447" s="23">
        <v>282</v>
      </c>
      <c r="AC447" s="23">
        <f t="shared" si="118"/>
        <v>10166.099999999999</v>
      </c>
      <c r="AD447" s="23">
        <v>339</v>
      </c>
      <c r="AE447" s="23">
        <f t="shared" si="119"/>
        <v>11878.56</v>
      </c>
      <c r="AF447" s="26">
        <v>445</v>
      </c>
      <c r="AG447" s="26">
        <f t="shared" si="124"/>
        <v>15210.1</v>
      </c>
      <c r="AH447" s="23">
        <v>272</v>
      </c>
      <c r="AI447" s="23">
        <f t="shared" si="125"/>
        <v>9057.5999999999985</v>
      </c>
      <c r="AJ447" s="23">
        <v>329</v>
      </c>
      <c r="AK447" s="23">
        <f t="shared" si="120"/>
        <v>11827.550000000001</v>
      </c>
      <c r="AL447" s="26">
        <v>341</v>
      </c>
      <c r="AM447" s="26">
        <f t="shared" si="121"/>
        <v>12504.470000000001</v>
      </c>
      <c r="AN447" s="12">
        <f t="shared" si="122"/>
        <v>4927</v>
      </c>
      <c r="AO447" s="22">
        <f t="shared" si="123"/>
        <v>172129.21</v>
      </c>
    </row>
    <row r="448" spans="1:41" s="31" customFormat="1" x14ac:dyDescent="0.5">
      <c r="A448" s="19">
        <v>444</v>
      </c>
      <c r="B448" s="20" t="s">
        <v>798</v>
      </c>
      <c r="C448" s="21" t="s">
        <v>537</v>
      </c>
      <c r="D448" s="16">
        <v>1088</v>
      </c>
      <c r="E448" s="16">
        <v>9</v>
      </c>
      <c r="F448" s="22"/>
      <c r="G448" s="22">
        <f t="shared" si="126"/>
        <v>0</v>
      </c>
      <c r="H448" s="22"/>
      <c r="I448" s="23">
        <f t="shared" si="127"/>
        <v>0</v>
      </c>
      <c r="J448" s="22"/>
      <c r="K448" s="22">
        <f t="shared" si="128"/>
        <v>0</v>
      </c>
      <c r="L448" s="22"/>
      <c r="M448" s="24">
        <f t="shared" si="131"/>
        <v>0</v>
      </c>
      <c r="N448" s="23"/>
      <c r="O448" s="23">
        <f t="shared" si="132"/>
        <v>0</v>
      </c>
      <c r="P448" s="22"/>
      <c r="Q448" s="22">
        <f t="shared" si="129"/>
        <v>0</v>
      </c>
      <c r="R448" s="25"/>
      <c r="S448" s="25">
        <f t="shared" si="130"/>
        <v>0</v>
      </c>
      <c r="T448" s="25"/>
      <c r="U448" s="25">
        <f t="shared" si="114"/>
        <v>0</v>
      </c>
      <c r="V448" s="23"/>
      <c r="W448" s="23">
        <f t="shared" si="115"/>
        <v>0</v>
      </c>
      <c r="X448" s="23"/>
      <c r="Y448" s="23">
        <f t="shared" si="116"/>
        <v>0</v>
      </c>
      <c r="Z448" s="23"/>
      <c r="AA448" s="23">
        <f t="shared" si="117"/>
        <v>0</v>
      </c>
      <c r="AB448" s="23"/>
      <c r="AC448" s="23">
        <f t="shared" si="118"/>
        <v>0</v>
      </c>
      <c r="AD448" s="23"/>
      <c r="AE448" s="23">
        <f t="shared" si="119"/>
        <v>0</v>
      </c>
      <c r="AF448" s="26"/>
      <c r="AG448" s="26">
        <f t="shared" si="124"/>
        <v>0</v>
      </c>
      <c r="AH448" s="23"/>
      <c r="AI448" s="23">
        <f t="shared" si="125"/>
        <v>0</v>
      </c>
      <c r="AJ448" s="23"/>
      <c r="AK448" s="23">
        <f t="shared" si="120"/>
        <v>0</v>
      </c>
      <c r="AL448" s="26"/>
      <c r="AM448" s="26">
        <f t="shared" si="121"/>
        <v>0</v>
      </c>
      <c r="AN448" s="12">
        <f t="shared" si="122"/>
        <v>0</v>
      </c>
      <c r="AO448" s="22">
        <f t="shared" si="123"/>
        <v>0</v>
      </c>
    </row>
    <row r="449" spans="1:41" s="31" customFormat="1" x14ac:dyDescent="0.5">
      <c r="A449" s="19">
        <v>445</v>
      </c>
      <c r="B449" s="20" t="s">
        <v>799</v>
      </c>
      <c r="C449" s="21" t="s">
        <v>800</v>
      </c>
      <c r="D449" s="16">
        <v>1089</v>
      </c>
      <c r="E449" s="16">
        <v>9</v>
      </c>
      <c r="F449" s="22">
        <v>166</v>
      </c>
      <c r="G449" s="22">
        <f t="shared" si="126"/>
        <v>5165.92</v>
      </c>
      <c r="H449" s="22">
        <v>252</v>
      </c>
      <c r="I449" s="23">
        <f t="shared" si="127"/>
        <v>8167.3199999999988</v>
      </c>
      <c r="J449" s="22"/>
      <c r="K449" s="22">
        <f t="shared" si="128"/>
        <v>0</v>
      </c>
      <c r="L449" s="22"/>
      <c r="M449" s="24">
        <f t="shared" si="131"/>
        <v>0</v>
      </c>
      <c r="N449" s="23"/>
      <c r="O449" s="23">
        <f t="shared" si="132"/>
        <v>0</v>
      </c>
      <c r="P449" s="22"/>
      <c r="Q449" s="22">
        <f t="shared" si="129"/>
        <v>0</v>
      </c>
      <c r="R449" s="25"/>
      <c r="S449" s="25">
        <f t="shared" si="130"/>
        <v>0</v>
      </c>
      <c r="T449" s="25">
        <v>124</v>
      </c>
      <c r="U449" s="25">
        <f t="shared" si="114"/>
        <v>4178.8</v>
      </c>
      <c r="V449" s="23"/>
      <c r="W449" s="23">
        <f t="shared" si="115"/>
        <v>0</v>
      </c>
      <c r="X449" s="23"/>
      <c r="Y449" s="23">
        <f t="shared" si="116"/>
        <v>0</v>
      </c>
      <c r="Z449" s="23"/>
      <c r="AA449" s="23">
        <f t="shared" si="117"/>
        <v>0</v>
      </c>
      <c r="AB449" s="23"/>
      <c r="AC449" s="23">
        <f t="shared" si="118"/>
        <v>0</v>
      </c>
      <c r="AD449" s="23">
        <v>190</v>
      </c>
      <c r="AE449" s="23">
        <f t="shared" si="119"/>
        <v>6657.5999999999995</v>
      </c>
      <c r="AF449" s="26"/>
      <c r="AG449" s="26">
        <f t="shared" si="124"/>
        <v>0</v>
      </c>
      <c r="AH449" s="23">
        <v>186</v>
      </c>
      <c r="AI449" s="23">
        <f t="shared" si="125"/>
        <v>6193.7999999999993</v>
      </c>
      <c r="AJ449" s="23">
        <v>180</v>
      </c>
      <c r="AK449" s="23">
        <f t="shared" si="120"/>
        <v>6471.0000000000009</v>
      </c>
      <c r="AL449" s="26"/>
      <c r="AM449" s="26">
        <f t="shared" si="121"/>
        <v>0</v>
      </c>
      <c r="AN449" s="12">
        <f t="shared" si="122"/>
        <v>1098</v>
      </c>
      <c r="AO449" s="22">
        <f t="shared" si="123"/>
        <v>36834.439999999995</v>
      </c>
    </row>
    <row r="450" spans="1:41" s="31" customFormat="1" x14ac:dyDescent="0.5">
      <c r="A450" s="19">
        <v>446</v>
      </c>
      <c r="B450" s="20" t="s">
        <v>801</v>
      </c>
      <c r="C450" s="21" t="s">
        <v>681</v>
      </c>
      <c r="D450" s="16">
        <v>1090</v>
      </c>
      <c r="E450" s="16">
        <v>9</v>
      </c>
      <c r="F450" s="22">
        <v>1319</v>
      </c>
      <c r="G450" s="22">
        <f t="shared" si="126"/>
        <v>41047.279999999999</v>
      </c>
      <c r="H450" s="22"/>
      <c r="I450" s="23">
        <f t="shared" si="127"/>
        <v>0</v>
      </c>
      <c r="J450" s="22"/>
      <c r="K450" s="22">
        <f t="shared" si="128"/>
        <v>0</v>
      </c>
      <c r="L450" s="22"/>
      <c r="M450" s="24">
        <f t="shared" si="131"/>
        <v>0</v>
      </c>
      <c r="N450" s="23"/>
      <c r="O450" s="23">
        <f t="shared" si="132"/>
        <v>0</v>
      </c>
      <c r="P450" s="22">
        <v>723</v>
      </c>
      <c r="Q450" s="22">
        <f t="shared" si="129"/>
        <v>30366</v>
      </c>
      <c r="R450" s="25">
        <v>998</v>
      </c>
      <c r="S450" s="25">
        <f t="shared" si="130"/>
        <v>38622.600000000006</v>
      </c>
      <c r="T450" s="25">
        <v>893</v>
      </c>
      <c r="U450" s="25">
        <f t="shared" si="114"/>
        <v>30094.100000000002</v>
      </c>
      <c r="V450" s="23">
        <v>1101</v>
      </c>
      <c r="W450" s="23">
        <f t="shared" si="115"/>
        <v>36112.799999999996</v>
      </c>
      <c r="X450" s="23">
        <v>1203</v>
      </c>
      <c r="Y450" s="23">
        <f t="shared" si="116"/>
        <v>42285.45</v>
      </c>
      <c r="Z450" s="23">
        <v>704</v>
      </c>
      <c r="AA450" s="23">
        <f t="shared" si="117"/>
        <v>24400.639999999999</v>
      </c>
      <c r="AB450" s="23"/>
      <c r="AC450" s="23">
        <f t="shared" si="118"/>
        <v>0</v>
      </c>
      <c r="AD450" s="23"/>
      <c r="AE450" s="23">
        <f t="shared" si="119"/>
        <v>0</v>
      </c>
      <c r="AF450" s="26"/>
      <c r="AG450" s="26">
        <f t="shared" si="124"/>
        <v>0</v>
      </c>
      <c r="AH450" s="23">
        <v>643</v>
      </c>
      <c r="AI450" s="23">
        <f t="shared" si="125"/>
        <v>21411.899999999998</v>
      </c>
      <c r="AJ450" s="23">
        <v>1623</v>
      </c>
      <c r="AK450" s="23">
        <f t="shared" si="120"/>
        <v>58346.850000000006</v>
      </c>
      <c r="AL450" s="26">
        <v>1507</v>
      </c>
      <c r="AM450" s="26">
        <f t="shared" si="121"/>
        <v>55261.69</v>
      </c>
      <c r="AN450" s="12">
        <f t="shared" si="122"/>
        <v>10714</v>
      </c>
      <c r="AO450" s="22">
        <f t="shared" si="123"/>
        <v>377949.31</v>
      </c>
    </row>
    <row r="451" spans="1:41" s="31" customFormat="1" x14ac:dyDescent="0.5">
      <c r="A451" s="19">
        <v>447</v>
      </c>
      <c r="B451" s="20" t="s">
        <v>802</v>
      </c>
      <c r="C451" s="21" t="s">
        <v>681</v>
      </c>
      <c r="D451" s="16">
        <v>1091</v>
      </c>
      <c r="E451" s="16">
        <v>9</v>
      </c>
      <c r="F451" s="22"/>
      <c r="G451" s="22">
        <f t="shared" si="126"/>
        <v>0</v>
      </c>
      <c r="H451" s="22">
        <v>167</v>
      </c>
      <c r="I451" s="23">
        <f t="shared" si="127"/>
        <v>5412.4699999999993</v>
      </c>
      <c r="J451" s="22"/>
      <c r="K451" s="22">
        <f t="shared" si="128"/>
        <v>0</v>
      </c>
      <c r="L451" s="22"/>
      <c r="M451" s="24">
        <f t="shared" si="131"/>
        <v>0</v>
      </c>
      <c r="N451" s="23"/>
      <c r="O451" s="23">
        <f t="shared" si="132"/>
        <v>0</v>
      </c>
      <c r="P451" s="22">
        <v>249</v>
      </c>
      <c r="Q451" s="22">
        <f t="shared" si="129"/>
        <v>10458</v>
      </c>
      <c r="R451" s="25">
        <v>141</v>
      </c>
      <c r="S451" s="25">
        <f t="shared" si="130"/>
        <v>5456.7000000000007</v>
      </c>
      <c r="T451" s="25">
        <v>227</v>
      </c>
      <c r="U451" s="25">
        <f t="shared" si="114"/>
        <v>7649.9000000000005</v>
      </c>
      <c r="V451" s="23">
        <v>320</v>
      </c>
      <c r="W451" s="23">
        <f t="shared" si="115"/>
        <v>10496</v>
      </c>
      <c r="X451" s="23">
        <v>213</v>
      </c>
      <c r="Y451" s="23">
        <f t="shared" si="116"/>
        <v>7486.95</v>
      </c>
      <c r="Z451" s="23"/>
      <c r="AA451" s="23">
        <f t="shared" si="117"/>
        <v>0</v>
      </c>
      <c r="AB451" s="23"/>
      <c r="AC451" s="23">
        <f t="shared" si="118"/>
        <v>0</v>
      </c>
      <c r="AD451" s="23">
        <v>288</v>
      </c>
      <c r="AE451" s="23">
        <f t="shared" si="119"/>
        <v>10091.52</v>
      </c>
      <c r="AF451" s="26">
        <v>214</v>
      </c>
      <c r="AG451" s="26">
        <f t="shared" si="124"/>
        <v>7314.5199999999995</v>
      </c>
      <c r="AH451" s="23">
        <v>218</v>
      </c>
      <c r="AI451" s="23">
        <f t="shared" si="125"/>
        <v>7259.4</v>
      </c>
      <c r="AJ451" s="23"/>
      <c r="AK451" s="23">
        <f t="shared" si="120"/>
        <v>0</v>
      </c>
      <c r="AL451" s="26">
        <v>328</v>
      </c>
      <c r="AM451" s="26">
        <f t="shared" si="121"/>
        <v>12027.76</v>
      </c>
      <c r="AN451" s="12">
        <f t="shared" si="122"/>
        <v>2365</v>
      </c>
      <c r="AO451" s="22">
        <f t="shared" si="123"/>
        <v>83653.219999999987</v>
      </c>
    </row>
    <row r="452" spans="1:41" s="31" customFormat="1" x14ac:dyDescent="0.5">
      <c r="A452" s="19">
        <v>448</v>
      </c>
      <c r="B452" s="20" t="s">
        <v>803</v>
      </c>
      <c r="C452" s="21" t="s">
        <v>804</v>
      </c>
      <c r="D452" s="16">
        <v>1095</v>
      </c>
      <c r="E452" s="16">
        <v>9</v>
      </c>
      <c r="F452" s="22"/>
      <c r="G452" s="22">
        <f t="shared" si="126"/>
        <v>0</v>
      </c>
      <c r="H452" s="22"/>
      <c r="I452" s="23">
        <f t="shared" si="127"/>
        <v>0</v>
      </c>
      <c r="J452" s="22"/>
      <c r="K452" s="22">
        <f t="shared" si="128"/>
        <v>0</v>
      </c>
      <c r="L452" s="22"/>
      <c r="M452" s="24">
        <f t="shared" si="131"/>
        <v>0</v>
      </c>
      <c r="N452" s="23"/>
      <c r="O452" s="23">
        <f t="shared" si="132"/>
        <v>0</v>
      </c>
      <c r="P452" s="22">
        <v>477</v>
      </c>
      <c r="Q452" s="22">
        <f t="shared" si="129"/>
        <v>20034</v>
      </c>
      <c r="R452" s="25"/>
      <c r="S452" s="25">
        <f t="shared" si="130"/>
        <v>0</v>
      </c>
      <c r="T452" s="25">
        <v>268</v>
      </c>
      <c r="U452" s="25">
        <f t="shared" si="114"/>
        <v>9031.6</v>
      </c>
      <c r="V452" s="23">
        <v>175</v>
      </c>
      <c r="W452" s="23">
        <f t="shared" si="115"/>
        <v>5739.9999999999991</v>
      </c>
      <c r="X452" s="23"/>
      <c r="Y452" s="23">
        <f t="shared" si="116"/>
        <v>0</v>
      </c>
      <c r="Z452" s="23">
        <v>164</v>
      </c>
      <c r="AA452" s="23">
        <f t="shared" si="117"/>
        <v>5684.24</v>
      </c>
      <c r="AB452" s="23"/>
      <c r="AC452" s="23">
        <f t="shared" si="118"/>
        <v>0</v>
      </c>
      <c r="AD452" s="23"/>
      <c r="AE452" s="23">
        <f t="shared" si="119"/>
        <v>0</v>
      </c>
      <c r="AF452" s="26">
        <v>257</v>
      </c>
      <c r="AG452" s="26">
        <f t="shared" si="124"/>
        <v>8784.26</v>
      </c>
      <c r="AH452" s="23">
        <v>196</v>
      </c>
      <c r="AI452" s="23">
        <f t="shared" si="125"/>
        <v>6526.7999999999993</v>
      </c>
      <c r="AJ452" s="23"/>
      <c r="AK452" s="23">
        <f t="shared" si="120"/>
        <v>0</v>
      </c>
      <c r="AL452" s="26">
        <v>274</v>
      </c>
      <c r="AM452" s="26">
        <f t="shared" si="121"/>
        <v>10047.58</v>
      </c>
      <c r="AN452" s="12">
        <f t="shared" si="122"/>
        <v>1811</v>
      </c>
      <c r="AO452" s="22">
        <f t="shared" si="123"/>
        <v>65848.479999999996</v>
      </c>
    </row>
    <row r="453" spans="1:41" s="31" customFormat="1" x14ac:dyDescent="0.5">
      <c r="A453" s="19">
        <v>449</v>
      </c>
      <c r="B453" s="20" t="s">
        <v>805</v>
      </c>
      <c r="C453" s="21" t="s">
        <v>664</v>
      </c>
      <c r="D453" s="16">
        <v>1103</v>
      </c>
      <c r="E453" s="16">
        <v>9</v>
      </c>
      <c r="F453" s="22"/>
      <c r="G453" s="22">
        <f t="shared" si="126"/>
        <v>0</v>
      </c>
      <c r="H453" s="22"/>
      <c r="I453" s="23">
        <f t="shared" si="127"/>
        <v>0</v>
      </c>
      <c r="J453" s="22">
        <v>158</v>
      </c>
      <c r="K453" s="22">
        <f t="shared" si="128"/>
        <v>5215.58</v>
      </c>
      <c r="L453" s="22"/>
      <c r="M453" s="24">
        <f t="shared" si="131"/>
        <v>0</v>
      </c>
      <c r="N453" s="23"/>
      <c r="O453" s="23">
        <f t="shared" si="132"/>
        <v>0</v>
      </c>
      <c r="P453" s="22">
        <v>138</v>
      </c>
      <c r="Q453" s="22">
        <f t="shared" si="129"/>
        <v>5796</v>
      </c>
      <c r="R453" s="25">
        <v>273</v>
      </c>
      <c r="S453" s="25">
        <f t="shared" si="130"/>
        <v>10565.1</v>
      </c>
      <c r="T453" s="25">
        <v>356</v>
      </c>
      <c r="U453" s="25">
        <f t="shared" si="114"/>
        <v>11997.2</v>
      </c>
      <c r="V453" s="23">
        <v>389</v>
      </c>
      <c r="W453" s="23">
        <f t="shared" si="115"/>
        <v>12759.199999999999</v>
      </c>
      <c r="X453" s="23">
        <v>363</v>
      </c>
      <c r="Y453" s="23">
        <f t="shared" si="116"/>
        <v>12759.449999999999</v>
      </c>
      <c r="Z453" s="23">
        <v>410</v>
      </c>
      <c r="AA453" s="23">
        <f t="shared" si="117"/>
        <v>14210.599999999999</v>
      </c>
      <c r="AB453" s="23">
        <v>327</v>
      </c>
      <c r="AC453" s="23">
        <f t="shared" si="118"/>
        <v>11788.349999999999</v>
      </c>
      <c r="AD453" s="23">
        <v>355</v>
      </c>
      <c r="AE453" s="23">
        <f t="shared" si="119"/>
        <v>12439.199999999999</v>
      </c>
      <c r="AF453" s="26">
        <v>314</v>
      </c>
      <c r="AG453" s="26">
        <f t="shared" si="124"/>
        <v>10732.52</v>
      </c>
      <c r="AH453" s="23">
        <v>287</v>
      </c>
      <c r="AI453" s="23">
        <f t="shared" si="125"/>
        <v>9557.0999999999985</v>
      </c>
      <c r="AJ453" s="23">
        <v>346</v>
      </c>
      <c r="AK453" s="23">
        <f t="shared" si="120"/>
        <v>12438.7</v>
      </c>
      <c r="AL453" s="26"/>
      <c r="AM453" s="26">
        <f t="shared" si="121"/>
        <v>0</v>
      </c>
      <c r="AN453" s="12">
        <f t="shared" si="122"/>
        <v>3716</v>
      </c>
      <c r="AO453" s="22">
        <f t="shared" si="123"/>
        <v>130259.00000000001</v>
      </c>
    </row>
    <row r="454" spans="1:41" s="31" customFormat="1" x14ac:dyDescent="0.5">
      <c r="A454" s="19">
        <v>450</v>
      </c>
      <c r="B454" s="20" t="s">
        <v>806</v>
      </c>
      <c r="C454" s="21" t="s">
        <v>673</v>
      </c>
      <c r="D454" s="16">
        <v>1117</v>
      </c>
      <c r="E454" s="16">
        <v>9</v>
      </c>
      <c r="F454" s="22"/>
      <c r="G454" s="22">
        <f t="shared" si="126"/>
        <v>0</v>
      </c>
      <c r="H454" s="22"/>
      <c r="I454" s="23">
        <f t="shared" si="127"/>
        <v>0</v>
      </c>
      <c r="J454" s="22"/>
      <c r="K454" s="22">
        <f t="shared" si="128"/>
        <v>0</v>
      </c>
      <c r="L454" s="22"/>
      <c r="M454" s="24">
        <f t="shared" si="131"/>
        <v>0</v>
      </c>
      <c r="N454" s="23"/>
      <c r="O454" s="23">
        <f t="shared" si="132"/>
        <v>0</v>
      </c>
      <c r="P454" s="22"/>
      <c r="Q454" s="22">
        <f t="shared" si="129"/>
        <v>0</v>
      </c>
      <c r="R454" s="25"/>
      <c r="S454" s="25">
        <f t="shared" si="130"/>
        <v>0</v>
      </c>
      <c r="T454" s="25"/>
      <c r="U454" s="25">
        <f t="shared" ref="U454:U519" si="133">T454*33.7</f>
        <v>0</v>
      </c>
      <c r="V454" s="23"/>
      <c r="W454" s="23">
        <f t="shared" ref="W454:W519" si="134">V454*32.8</f>
        <v>0</v>
      </c>
      <c r="X454" s="23"/>
      <c r="Y454" s="23">
        <f t="shared" ref="Y454:Y519" si="135">X454*35.15</f>
        <v>0</v>
      </c>
      <c r="Z454" s="23"/>
      <c r="AA454" s="23">
        <f t="shared" ref="AA454:AA519" si="136">Z454*34.66</f>
        <v>0</v>
      </c>
      <c r="AB454" s="23"/>
      <c r="AC454" s="23">
        <f t="shared" ref="AC454:AC519" si="137">AB454*36.05</f>
        <v>0</v>
      </c>
      <c r="AD454" s="23"/>
      <c r="AE454" s="23">
        <f t="shared" ref="AE454:AE519" si="138">AD454*35.04</f>
        <v>0</v>
      </c>
      <c r="AF454" s="26">
        <v>268</v>
      </c>
      <c r="AG454" s="26">
        <f t="shared" si="124"/>
        <v>9160.24</v>
      </c>
      <c r="AH454" s="23"/>
      <c r="AI454" s="23">
        <f t="shared" si="125"/>
        <v>0</v>
      </c>
      <c r="AJ454" s="23"/>
      <c r="AK454" s="23">
        <f t="shared" ref="AK454:AK517" si="139">AJ454*35.95</f>
        <v>0</v>
      </c>
      <c r="AL454" s="26">
        <v>665</v>
      </c>
      <c r="AM454" s="26">
        <f t="shared" ref="AM454:AM517" si="140">AL454*36.67</f>
        <v>24385.550000000003</v>
      </c>
      <c r="AN454" s="12">
        <f t="shared" ref="AN454:AN517" si="141">F454+H454+J454+L454+N454+P454+R454+T454+V454+X454+Z454+AB454+AD454+AF454+AH454+AJ454+AL454</f>
        <v>933</v>
      </c>
      <c r="AO454" s="22">
        <f t="shared" ref="AO454:AO517" si="142">G454+I454+K454+M454+O454+Q454+S454+U454+W454+Y454+AA454+AC454+AE454+AG454+AI454+AK454+AM454</f>
        <v>33545.79</v>
      </c>
    </row>
    <row r="455" spans="1:41" s="31" customFormat="1" x14ac:dyDescent="0.5">
      <c r="A455" s="19">
        <v>451</v>
      </c>
      <c r="B455" s="20" t="s">
        <v>807</v>
      </c>
      <c r="C455" s="21" t="s">
        <v>808</v>
      </c>
      <c r="D455" s="16">
        <v>1119</v>
      </c>
      <c r="E455" s="16">
        <v>9</v>
      </c>
      <c r="F455" s="22"/>
      <c r="G455" s="22">
        <f t="shared" si="126"/>
        <v>0</v>
      </c>
      <c r="H455" s="22"/>
      <c r="I455" s="23">
        <f t="shared" si="127"/>
        <v>0</v>
      </c>
      <c r="J455" s="22"/>
      <c r="K455" s="22">
        <f t="shared" si="128"/>
        <v>0</v>
      </c>
      <c r="L455" s="22"/>
      <c r="M455" s="24">
        <f t="shared" si="131"/>
        <v>0</v>
      </c>
      <c r="N455" s="23"/>
      <c r="O455" s="23">
        <f t="shared" si="132"/>
        <v>0</v>
      </c>
      <c r="P455" s="22"/>
      <c r="Q455" s="22">
        <f t="shared" si="129"/>
        <v>0</v>
      </c>
      <c r="R455" s="25"/>
      <c r="S455" s="25">
        <f t="shared" si="130"/>
        <v>0</v>
      </c>
      <c r="T455" s="25"/>
      <c r="U455" s="25">
        <f t="shared" si="133"/>
        <v>0</v>
      </c>
      <c r="V455" s="23"/>
      <c r="W455" s="23">
        <f t="shared" si="134"/>
        <v>0</v>
      </c>
      <c r="X455" s="23"/>
      <c r="Y455" s="23">
        <f t="shared" si="135"/>
        <v>0</v>
      </c>
      <c r="Z455" s="23"/>
      <c r="AA455" s="23">
        <f t="shared" si="136"/>
        <v>0</v>
      </c>
      <c r="AB455" s="23"/>
      <c r="AC455" s="23">
        <f t="shared" si="137"/>
        <v>0</v>
      </c>
      <c r="AD455" s="23"/>
      <c r="AE455" s="23">
        <f t="shared" si="138"/>
        <v>0</v>
      </c>
      <c r="AF455" s="26"/>
      <c r="AG455" s="26">
        <f t="shared" ref="AG455:AG520" si="143">AF455*34.18</f>
        <v>0</v>
      </c>
      <c r="AH455" s="23">
        <v>1011</v>
      </c>
      <c r="AI455" s="23">
        <f t="shared" ref="AI455:AI519" si="144">AH455*33.3</f>
        <v>33666.299999999996</v>
      </c>
      <c r="AJ455" s="23">
        <v>964</v>
      </c>
      <c r="AK455" s="23">
        <f t="shared" si="139"/>
        <v>34655.800000000003</v>
      </c>
      <c r="AL455" s="26">
        <v>1090</v>
      </c>
      <c r="AM455" s="26">
        <f t="shared" si="140"/>
        <v>39970.300000000003</v>
      </c>
      <c r="AN455" s="12">
        <f t="shared" si="141"/>
        <v>3065</v>
      </c>
      <c r="AO455" s="22">
        <f t="shared" si="142"/>
        <v>108292.40000000001</v>
      </c>
    </row>
    <row r="456" spans="1:41" x14ac:dyDescent="0.5">
      <c r="A456" s="19">
        <v>452</v>
      </c>
      <c r="B456" s="20" t="s">
        <v>809</v>
      </c>
      <c r="C456" s="21" t="s">
        <v>476</v>
      </c>
      <c r="D456" s="16">
        <v>146</v>
      </c>
      <c r="E456" s="16">
        <v>10</v>
      </c>
      <c r="F456" s="22">
        <v>941</v>
      </c>
      <c r="G456" s="22">
        <f t="shared" si="126"/>
        <v>29283.920000000002</v>
      </c>
      <c r="H456" s="22">
        <v>475</v>
      </c>
      <c r="I456" s="23">
        <f t="shared" si="127"/>
        <v>15394.749999999998</v>
      </c>
      <c r="J456" s="22">
        <v>444</v>
      </c>
      <c r="K456" s="22">
        <f t="shared" si="128"/>
        <v>14656.439999999999</v>
      </c>
      <c r="L456" s="22">
        <v>190</v>
      </c>
      <c r="M456" s="24">
        <f t="shared" si="131"/>
        <v>6672.7999999999993</v>
      </c>
      <c r="N456" s="23">
        <v>248</v>
      </c>
      <c r="O456" s="23">
        <f t="shared" si="132"/>
        <v>9486</v>
      </c>
      <c r="P456" s="22">
        <v>355</v>
      </c>
      <c r="Q456" s="22">
        <f t="shared" si="129"/>
        <v>14910</v>
      </c>
      <c r="R456" s="25">
        <v>508</v>
      </c>
      <c r="S456" s="25">
        <f t="shared" si="130"/>
        <v>19659.600000000002</v>
      </c>
      <c r="T456" s="25">
        <v>681</v>
      </c>
      <c r="U456" s="25">
        <f t="shared" si="133"/>
        <v>22949.7</v>
      </c>
      <c r="V456" s="23">
        <v>564</v>
      </c>
      <c r="W456" s="23">
        <f t="shared" si="134"/>
        <v>18499.199999999997</v>
      </c>
      <c r="X456" s="23">
        <v>594</v>
      </c>
      <c r="Y456" s="23">
        <f t="shared" si="135"/>
        <v>20879.099999999999</v>
      </c>
      <c r="Z456" s="23">
        <v>526</v>
      </c>
      <c r="AA456" s="23">
        <f t="shared" si="136"/>
        <v>18231.16</v>
      </c>
      <c r="AB456" s="23">
        <v>489</v>
      </c>
      <c r="AC456" s="23">
        <f t="shared" si="137"/>
        <v>17628.449999999997</v>
      </c>
      <c r="AD456" s="23">
        <v>699</v>
      </c>
      <c r="AE456" s="23">
        <f t="shared" si="138"/>
        <v>24492.959999999999</v>
      </c>
      <c r="AF456" s="26">
        <v>804</v>
      </c>
      <c r="AG456" s="26">
        <f t="shared" si="143"/>
        <v>27480.720000000001</v>
      </c>
      <c r="AH456" s="23">
        <v>673</v>
      </c>
      <c r="AI456" s="23">
        <f t="shared" si="144"/>
        <v>22410.899999999998</v>
      </c>
      <c r="AJ456" s="23">
        <v>759</v>
      </c>
      <c r="AK456" s="23">
        <f t="shared" si="139"/>
        <v>27286.050000000003</v>
      </c>
      <c r="AL456" s="26">
        <v>829</v>
      </c>
      <c r="AM456" s="26">
        <f t="shared" si="140"/>
        <v>30399.43</v>
      </c>
      <c r="AN456" s="12">
        <f t="shared" si="141"/>
        <v>9779</v>
      </c>
      <c r="AO456" s="22">
        <f t="shared" si="142"/>
        <v>340321.18000000005</v>
      </c>
    </row>
    <row r="457" spans="1:41" x14ac:dyDescent="0.5">
      <c r="A457" s="19">
        <v>453</v>
      </c>
      <c r="B457" s="27" t="s">
        <v>810</v>
      </c>
      <c r="C457" s="28" t="s">
        <v>811</v>
      </c>
      <c r="D457" s="16">
        <v>274</v>
      </c>
      <c r="E457" s="16">
        <v>10</v>
      </c>
      <c r="F457" s="22">
        <v>528</v>
      </c>
      <c r="G457" s="22">
        <f t="shared" si="126"/>
        <v>16431.36</v>
      </c>
      <c r="H457" s="22">
        <v>1023</v>
      </c>
      <c r="I457" s="23">
        <f t="shared" si="127"/>
        <v>33155.429999999993</v>
      </c>
      <c r="J457" s="22">
        <v>533</v>
      </c>
      <c r="K457" s="22">
        <f t="shared" si="128"/>
        <v>17594.329999999998</v>
      </c>
      <c r="L457" s="22">
        <v>665</v>
      </c>
      <c r="M457" s="24">
        <f t="shared" si="131"/>
        <v>23354.799999999999</v>
      </c>
      <c r="N457" s="23">
        <v>441</v>
      </c>
      <c r="O457" s="23">
        <f t="shared" si="132"/>
        <v>16868.25</v>
      </c>
      <c r="P457" s="22">
        <v>649</v>
      </c>
      <c r="Q457" s="22">
        <f t="shared" si="129"/>
        <v>27258</v>
      </c>
      <c r="R457" s="25">
        <v>687</v>
      </c>
      <c r="S457" s="25">
        <f t="shared" si="130"/>
        <v>26586.9</v>
      </c>
      <c r="T457" s="25">
        <v>944</v>
      </c>
      <c r="U457" s="25">
        <f t="shared" si="133"/>
        <v>31812.800000000003</v>
      </c>
      <c r="V457" s="23">
        <v>715</v>
      </c>
      <c r="W457" s="23">
        <f t="shared" si="134"/>
        <v>23451.999999999996</v>
      </c>
      <c r="X457" s="23">
        <v>1166</v>
      </c>
      <c r="Y457" s="23">
        <f t="shared" si="135"/>
        <v>40984.9</v>
      </c>
      <c r="Z457" s="23">
        <v>1014</v>
      </c>
      <c r="AA457" s="23">
        <f t="shared" si="136"/>
        <v>35145.24</v>
      </c>
      <c r="AB457" s="23">
        <v>896</v>
      </c>
      <c r="AC457" s="23">
        <f t="shared" si="137"/>
        <v>32300.799999999996</v>
      </c>
      <c r="AD457" s="23">
        <v>1072</v>
      </c>
      <c r="AE457" s="23">
        <f t="shared" si="138"/>
        <v>37562.879999999997</v>
      </c>
      <c r="AF457" s="26">
        <v>1147</v>
      </c>
      <c r="AG457" s="26">
        <f t="shared" si="143"/>
        <v>39204.46</v>
      </c>
      <c r="AH457" s="23">
        <v>1147</v>
      </c>
      <c r="AI457" s="23">
        <f t="shared" si="144"/>
        <v>38195.1</v>
      </c>
      <c r="AJ457" s="23">
        <v>1344</v>
      </c>
      <c r="AK457" s="23">
        <f t="shared" si="139"/>
        <v>48316.800000000003</v>
      </c>
      <c r="AL457" s="23">
        <v>1357</v>
      </c>
      <c r="AM457" s="26">
        <f t="shared" si="140"/>
        <v>49761.19</v>
      </c>
      <c r="AN457" s="12">
        <f t="shared" si="141"/>
        <v>15328</v>
      </c>
      <c r="AO457" s="22">
        <f t="shared" si="142"/>
        <v>537985.24</v>
      </c>
    </row>
    <row r="458" spans="1:41" s="31" customFormat="1" x14ac:dyDescent="0.5">
      <c r="A458" s="19">
        <v>454</v>
      </c>
      <c r="B458" s="20" t="s">
        <v>812</v>
      </c>
      <c r="C458" s="21" t="s">
        <v>503</v>
      </c>
      <c r="D458" s="16">
        <v>338</v>
      </c>
      <c r="E458" s="16">
        <v>10</v>
      </c>
      <c r="F458" s="22">
        <v>952</v>
      </c>
      <c r="G458" s="22">
        <f t="shared" si="126"/>
        <v>29626.240000000002</v>
      </c>
      <c r="H458" s="22">
        <v>1194</v>
      </c>
      <c r="I458" s="23">
        <f t="shared" si="127"/>
        <v>38697.539999999994</v>
      </c>
      <c r="J458" s="22">
        <v>675</v>
      </c>
      <c r="K458" s="22">
        <f t="shared" si="128"/>
        <v>22281.75</v>
      </c>
      <c r="L458" s="22">
        <v>349</v>
      </c>
      <c r="M458" s="24">
        <f t="shared" si="131"/>
        <v>12256.88</v>
      </c>
      <c r="N458" s="23">
        <v>836</v>
      </c>
      <c r="O458" s="23">
        <f t="shared" si="132"/>
        <v>31977</v>
      </c>
      <c r="P458" s="22">
        <v>1311</v>
      </c>
      <c r="Q458" s="22">
        <f t="shared" si="129"/>
        <v>55062</v>
      </c>
      <c r="R458" s="25">
        <v>874</v>
      </c>
      <c r="S458" s="25">
        <f t="shared" si="130"/>
        <v>33823.800000000003</v>
      </c>
      <c r="T458" s="25">
        <v>1019</v>
      </c>
      <c r="U458" s="25">
        <f t="shared" si="133"/>
        <v>34340.300000000003</v>
      </c>
      <c r="V458" s="23">
        <v>1387</v>
      </c>
      <c r="W458" s="23">
        <f t="shared" si="134"/>
        <v>45493.599999999999</v>
      </c>
      <c r="X458" s="23">
        <v>1293</v>
      </c>
      <c r="Y458" s="23">
        <f t="shared" si="135"/>
        <v>45448.95</v>
      </c>
      <c r="Z458" s="23">
        <v>1063</v>
      </c>
      <c r="AA458" s="23">
        <f t="shared" si="136"/>
        <v>36843.579999999994</v>
      </c>
      <c r="AB458" s="23">
        <v>1184</v>
      </c>
      <c r="AC458" s="23">
        <f t="shared" si="137"/>
        <v>42683.199999999997</v>
      </c>
      <c r="AD458" s="23">
        <v>1440</v>
      </c>
      <c r="AE458" s="23">
        <f t="shared" si="138"/>
        <v>50457.599999999999</v>
      </c>
      <c r="AF458" s="26">
        <v>1432</v>
      </c>
      <c r="AG458" s="26">
        <f t="shared" si="143"/>
        <v>48945.760000000002</v>
      </c>
      <c r="AH458" s="23">
        <v>1259</v>
      </c>
      <c r="AI458" s="23">
        <f t="shared" si="144"/>
        <v>41924.699999999997</v>
      </c>
      <c r="AJ458" s="23"/>
      <c r="AK458" s="23">
        <f t="shared" si="139"/>
        <v>0</v>
      </c>
      <c r="AL458" s="26">
        <v>1650</v>
      </c>
      <c r="AM458" s="26">
        <f t="shared" si="140"/>
        <v>60505.5</v>
      </c>
      <c r="AN458" s="12">
        <f t="shared" si="141"/>
        <v>17918</v>
      </c>
      <c r="AO458" s="22">
        <f t="shared" si="142"/>
        <v>630368.39999999991</v>
      </c>
    </row>
    <row r="459" spans="1:41" x14ac:dyDescent="0.5">
      <c r="A459" s="19">
        <v>455</v>
      </c>
      <c r="B459" s="20" t="s">
        <v>813</v>
      </c>
      <c r="C459" s="21" t="s">
        <v>814</v>
      </c>
      <c r="D459" s="16">
        <v>361</v>
      </c>
      <c r="E459" s="16">
        <v>10</v>
      </c>
      <c r="F459" s="22">
        <v>1657</v>
      </c>
      <c r="G459" s="22">
        <f t="shared" si="126"/>
        <v>51565.840000000004</v>
      </c>
      <c r="H459" s="22"/>
      <c r="I459" s="23">
        <f t="shared" si="127"/>
        <v>0</v>
      </c>
      <c r="J459" s="22"/>
      <c r="K459" s="22">
        <f t="shared" si="128"/>
        <v>0</v>
      </c>
      <c r="L459" s="29"/>
      <c r="M459" s="24">
        <f t="shared" si="131"/>
        <v>0</v>
      </c>
      <c r="N459" s="30"/>
      <c r="O459" s="23">
        <f t="shared" si="132"/>
        <v>0</v>
      </c>
      <c r="P459" s="22">
        <v>707</v>
      </c>
      <c r="Q459" s="22">
        <f t="shared" si="129"/>
        <v>29694</v>
      </c>
      <c r="R459" s="25">
        <v>264</v>
      </c>
      <c r="S459" s="25">
        <f t="shared" si="130"/>
        <v>10216.800000000001</v>
      </c>
      <c r="T459" s="25"/>
      <c r="U459" s="25">
        <f t="shared" si="133"/>
        <v>0</v>
      </c>
      <c r="V459" s="23">
        <v>838</v>
      </c>
      <c r="W459" s="23">
        <f t="shared" si="134"/>
        <v>27486.399999999998</v>
      </c>
      <c r="X459" s="23"/>
      <c r="Y459" s="23">
        <f t="shared" si="135"/>
        <v>0</v>
      </c>
      <c r="Z459" s="23">
        <v>1025</v>
      </c>
      <c r="AA459" s="23">
        <f t="shared" si="136"/>
        <v>35526.5</v>
      </c>
      <c r="AB459" s="23">
        <v>777</v>
      </c>
      <c r="AC459" s="23">
        <f t="shared" si="137"/>
        <v>28010.85</v>
      </c>
      <c r="AD459" s="23">
        <v>781</v>
      </c>
      <c r="AE459" s="23">
        <f t="shared" si="138"/>
        <v>27366.239999999998</v>
      </c>
      <c r="AF459" s="26">
        <v>1247</v>
      </c>
      <c r="AG459" s="26">
        <f t="shared" si="143"/>
        <v>42622.46</v>
      </c>
      <c r="AH459" s="23">
        <v>1055</v>
      </c>
      <c r="AI459" s="23">
        <f t="shared" si="144"/>
        <v>35131.5</v>
      </c>
      <c r="AJ459" s="23">
        <v>1179</v>
      </c>
      <c r="AK459" s="23">
        <f t="shared" si="139"/>
        <v>42385.05</v>
      </c>
      <c r="AL459" s="26">
        <v>1039</v>
      </c>
      <c r="AM459" s="26">
        <f t="shared" si="140"/>
        <v>38100.130000000005</v>
      </c>
      <c r="AN459" s="12">
        <f t="shared" si="141"/>
        <v>10569</v>
      </c>
      <c r="AO459" s="22">
        <f t="shared" si="142"/>
        <v>368105.76999999996</v>
      </c>
    </row>
    <row r="460" spans="1:41" s="31" customFormat="1" x14ac:dyDescent="0.5">
      <c r="A460" s="19">
        <v>456</v>
      </c>
      <c r="B460" s="27" t="s">
        <v>815</v>
      </c>
      <c r="C460" s="28" t="s">
        <v>816</v>
      </c>
      <c r="D460" s="16">
        <v>364</v>
      </c>
      <c r="E460" s="16">
        <v>10</v>
      </c>
      <c r="F460" s="22"/>
      <c r="G460" s="22">
        <f t="shared" si="126"/>
        <v>0</v>
      </c>
      <c r="H460" s="22"/>
      <c r="I460" s="23">
        <f t="shared" si="127"/>
        <v>0</v>
      </c>
      <c r="J460" s="22"/>
      <c r="K460" s="22">
        <f t="shared" si="128"/>
        <v>0</v>
      </c>
      <c r="L460" s="22"/>
      <c r="M460" s="24">
        <f t="shared" si="131"/>
        <v>0</v>
      </c>
      <c r="N460" s="23"/>
      <c r="O460" s="23">
        <f t="shared" si="132"/>
        <v>0</v>
      </c>
      <c r="P460" s="22"/>
      <c r="Q460" s="22">
        <f t="shared" si="129"/>
        <v>0</v>
      </c>
      <c r="R460" s="25"/>
      <c r="S460" s="25">
        <f t="shared" si="130"/>
        <v>0</v>
      </c>
      <c r="T460" s="25"/>
      <c r="U460" s="25">
        <f t="shared" si="133"/>
        <v>0</v>
      </c>
      <c r="V460" s="23"/>
      <c r="W460" s="23">
        <f t="shared" si="134"/>
        <v>0</v>
      </c>
      <c r="X460" s="23"/>
      <c r="Y460" s="23">
        <f t="shared" si="135"/>
        <v>0</v>
      </c>
      <c r="Z460" s="23"/>
      <c r="AA460" s="23">
        <f t="shared" si="136"/>
        <v>0</v>
      </c>
      <c r="AB460" s="23"/>
      <c r="AC460" s="23">
        <f t="shared" si="137"/>
        <v>0</v>
      </c>
      <c r="AD460" s="23"/>
      <c r="AE460" s="23">
        <f t="shared" si="138"/>
        <v>0</v>
      </c>
      <c r="AF460" s="26"/>
      <c r="AG460" s="26">
        <f t="shared" si="143"/>
        <v>0</v>
      </c>
      <c r="AH460" s="23"/>
      <c r="AI460" s="23">
        <f t="shared" si="144"/>
        <v>0</v>
      </c>
      <c r="AJ460" s="23"/>
      <c r="AK460" s="23">
        <f t="shared" si="139"/>
        <v>0</v>
      </c>
      <c r="AL460" s="23"/>
      <c r="AM460" s="26">
        <f t="shared" si="140"/>
        <v>0</v>
      </c>
      <c r="AN460" s="12">
        <f t="shared" si="141"/>
        <v>0</v>
      </c>
      <c r="AO460" s="22">
        <f t="shared" si="142"/>
        <v>0</v>
      </c>
    </row>
    <row r="461" spans="1:41" x14ac:dyDescent="0.5">
      <c r="A461" s="19">
        <v>457</v>
      </c>
      <c r="B461" s="20" t="s">
        <v>817</v>
      </c>
      <c r="C461" s="21" t="s">
        <v>818</v>
      </c>
      <c r="D461" s="16">
        <v>365</v>
      </c>
      <c r="E461" s="16">
        <v>10</v>
      </c>
      <c r="F461" s="22">
        <v>437</v>
      </c>
      <c r="G461" s="22">
        <f t="shared" si="126"/>
        <v>13599.44</v>
      </c>
      <c r="H461" s="22">
        <v>205</v>
      </c>
      <c r="I461" s="23">
        <f t="shared" si="127"/>
        <v>6644.0499999999993</v>
      </c>
      <c r="J461" s="22">
        <v>285</v>
      </c>
      <c r="K461" s="22">
        <f t="shared" si="128"/>
        <v>9407.8499999999985</v>
      </c>
      <c r="L461" s="29">
        <v>303</v>
      </c>
      <c r="M461" s="24">
        <f t="shared" si="131"/>
        <v>10641.359999999999</v>
      </c>
      <c r="N461" s="30">
        <v>296</v>
      </c>
      <c r="O461" s="23">
        <f t="shared" si="132"/>
        <v>11322</v>
      </c>
      <c r="P461" s="22">
        <v>303</v>
      </c>
      <c r="Q461" s="22">
        <f t="shared" si="129"/>
        <v>12726</v>
      </c>
      <c r="R461" s="25">
        <v>375</v>
      </c>
      <c r="S461" s="25">
        <f t="shared" si="130"/>
        <v>14512.500000000002</v>
      </c>
      <c r="T461" s="25">
        <v>459</v>
      </c>
      <c r="U461" s="25">
        <f t="shared" si="133"/>
        <v>15468.300000000001</v>
      </c>
      <c r="V461" s="23">
        <v>455</v>
      </c>
      <c r="W461" s="23">
        <f t="shared" si="134"/>
        <v>14923.999999999998</v>
      </c>
      <c r="X461" s="23">
        <v>408</v>
      </c>
      <c r="Y461" s="23">
        <f t="shared" si="135"/>
        <v>14341.199999999999</v>
      </c>
      <c r="Z461" s="23">
        <v>430</v>
      </c>
      <c r="AA461" s="23">
        <f t="shared" si="136"/>
        <v>14903.8</v>
      </c>
      <c r="AB461" s="23">
        <v>346</v>
      </c>
      <c r="AC461" s="23">
        <f t="shared" si="137"/>
        <v>12473.3</v>
      </c>
      <c r="AD461" s="23">
        <v>514</v>
      </c>
      <c r="AE461" s="23">
        <f t="shared" si="138"/>
        <v>18010.560000000001</v>
      </c>
      <c r="AF461" s="26">
        <v>496</v>
      </c>
      <c r="AG461" s="26">
        <f t="shared" si="143"/>
        <v>16953.28</v>
      </c>
      <c r="AH461" s="23">
        <v>369</v>
      </c>
      <c r="AI461" s="23">
        <f t="shared" si="144"/>
        <v>12287.699999999999</v>
      </c>
      <c r="AJ461" s="23">
        <v>445</v>
      </c>
      <c r="AK461" s="23">
        <f t="shared" si="139"/>
        <v>15997.750000000002</v>
      </c>
      <c r="AL461" s="26">
        <v>435</v>
      </c>
      <c r="AM461" s="26">
        <f t="shared" si="140"/>
        <v>15951.45</v>
      </c>
      <c r="AN461" s="12">
        <f t="shared" si="141"/>
        <v>6561</v>
      </c>
      <c r="AO461" s="22">
        <f t="shared" si="142"/>
        <v>230164.54</v>
      </c>
    </row>
    <row r="462" spans="1:41" x14ac:dyDescent="0.5">
      <c r="A462" s="19">
        <v>458</v>
      </c>
      <c r="B462" s="27" t="s">
        <v>819</v>
      </c>
      <c r="C462" s="28" t="s">
        <v>144</v>
      </c>
      <c r="D462" s="16">
        <v>384</v>
      </c>
      <c r="E462" s="16">
        <v>10</v>
      </c>
      <c r="F462" s="22"/>
      <c r="G462" s="22">
        <f t="shared" si="126"/>
        <v>0</v>
      </c>
      <c r="H462" s="22"/>
      <c r="I462" s="23">
        <f t="shared" si="127"/>
        <v>0</v>
      </c>
      <c r="J462" s="22"/>
      <c r="K462" s="22">
        <f t="shared" si="128"/>
        <v>0</v>
      </c>
      <c r="L462" s="22"/>
      <c r="M462" s="24">
        <f t="shared" si="131"/>
        <v>0</v>
      </c>
      <c r="N462" s="23"/>
      <c r="O462" s="23">
        <f t="shared" si="132"/>
        <v>0</v>
      </c>
      <c r="P462" s="22"/>
      <c r="Q462" s="22">
        <f t="shared" ref="Q462:Q525" si="145">P462*42</f>
        <v>0</v>
      </c>
      <c r="R462" s="25"/>
      <c r="S462" s="25">
        <f t="shared" ref="S462:S525" si="146">R462*38.7</f>
        <v>0</v>
      </c>
      <c r="T462" s="25"/>
      <c r="U462" s="25">
        <f t="shared" si="133"/>
        <v>0</v>
      </c>
      <c r="V462" s="23"/>
      <c r="W462" s="23">
        <f t="shared" si="134"/>
        <v>0</v>
      </c>
      <c r="X462" s="23"/>
      <c r="Y462" s="23">
        <f t="shared" si="135"/>
        <v>0</v>
      </c>
      <c r="Z462" s="23"/>
      <c r="AA462" s="23">
        <f t="shared" si="136"/>
        <v>0</v>
      </c>
      <c r="AB462" s="23"/>
      <c r="AC462" s="23">
        <f t="shared" si="137"/>
        <v>0</v>
      </c>
      <c r="AD462" s="23"/>
      <c r="AE462" s="23">
        <f t="shared" si="138"/>
        <v>0</v>
      </c>
      <c r="AF462" s="26"/>
      <c r="AG462" s="26">
        <f t="shared" si="143"/>
        <v>0</v>
      </c>
      <c r="AH462" s="23"/>
      <c r="AI462" s="23">
        <f t="shared" si="144"/>
        <v>0</v>
      </c>
      <c r="AJ462" s="23"/>
      <c r="AK462" s="23">
        <f t="shared" si="139"/>
        <v>0</v>
      </c>
      <c r="AL462" s="23"/>
      <c r="AM462" s="26">
        <f t="shared" si="140"/>
        <v>0</v>
      </c>
      <c r="AN462" s="12">
        <f t="shared" si="141"/>
        <v>0</v>
      </c>
      <c r="AO462" s="22">
        <f t="shared" si="142"/>
        <v>0</v>
      </c>
    </row>
    <row r="463" spans="1:41" x14ac:dyDescent="0.5">
      <c r="A463" s="19">
        <v>459</v>
      </c>
      <c r="B463" s="20" t="s">
        <v>820</v>
      </c>
      <c r="C463" s="21" t="s">
        <v>476</v>
      </c>
      <c r="D463" s="16">
        <v>385</v>
      </c>
      <c r="E463" s="16">
        <v>10</v>
      </c>
      <c r="F463" s="22">
        <v>341</v>
      </c>
      <c r="G463" s="22">
        <f t="shared" ref="G463:G526" si="147">F463*31.12</f>
        <v>10611.92</v>
      </c>
      <c r="H463" s="22">
        <v>268</v>
      </c>
      <c r="I463" s="23">
        <f t="shared" ref="I463:I526" si="148">H463*32.41</f>
        <v>8685.8799999999992</v>
      </c>
      <c r="J463" s="22">
        <v>324</v>
      </c>
      <c r="K463" s="22">
        <f t="shared" ref="K463:K526" si="149">J463*33.01</f>
        <v>10695.24</v>
      </c>
      <c r="L463" s="22">
        <v>175</v>
      </c>
      <c r="M463" s="24">
        <f t="shared" ref="M463:M526" si="150">L463*35.12</f>
        <v>6146</v>
      </c>
      <c r="N463" s="23">
        <v>174</v>
      </c>
      <c r="O463" s="23">
        <f t="shared" ref="O463:O526" si="151">N463*38.25</f>
        <v>6655.5</v>
      </c>
      <c r="P463" s="22">
        <v>272</v>
      </c>
      <c r="Q463" s="22">
        <f t="shared" si="145"/>
        <v>11424</v>
      </c>
      <c r="R463" s="25">
        <v>280</v>
      </c>
      <c r="S463" s="25">
        <f t="shared" si="146"/>
        <v>10836</v>
      </c>
      <c r="T463" s="25">
        <v>284</v>
      </c>
      <c r="U463" s="25">
        <f t="shared" si="133"/>
        <v>9570.8000000000011</v>
      </c>
      <c r="V463" s="23">
        <v>348</v>
      </c>
      <c r="W463" s="23">
        <f t="shared" si="134"/>
        <v>11414.4</v>
      </c>
      <c r="X463" s="23">
        <v>376</v>
      </c>
      <c r="Y463" s="23">
        <f t="shared" si="135"/>
        <v>13216.4</v>
      </c>
      <c r="Z463" s="23">
        <v>274</v>
      </c>
      <c r="AA463" s="23">
        <f t="shared" si="136"/>
        <v>9496.8399999999983</v>
      </c>
      <c r="AB463" s="23">
        <v>269</v>
      </c>
      <c r="AC463" s="23">
        <f t="shared" si="137"/>
        <v>9697.4499999999989</v>
      </c>
      <c r="AD463" s="23">
        <v>375</v>
      </c>
      <c r="AE463" s="23">
        <f t="shared" si="138"/>
        <v>13140</v>
      </c>
      <c r="AF463" s="26">
        <v>375</v>
      </c>
      <c r="AG463" s="26">
        <f t="shared" si="143"/>
        <v>12817.5</v>
      </c>
      <c r="AH463" s="23">
        <v>318</v>
      </c>
      <c r="AI463" s="23">
        <f t="shared" si="144"/>
        <v>10589.4</v>
      </c>
      <c r="AJ463" s="23">
        <v>418</v>
      </c>
      <c r="AK463" s="23">
        <f t="shared" si="139"/>
        <v>15027.1</v>
      </c>
      <c r="AL463" s="26">
        <v>402</v>
      </c>
      <c r="AM463" s="26">
        <f t="shared" si="140"/>
        <v>14741.34</v>
      </c>
      <c r="AN463" s="12">
        <f t="shared" si="141"/>
        <v>5273</v>
      </c>
      <c r="AO463" s="22">
        <f t="shared" si="142"/>
        <v>184765.77</v>
      </c>
    </row>
    <row r="464" spans="1:41" s="31" customFormat="1" x14ac:dyDescent="0.5">
      <c r="A464" s="19">
        <v>460</v>
      </c>
      <c r="B464" s="20" t="s">
        <v>821</v>
      </c>
      <c r="C464" s="21" t="s">
        <v>822</v>
      </c>
      <c r="D464" s="16">
        <v>415</v>
      </c>
      <c r="E464" s="16">
        <v>10</v>
      </c>
      <c r="F464" s="22">
        <v>629</v>
      </c>
      <c r="G464" s="22">
        <f t="shared" si="147"/>
        <v>19574.48</v>
      </c>
      <c r="H464" s="22"/>
      <c r="I464" s="23">
        <f t="shared" si="148"/>
        <v>0</v>
      </c>
      <c r="J464" s="22">
        <v>470</v>
      </c>
      <c r="K464" s="22">
        <f t="shared" si="149"/>
        <v>15514.699999999999</v>
      </c>
      <c r="L464" s="22">
        <v>463</v>
      </c>
      <c r="M464" s="24">
        <f t="shared" si="150"/>
        <v>16260.56</v>
      </c>
      <c r="N464" s="23">
        <v>527</v>
      </c>
      <c r="O464" s="23">
        <f t="shared" si="151"/>
        <v>20157.75</v>
      </c>
      <c r="P464" s="22">
        <v>804</v>
      </c>
      <c r="Q464" s="22">
        <f t="shared" si="145"/>
        <v>33768</v>
      </c>
      <c r="R464" s="25">
        <v>751</v>
      </c>
      <c r="S464" s="25">
        <f t="shared" si="146"/>
        <v>29063.7</v>
      </c>
      <c r="T464" s="25">
        <v>864</v>
      </c>
      <c r="U464" s="25">
        <f t="shared" si="133"/>
        <v>29116.800000000003</v>
      </c>
      <c r="V464" s="23">
        <v>2210</v>
      </c>
      <c r="W464" s="23">
        <f t="shared" si="134"/>
        <v>72488</v>
      </c>
      <c r="X464" s="23">
        <v>1200</v>
      </c>
      <c r="Y464" s="23">
        <f t="shared" si="135"/>
        <v>42180</v>
      </c>
      <c r="Z464" s="23">
        <v>1143</v>
      </c>
      <c r="AA464" s="23">
        <f t="shared" si="136"/>
        <v>39616.379999999997</v>
      </c>
      <c r="AB464" s="23">
        <v>984</v>
      </c>
      <c r="AC464" s="23">
        <f t="shared" si="137"/>
        <v>35473.199999999997</v>
      </c>
      <c r="AD464" s="23">
        <v>1085</v>
      </c>
      <c r="AE464" s="23">
        <f t="shared" si="138"/>
        <v>38018.400000000001</v>
      </c>
      <c r="AF464" s="26">
        <v>1171</v>
      </c>
      <c r="AG464" s="26">
        <f t="shared" si="143"/>
        <v>40024.78</v>
      </c>
      <c r="AH464" s="23">
        <v>1059</v>
      </c>
      <c r="AI464" s="23">
        <f t="shared" si="144"/>
        <v>35264.699999999997</v>
      </c>
      <c r="AJ464" s="23">
        <v>1164</v>
      </c>
      <c r="AK464" s="23">
        <f t="shared" si="139"/>
        <v>41845.800000000003</v>
      </c>
      <c r="AL464" s="26">
        <v>1277</v>
      </c>
      <c r="AM464" s="26">
        <f t="shared" si="140"/>
        <v>46827.590000000004</v>
      </c>
      <c r="AN464" s="12">
        <f t="shared" si="141"/>
        <v>15801</v>
      </c>
      <c r="AO464" s="22">
        <f t="shared" si="142"/>
        <v>555194.84</v>
      </c>
    </row>
    <row r="465" spans="1:41" x14ac:dyDescent="0.5">
      <c r="A465" s="19">
        <v>461</v>
      </c>
      <c r="B465" s="20" t="s">
        <v>823</v>
      </c>
      <c r="C465" s="21" t="s">
        <v>822</v>
      </c>
      <c r="D465" s="16">
        <v>417</v>
      </c>
      <c r="E465" s="16">
        <v>10</v>
      </c>
      <c r="F465" s="22">
        <v>1225</v>
      </c>
      <c r="G465" s="22">
        <f t="shared" si="147"/>
        <v>38122</v>
      </c>
      <c r="H465" s="22">
        <v>884</v>
      </c>
      <c r="I465" s="23">
        <f t="shared" si="148"/>
        <v>28650.44</v>
      </c>
      <c r="J465" s="22"/>
      <c r="K465" s="22">
        <f t="shared" si="149"/>
        <v>0</v>
      </c>
      <c r="L465" s="22"/>
      <c r="M465" s="24">
        <f t="shared" si="150"/>
        <v>0</v>
      </c>
      <c r="N465" s="23">
        <v>201</v>
      </c>
      <c r="O465" s="23">
        <f t="shared" si="151"/>
        <v>7688.25</v>
      </c>
      <c r="P465" s="22">
        <v>1011</v>
      </c>
      <c r="Q465" s="22">
        <f t="shared" si="145"/>
        <v>42462</v>
      </c>
      <c r="R465" s="25">
        <v>1076</v>
      </c>
      <c r="S465" s="25">
        <f t="shared" si="146"/>
        <v>41641.200000000004</v>
      </c>
      <c r="T465" s="25">
        <v>1325</v>
      </c>
      <c r="U465" s="25">
        <f t="shared" si="133"/>
        <v>44652.500000000007</v>
      </c>
      <c r="V465" s="23">
        <v>2128</v>
      </c>
      <c r="W465" s="23">
        <f t="shared" si="134"/>
        <v>69798.399999999994</v>
      </c>
      <c r="X465" s="23">
        <v>1609</v>
      </c>
      <c r="Y465" s="23">
        <f t="shared" si="135"/>
        <v>56556.35</v>
      </c>
      <c r="Z465" s="23">
        <v>1244</v>
      </c>
      <c r="AA465" s="23">
        <f t="shared" si="136"/>
        <v>43117.039999999994</v>
      </c>
      <c r="AB465" s="23">
        <v>1349</v>
      </c>
      <c r="AC465" s="23">
        <f t="shared" si="137"/>
        <v>48631.45</v>
      </c>
      <c r="AD465" s="23">
        <v>1638</v>
      </c>
      <c r="AE465" s="23">
        <f t="shared" si="138"/>
        <v>57395.519999999997</v>
      </c>
      <c r="AF465" s="26">
        <v>1894</v>
      </c>
      <c r="AG465" s="26">
        <f t="shared" si="143"/>
        <v>64736.92</v>
      </c>
      <c r="AH465" s="23">
        <v>1394</v>
      </c>
      <c r="AI465" s="23">
        <f t="shared" si="144"/>
        <v>46420.2</v>
      </c>
      <c r="AJ465" s="23">
        <v>2609</v>
      </c>
      <c r="AK465" s="23">
        <f t="shared" si="139"/>
        <v>93793.55</v>
      </c>
      <c r="AL465" s="26">
        <v>1644</v>
      </c>
      <c r="AM465" s="26">
        <f t="shared" si="140"/>
        <v>60285.48</v>
      </c>
      <c r="AN465" s="12">
        <f t="shared" si="141"/>
        <v>21231</v>
      </c>
      <c r="AO465" s="22">
        <f t="shared" si="142"/>
        <v>743951.3</v>
      </c>
    </row>
    <row r="466" spans="1:41" s="31" customFormat="1" x14ac:dyDescent="0.5">
      <c r="A466" s="19">
        <v>462</v>
      </c>
      <c r="B466" s="27" t="s">
        <v>544</v>
      </c>
      <c r="C466" s="28" t="s">
        <v>824</v>
      </c>
      <c r="D466" s="16">
        <v>432</v>
      </c>
      <c r="E466" s="16">
        <v>10</v>
      </c>
      <c r="F466" s="22"/>
      <c r="G466" s="22">
        <f t="shared" si="147"/>
        <v>0</v>
      </c>
      <c r="H466" s="22"/>
      <c r="I466" s="23">
        <f t="shared" si="148"/>
        <v>0</v>
      </c>
      <c r="J466" s="22"/>
      <c r="K466" s="22">
        <f t="shared" si="149"/>
        <v>0</v>
      </c>
      <c r="L466" s="22"/>
      <c r="M466" s="24">
        <f t="shared" si="150"/>
        <v>0</v>
      </c>
      <c r="N466" s="23"/>
      <c r="O466" s="23">
        <f t="shared" si="151"/>
        <v>0</v>
      </c>
      <c r="P466" s="22"/>
      <c r="Q466" s="22">
        <f t="shared" si="145"/>
        <v>0</v>
      </c>
      <c r="R466" s="25"/>
      <c r="S466" s="25">
        <f t="shared" si="146"/>
        <v>0</v>
      </c>
      <c r="T466" s="25"/>
      <c r="U466" s="25">
        <f t="shared" si="133"/>
        <v>0</v>
      </c>
      <c r="V466" s="23"/>
      <c r="W466" s="23">
        <f t="shared" si="134"/>
        <v>0</v>
      </c>
      <c r="X466" s="23"/>
      <c r="Y466" s="23">
        <f t="shared" si="135"/>
        <v>0</v>
      </c>
      <c r="Z466" s="23"/>
      <c r="AA466" s="23">
        <f t="shared" si="136"/>
        <v>0</v>
      </c>
      <c r="AB466" s="23"/>
      <c r="AC466" s="23">
        <f t="shared" si="137"/>
        <v>0</v>
      </c>
      <c r="AD466" s="23"/>
      <c r="AE466" s="23">
        <f t="shared" si="138"/>
        <v>0</v>
      </c>
      <c r="AF466" s="26"/>
      <c r="AG466" s="26">
        <f t="shared" si="143"/>
        <v>0</v>
      </c>
      <c r="AH466" s="23"/>
      <c r="AI466" s="23">
        <f t="shared" si="144"/>
        <v>0</v>
      </c>
      <c r="AJ466" s="23"/>
      <c r="AK466" s="23">
        <f t="shared" si="139"/>
        <v>0</v>
      </c>
      <c r="AL466" s="23"/>
      <c r="AM466" s="26">
        <f t="shared" si="140"/>
        <v>0</v>
      </c>
      <c r="AN466" s="12">
        <f t="shared" si="141"/>
        <v>0</v>
      </c>
      <c r="AO466" s="22">
        <f t="shared" si="142"/>
        <v>0</v>
      </c>
    </row>
    <row r="467" spans="1:41" s="31" customFormat="1" x14ac:dyDescent="0.5">
      <c r="A467" s="19">
        <v>463</v>
      </c>
      <c r="B467" s="20" t="s">
        <v>825</v>
      </c>
      <c r="C467" s="21" t="s">
        <v>826</v>
      </c>
      <c r="D467" s="16">
        <v>433</v>
      </c>
      <c r="E467" s="16">
        <v>10</v>
      </c>
      <c r="F467" s="22">
        <v>360</v>
      </c>
      <c r="G467" s="22">
        <f t="shared" si="147"/>
        <v>11203.2</v>
      </c>
      <c r="H467" s="22"/>
      <c r="I467" s="23">
        <f t="shared" si="148"/>
        <v>0</v>
      </c>
      <c r="J467" s="22">
        <v>210</v>
      </c>
      <c r="K467" s="22">
        <f t="shared" si="149"/>
        <v>6932.0999999999995</v>
      </c>
      <c r="L467" s="22"/>
      <c r="M467" s="24">
        <f t="shared" si="150"/>
        <v>0</v>
      </c>
      <c r="N467" s="23">
        <v>215</v>
      </c>
      <c r="O467" s="23">
        <f t="shared" si="151"/>
        <v>8223.75</v>
      </c>
      <c r="P467" s="22">
        <v>228</v>
      </c>
      <c r="Q467" s="22">
        <f t="shared" si="145"/>
        <v>9576</v>
      </c>
      <c r="R467" s="25">
        <v>175</v>
      </c>
      <c r="S467" s="25">
        <f t="shared" si="146"/>
        <v>6772.5000000000009</v>
      </c>
      <c r="T467" s="25">
        <v>236</v>
      </c>
      <c r="U467" s="25">
        <f t="shared" si="133"/>
        <v>7953.2000000000007</v>
      </c>
      <c r="V467" s="23"/>
      <c r="W467" s="23">
        <f t="shared" si="134"/>
        <v>0</v>
      </c>
      <c r="X467" s="23">
        <v>177</v>
      </c>
      <c r="Y467" s="23">
        <f t="shared" si="135"/>
        <v>6221.55</v>
      </c>
      <c r="Z467" s="23">
        <v>179</v>
      </c>
      <c r="AA467" s="23">
        <f t="shared" si="136"/>
        <v>6204.1399999999994</v>
      </c>
      <c r="AB467" s="23"/>
      <c r="AC467" s="23">
        <f t="shared" si="137"/>
        <v>0</v>
      </c>
      <c r="AD467" s="23">
        <v>208</v>
      </c>
      <c r="AE467" s="23">
        <f t="shared" si="138"/>
        <v>7288.32</v>
      </c>
      <c r="AF467" s="26">
        <v>213</v>
      </c>
      <c r="AG467" s="26">
        <f t="shared" si="143"/>
        <v>7280.34</v>
      </c>
      <c r="AH467" s="23">
        <v>198</v>
      </c>
      <c r="AI467" s="23">
        <f t="shared" si="144"/>
        <v>6593.4</v>
      </c>
      <c r="AJ467" s="23">
        <v>302</v>
      </c>
      <c r="AK467" s="23">
        <f t="shared" si="139"/>
        <v>10856.900000000001</v>
      </c>
      <c r="AL467" s="26">
        <v>312</v>
      </c>
      <c r="AM467" s="26">
        <f t="shared" si="140"/>
        <v>11441.04</v>
      </c>
      <c r="AN467" s="12">
        <f t="shared" si="141"/>
        <v>3013</v>
      </c>
      <c r="AO467" s="22">
        <f t="shared" si="142"/>
        <v>106546.44</v>
      </c>
    </row>
    <row r="468" spans="1:41" x14ac:dyDescent="0.5">
      <c r="A468" s="19">
        <v>464</v>
      </c>
      <c r="B468" s="27" t="s">
        <v>227</v>
      </c>
      <c r="C468" s="28" t="s">
        <v>827</v>
      </c>
      <c r="D468" s="16">
        <v>482</v>
      </c>
      <c r="E468" s="16">
        <v>10</v>
      </c>
      <c r="F468" s="22">
        <v>597</v>
      </c>
      <c r="G468" s="22">
        <f t="shared" si="147"/>
        <v>18578.64</v>
      </c>
      <c r="H468" s="22">
        <v>371</v>
      </c>
      <c r="I468" s="23">
        <f t="shared" si="148"/>
        <v>12024.109999999999</v>
      </c>
      <c r="J468" s="22"/>
      <c r="K468" s="22">
        <f t="shared" si="149"/>
        <v>0</v>
      </c>
      <c r="L468" s="29"/>
      <c r="M468" s="24">
        <f t="shared" si="150"/>
        <v>0</v>
      </c>
      <c r="N468" s="30"/>
      <c r="O468" s="23">
        <f t="shared" si="151"/>
        <v>0</v>
      </c>
      <c r="P468" s="22">
        <v>567</v>
      </c>
      <c r="Q468" s="22">
        <f t="shared" si="145"/>
        <v>23814</v>
      </c>
      <c r="R468" s="25">
        <v>290</v>
      </c>
      <c r="S468" s="25">
        <f t="shared" si="146"/>
        <v>11223</v>
      </c>
      <c r="T468" s="25">
        <v>695</v>
      </c>
      <c r="U468" s="25">
        <f t="shared" si="133"/>
        <v>23421.500000000004</v>
      </c>
      <c r="V468" s="23">
        <v>322</v>
      </c>
      <c r="W468" s="23">
        <f t="shared" si="134"/>
        <v>10561.599999999999</v>
      </c>
      <c r="X468" s="23">
        <v>672</v>
      </c>
      <c r="Y468" s="23">
        <f t="shared" si="135"/>
        <v>23620.799999999999</v>
      </c>
      <c r="Z468" s="23">
        <v>308</v>
      </c>
      <c r="AA468" s="23">
        <f t="shared" si="136"/>
        <v>10675.279999999999</v>
      </c>
      <c r="AB468" s="23">
        <v>578</v>
      </c>
      <c r="AC468" s="23">
        <f t="shared" si="137"/>
        <v>20836.899999999998</v>
      </c>
      <c r="AD468" s="23">
        <v>766</v>
      </c>
      <c r="AE468" s="23">
        <f t="shared" si="138"/>
        <v>26840.639999999999</v>
      </c>
      <c r="AF468" s="26">
        <v>578</v>
      </c>
      <c r="AG468" s="26">
        <f t="shared" si="143"/>
        <v>19756.04</v>
      </c>
      <c r="AH468" s="23">
        <v>602</v>
      </c>
      <c r="AI468" s="23">
        <f t="shared" si="144"/>
        <v>20046.599999999999</v>
      </c>
      <c r="AJ468" s="23">
        <v>747</v>
      </c>
      <c r="AK468" s="23">
        <f t="shared" si="139"/>
        <v>26854.65</v>
      </c>
      <c r="AL468" s="23">
        <v>232</v>
      </c>
      <c r="AM468" s="26">
        <f t="shared" si="140"/>
        <v>8507.44</v>
      </c>
      <c r="AN468" s="12">
        <f t="shared" si="141"/>
        <v>7325</v>
      </c>
      <c r="AO468" s="22">
        <f t="shared" si="142"/>
        <v>256761.19999999998</v>
      </c>
    </row>
    <row r="469" spans="1:41" x14ac:dyDescent="0.5">
      <c r="A469" s="19">
        <v>465</v>
      </c>
      <c r="B469" s="27" t="s">
        <v>828</v>
      </c>
      <c r="C469" s="28" t="s">
        <v>829</v>
      </c>
      <c r="D469" s="16">
        <v>483</v>
      </c>
      <c r="E469" s="16">
        <v>10</v>
      </c>
      <c r="F469" s="22">
        <v>1812</v>
      </c>
      <c r="G469" s="22">
        <f t="shared" si="147"/>
        <v>56389.440000000002</v>
      </c>
      <c r="H469" s="22">
        <v>1166</v>
      </c>
      <c r="I469" s="23">
        <f t="shared" si="148"/>
        <v>37790.06</v>
      </c>
      <c r="J469" s="22">
        <v>622</v>
      </c>
      <c r="K469" s="22">
        <f t="shared" si="149"/>
        <v>20532.219999999998</v>
      </c>
      <c r="L469" s="22"/>
      <c r="M469" s="24">
        <f t="shared" si="150"/>
        <v>0</v>
      </c>
      <c r="N469" s="23">
        <v>321</v>
      </c>
      <c r="O469" s="23">
        <f t="shared" si="151"/>
        <v>12278.25</v>
      </c>
      <c r="P469" s="22">
        <v>537</v>
      </c>
      <c r="Q469" s="22">
        <f t="shared" si="145"/>
        <v>22554</v>
      </c>
      <c r="R469" s="25">
        <v>342</v>
      </c>
      <c r="S469" s="25">
        <f t="shared" si="146"/>
        <v>13235.400000000001</v>
      </c>
      <c r="T469" s="25">
        <v>497</v>
      </c>
      <c r="U469" s="25">
        <f t="shared" si="133"/>
        <v>16748.900000000001</v>
      </c>
      <c r="V469" s="23">
        <v>570</v>
      </c>
      <c r="W469" s="23">
        <f t="shared" si="134"/>
        <v>18696</v>
      </c>
      <c r="X469" s="23">
        <v>477</v>
      </c>
      <c r="Y469" s="23">
        <f t="shared" si="135"/>
        <v>16766.55</v>
      </c>
      <c r="Z469" s="23"/>
      <c r="AA469" s="23">
        <f t="shared" si="136"/>
        <v>0</v>
      </c>
      <c r="AB469" s="23"/>
      <c r="AC469" s="23">
        <f t="shared" si="137"/>
        <v>0</v>
      </c>
      <c r="AD469" s="23">
        <v>529</v>
      </c>
      <c r="AE469" s="23">
        <f t="shared" si="138"/>
        <v>18536.16</v>
      </c>
      <c r="AF469" s="26">
        <v>714</v>
      </c>
      <c r="AG469" s="26">
        <f t="shared" si="143"/>
        <v>24404.52</v>
      </c>
      <c r="AH469" s="23">
        <v>562</v>
      </c>
      <c r="AI469" s="23">
        <f t="shared" si="144"/>
        <v>18714.599999999999</v>
      </c>
      <c r="AJ469" s="23">
        <v>669</v>
      </c>
      <c r="AK469" s="23">
        <f t="shared" si="139"/>
        <v>24050.550000000003</v>
      </c>
      <c r="AL469" s="23"/>
      <c r="AM469" s="26">
        <f t="shared" si="140"/>
        <v>0</v>
      </c>
      <c r="AN469" s="12">
        <f t="shared" si="141"/>
        <v>8818</v>
      </c>
      <c r="AO469" s="22">
        <f t="shared" si="142"/>
        <v>300696.64999999997</v>
      </c>
    </row>
    <row r="470" spans="1:41" s="31" customFormat="1" x14ac:dyDescent="0.5">
      <c r="A470" s="19">
        <v>466</v>
      </c>
      <c r="B470" s="20" t="s">
        <v>830</v>
      </c>
      <c r="C470" s="21" t="s">
        <v>831</v>
      </c>
      <c r="D470" s="16">
        <v>486</v>
      </c>
      <c r="E470" s="16">
        <v>10</v>
      </c>
      <c r="F470" s="22"/>
      <c r="G470" s="22">
        <f t="shared" si="147"/>
        <v>0</v>
      </c>
      <c r="H470" s="22"/>
      <c r="I470" s="23">
        <f t="shared" si="148"/>
        <v>0</v>
      </c>
      <c r="J470" s="22"/>
      <c r="K470" s="22">
        <f t="shared" si="149"/>
        <v>0</v>
      </c>
      <c r="L470" s="22"/>
      <c r="M470" s="24">
        <f t="shared" si="150"/>
        <v>0</v>
      </c>
      <c r="N470" s="23"/>
      <c r="O470" s="23">
        <f t="shared" si="151"/>
        <v>0</v>
      </c>
      <c r="P470" s="22"/>
      <c r="Q470" s="22">
        <f t="shared" si="145"/>
        <v>0</v>
      </c>
      <c r="R470" s="25"/>
      <c r="S470" s="25">
        <f t="shared" si="146"/>
        <v>0</v>
      </c>
      <c r="T470" s="25"/>
      <c r="U470" s="25">
        <f t="shared" si="133"/>
        <v>0</v>
      </c>
      <c r="V470" s="23"/>
      <c r="W470" s="23">
        <f t="shared" si="134"/>
        <v>0</v>
      </c>
      <c r="X470" s="23"/>
      <c r="Y470" s="23">
        <f t="shared" si="135"/>
        <v>0</v>
      </c>
      <c r="Z470" s="23"/>
      <c r="AA470" s="23">
        <f t="shared" si="136"/>
        <v>0</v>
      </c>
      <c r="AB470" s="23">
        <v>1033</v>
      </c>
      <c r="AC470" s="23">
        <f t="shared" si="137"/>
        <v>37239.649999999994</v>
      </c>
      <c r="AD470" s="23"/>
      <c r="AE470" s="23">
        <f t="shared" si="138"/>
        <v>0</v>
      </c>
      <c r="AF470" s="26"/>
      <c r="AG470" s="26">
        <f t="shared" si="143"/>
        <v>0</v>
      </c>
      <c r="AH470" s="23">
        <v>985</v>
      </c>
      <c r="AI470" s="23">
        <f t="shared" si="144"/>
        <v>32800.5</v>
      </c>
      <c r="AJ470" s="23">
        <v>1520</v>
      </c>
      <c r="AK470" s="23">
        <f t="shared" si="139"/>
        <v>54644.000000000007</v>
      </c>
      <c r="AL470" s="26"/>
      <c r="AM470" s="26">
        <f t="shared" si="140"/>
        <v>0</v>
      </c>
      <c r="AN470" s="12">
        <f t="shared" si="141"/>
        <v>3538</v>
      </c>
      <c r="AO470" s="22">
        <f t="shared" si="142"/>
        <v>124684.15</v>
      </c>
    </row>
    <row r="471" spans="1:41" x14ac:dyDescent="0.5">
      <c r="A471" s="19">
        <v>467</v>
      </c>
      <c r="B471" s="20" t="s">
        <v>832</v>
      </c>
      <c r="C471" s="21" t="s">
        <v>833</v>
      </c>
      <c r="D471" s="16">
        <v>631</v>
      </c>
      <c r="E471" s="16">
        <v>10</v>
      </c>
      <c r="F471" s="22">
        <v>1333</v>
      </c>
      <c r="G471" s="22">
        <f t="shared" si="147"/>
        <v>41482.959999999999</v>
      </c>
      <c r="H471" s="22">
        <v>166</v>
      </c>
      <c r="I471" s="23">
        <f t="shared" si="148"/>
        <v>5380.0599999999995</v>
      </c>
      <c r="J471" s="22"/>
      <c r="K471" s="22">
        <f t="shared" si="149"/>
        <v>0</v>
      </c>
      <c r="L471" s="22">
        <v>302</v>
      </c>
      <c r="M471" s="24">
        <f t="shared" si="150"/>
        <v>10606.24</v>
      </c>
      <c r="N471" s="23">
        <v>150</v>
      </c>
      <c r="O471" s="23">
        <f t="shared" si="151"/>
        <v>5737.5</v>
      </c>
      <c r="P471" s="22">
        <v>752</v>
      </c>
      <c r="Q471" s="22">
        <f t="shared" si="145"/>
        <v>31584</v>
      </c>
      <c r="R471" s="25">
        <v>164</v>
      </c>
      <c r="S471" s="25">
        <f t="shared" si="146"/>
        <v>6346.8</v>
      </c>
      <c r="T471" s="25">
        <v>787</v>
      </c>
      <c r="U471" s="25">
        <f t="shared" si="133"/>
        <v>26521.9</v>
      </c>
      <c r="V471" s="23">
        <v>729</v>
      </c>
      <c r="W471" s="23">
        <f t="shared" si="134"/>
        <v>23911.199999999997</v>
      </c>
      <c r="X471" s="23"/>
      <c r="Y471" s="23">
        <f t="shared" si="135"/>
        <v>0</v>
      </c>
      <c r="Z471" s="23">
        <v>309</v>
      </c>
      <c r="AA471" s="23">
        <f t="shared" si="136"/>
        <v>10709.939999999999</v>
      </c>
      <c r="AB471" s="23">
        <v>535</v>
      </c>
      <c r="AC471" s="23">
        <f t="shared" si="137"/>
        <v>19286.75</v>
      </c>
      <c r="AD471" s="23">
        <v>599</v>
      </c>
      <c r="AE471" s="23">
        <f t="shared" si="138"/>
        <v>20988.959999999999</v>
      </c>
      <c r="AF471" s="26">
        <v>847</v>
      </c>
      <c r="AG471" s="26">
        <f t="shared" si="143"/>
        <v>28950.46</v>
      </c>
      <c r="AH471" s="23">
        <v>347</v>
      </c>
      <c r="AI471" s="23">
        <f t="shared" si="144"/>
        <v>11555.099999999999</v>
      </c>
      <c r="AJ471" s="23">
        <v>370</v>
      </c>
      <c r="AK471" s="23">
        <f t="shared" si="139"/>
        <v>13301.500000000002</v>
      </c>
      <c r="AL471" s="26">
        <v>707</v>
      </c>
      <c r="AM471" s="26">
        <f t="shared" si="140"/>
        <v>25925.690000000002</v>
      </c>
      <c r="AN471" s="12">
        <f t="shared" si="141"/>
        <v>8097</v>
      </c>
      <c r="AO471" s="22">
        <f t="shared" si="142"/>
        <v>282289.05999999994</v>
      </c>
    </row>
    <row r="472" spans="1:41" x14ac:dyDescent="0.5">
      <c r="A472" s="19">
        <v>468</v>
      </c>
      <c r="B472" s="27" t="s">
        <v>834</v>
      </c>
      <c r="C472" s="28" t="s">
        <v>822</v>
      </c>
      <c r="D472" s="16">
        <v>643</v>
      </c>
      <c r="E472" s="16">
        <v>10</v>
      </c>
      <c r="F472" s="22"/>
      <c r="G472" s="22">
        <f t="shared" si="147"/>
        <v>0</v>
      </c>
      <c r="H472" s="22"/>
      <c r="I472" s="23">
        <f t="shared" si="148"/>
        <v>0</v>
      </c>
      <c r="J472" s="22"/>
      <c r="K472" s="22">
        <f t="shared" si="149"/>
        <v>0</v>
      </c>
      <c r="L472" s="22"/>
      <c r="M472" s="24">
        <f t="shared" si="150"/>
        <v>0</v>
      </c>
      <c r="N472" s="23"/>
      <c r="O472" s="23">
        <f t="shared" si="151"/>
        <v>0</v>
      </c>
      <c r="P472" s="22"/>
      <c r="Q472" s="22">
        <f t="shared" si="145"/>
        <v>0</v>
      </c>
      <c r="R472" s="25"/>
      <c r="S472" s="25">
        <f t="shared" si="146"/>
        <v>0</v>
      </c>
      <c r="T472" s="25"/>
      <c r="U472" s="25">
        <f t="shared" si="133"/>
        <v>0</v>
      </c>
      <c r="V472" s="23"/>
      <c r="W472" s="23">
        <f t="shared" si="134"/>
        <v>0</v>
      </c>
      <c r="X472" s="23"/>
      <c r="Y472" s="23">
        <f t="shared" si="135"/>
        <v>0</v>
      </c>
      <c r="Z472" s="23"/>
      <c r="AA472" s="23">
        <f t="shared" si="136"/>
        <v>0</v>
      </c>
      <c r="AB472" s="23"/>
      <c r="AC472" s="23">
        <f t="shared" si="137"/>
        <v>0</v>
      </c>
      <c r="AD472" s="23"/>
      <c r="AE472" s="23">
        <f t="shared" si="138"/>
        <v>0</v>
      </c>
      <c r="AF472" s="26"/>
      <c r="AG472" s="26">
        <f t="shared" si="143"/>
        <v>0</v>
      </c>
      <c r="AH472" s="23"/>
      <c r="AI472" s="23">
        <f t="shared" si="144"/>
        <v>0</v>
      </c>
      <c r="AJ472" s="23"/>
      <c r="AK472" s="23">
        <f t="shared" si="139"/>
        <v>0</v>
      </c>
      <c r="AL472" s="23"/>
      <c r="AM472" s="26">
        <f t="shared" si="140"/>
        <v>0</v>
      </c>
      <c r="AN472" s="12">
        <f t="shared" si="141"/>
        <v>0</v>
      </c>
      <c r="AO472" s="22">
        <f t="shared" si="142"/>
        <v>0</v>
      </c>
    </row>
    <row r="473" spans="1:41" x14ac:dyDescent="0.5">
      <c r="A473" s="19">
        <v>469</v>
      </c>
      <c r="B473" s="20" t="s">
        <v>835</v>
      </c>
      <c r="C473" s="21" t="s">
        <v>836</v>
      </c>
      <c r="D473" s="16">
        <v>644</v>
      </c>
      <c r="E473" s="16">
        <v>10</v>
      </c>
      <c r="F473" s="22"/>
      <c r="G473" s="22">
        <f t="shared" si="147"/>
        <v>0</v>
      </c>
      <c r="H473" s="22">
        <v>100</v>
      </c>
      <c r="I473" s="23">
        <f t="shared" si="148"/>
        <v>3240.9999999999995</v>
      </c>
      <c r="J473" s="22"/>
      <c r="K473" s="22">
        <f t="shared" si="149"/>
        <v>0</v>
      </c>
      <c r="L473" s="22"/>
      <c r="M473" s="24">
        <f t="shared" si="150"/>
        <v>0</v>
      </c>
      <c r="N473" s="23"/>
      <c r="O473" s="23">
        <f t="shared" si="151"/>
        <v>0</v>
      </c>
      <c r="P473" s="22"/>
      <c r="Q473" s="22">
        <f t="shared" si="145"/>
        <v>0</v>
      </c>
      <c r="R473" s="25"/>
      <c r="S473" s="25">
        <f t="shared" si="146"/>
        <v>0</v>
      </c>
      <c r="T473" s="25">
        <v>466</v>
      </c>
      <c r="U473" s="25">
        <f t="shared" si="133"/>
        <v>15704.2</v>
      </c>
      <c r="V473" s="23">
        <v>166</v>
      </c>
      <c r="W473" s="23">
        <f t="shared" si="134"/>
        <v>5444.7999999999993</v>
      </c>
      <c r="X473" s="23">
        <v>289</v>
      </c>
      <c r="Y473" s="23">
        <f t="shared" si="135"/>
        <v>10158.35</v>
      </c>
      <c r="Z473" s="23">
        <v>364</v>
      </c>
      <c r="AA473" s="23">
        <f t="shared" si="136"/>
        <v>12616.239999999998</v>
      </c>
      <c r="AB473" s="23">
        <v>331</v>
      </c>
      <c r="AC473" s="23">
        <f t="shared" si="137"/>
        <v>11932.55</v>
      </c>
      <c r="AD473" s="23">
        <v>417</v>
      </c>
      <c r="AE473" s="23">
        <f t="shared" si="138"/>
        <v>14611.68</v>
      </c>
      <c r="AF473" s="26">
        <v>254</v>
      </c>
      <c r="AG473" s="26">
        <f t="shared" si="143"/>
        <v>8681.7199999999993</v>
      </c>
      <c r="AH473" s="23">
        <v>191</v>
      </c>
      <c r="AI473" s="23">
        <f t="shared" si="144"/>
        <v>6360.2999999999993</v>
      </c>
      <c r="AJ473" s="23">
        <v>209</v>
      </c>
      <c r="AK473" s="23">
        <f t="shared" si="139"/>
        <v>7513.55</v>
      </c>
      <c r="AL473" s="26">
        <v>182</v>
      </c>
      <c r="AM473" s="26">
        <f t="shared" si="140"/>
        <v>6673.9400000000005</v>
      </c>
      <c r="AN473" s="12">
        <f t="shared" si="141"/>
        <v>2969</v>
      </c>
      <c r="AO473" s="22">
        <f t="shared" si="142"/>
        <v>102938.33000000002</v>
      </c>
    </row>
    <row r="474" spans="1:41" x14ac:dyDescent="0.5">
      <c r="A474" s="19">
        <v>470</v>
      </c>
      <c r="B474" s="20" t="s">
        <v>837</v>
      </c>
      <c r="C474" s="21" t="s">
        <v>838</v>
      </c>
      <c r="D474" s="16">
        <v>645</v>
      </c>
      <c r="E474" s="16">
        <v>10</v>
      </c>
      <c r="F474" s="22">
        <v>1077</v>
      </c>
      <c r="G474" s="22">
        <f t="shared" si="147"/>
        <v>33516.239999999998</v>
      </c>
      <c r="H474" s="22">
        <v>434</v>
      </c>
      <c r="I474" s="23">
        <f t="shared" si="148"/>
        <v>14065.939999999999</v>
      </c>
      <c r="J474" s="22">
        <v>328</v>
      </c>
      <c r="K474" s="22">
        <f t="shared" si="149"/>
        <v>10827.279999999999</v>
      </c>
      <c r="L474" s="29"/>
      <c r="M474" s="24">
        <f t="shared" si="150"/>
        <v>0</v>
      </c>
      <c r="N474" s="30">
        <v>208</v>
      </c>
      <c r="O474" s="23">
        <f t="shared" si="151"/>
        <v>7956</v>
      </c>
      <c r="P474" s="22">
        <v>841</v>
      </c>
      <c r="Q474" s="22">
        <f t="shared" si="145"/>
        <v>35322</v>
      </c>
      <c r="R474" s="25">
        <v>861</v>
      </c>
      <c r="S474" s="25">
        <f t="shared" si="146"/>
        <v>33320.700000000004</v>
      </c>
      <c r="T474" s="25">
        <v>934</v>
      </c>
      <c r="U474" s="25">
        <f t="shared" si="133"/>
        <v>31475.800000000003</v>
      </c>
      <c r="V474" s="23">
        <v>1034</v>
      </c>
      <c r="W474" s="23">
        <f t="shared" si="134"/>
        <v>33915.199999999997</v>
      </c>
      <c r="X474" s="23">
        <v>1237</v>
      </c>
      <c r="Y474" s="23">
        <f t="shared" si="135"/>
        <v>43480.549999999996</v>
      </c>
      <c r="Z474" s="23">
        <v>904</v>
      </c>
      <c r="AA474" s="23">
        <f t="shared" si="136"/>
        <v>31332.639999999996</v>
      </c>
      <c r="AB474" s="23">
        <v>1020</v>
      </c>
      <c r="AC474" s="23">
        <f t="shared" si="137"/>
        <v>36771</v>
      </c>
      <c r="AD474" s="23">
        <v>982</v>
      </c>
      <c r="AE474" s="23">
        <f t="shared" si="138"/>
        <v>34409.279999999999</v>
      </c>
      <c r="AF474" s="26">
        <v>1241</v>
      </c>
      <c r="AG474" s="26">
        <f t="shared" si="143"/>
        <v>42417.38</v>
      </c>
      <c r="AH474" s="23">
        <v>1036</v>
      </c>
      <c r="AI474" s="23">
        <f t="shared" si="144"/>
        <v>34498.799999999996</v>
      </c>
      <c r="AJ474" s="23">
        <v>1123</v>
      </c>
      <c r="AK474" s="23">
        <f t="shared" si="139"/>
        <v>40371.850000000006</v>
      </c>
      <c r="AL474" s="26">
        <v>1228</v>
      </c>
      <c r="AM474" s="26">
        <f t="shared" si="140"/>
        <v>45030.76</v>
      </c>
      <c r="AN474" s="12">
        <f t="shared" si="141"/>
        <v>14488</v>
      </c>
      <c r="AO474" s="22">
        <f t="shared" si="142"/>
        <v>508711.42000000004</v>
      </c>
    </row>
    <row r="475" spans="1:41" x14ac:dyDescent="0.5">
      <c r="A475" s="19">
        <v>471</v>
      </c>
      <c r="B475" s="20" t="s">
        <v>839</v>
      </c>
      <c r="C475" s="21" t="s">
        <v>719</v>
      </c>
      <c r="D475" s="16">
        <v>654</v>
      </c>
      <c r="E475" s="16">
        <v>10</v>
      </c>
      <c r="F475" s="22">
        <v>90</v>
      </c>
      <c r="G475" s="22">
        <f t="shared" si="147"/>
        <v>2800.8</v>
      </c>
      <c r="H475" s="22"/>
      <c r="I475" s="23">
        <f t="shared" si="148"/>
        <v>0</v>
      </c>
      <c r="J475" s="22"/>
      <c r="K475" s="22">
        <f t="shared" si="149"/>
        <v>0</v>
      </c>
      <c r="L475" s="29"/>
      <c r="M475" s="24">
        <f t="shared" si="150"/>
        <v>0</v>
      </c>
      <c r="N475" s="30"/>
      <c r="O475" s="23">
        <f t="shared" si="151"/>
        <v>0</v>
      </c>
      <c r="P475" s="22">
        <v>182</v>
      </c>
      <c r="Q475" s="22">
        <f t="shared" si="145"/>
        <v>7644</v>
      </c>
      <c r="R475" s="25">
        <v>126</v>
      </c>
      <c r="S475" s="25">
        <f t="shared" si="146"/>
        <v>4876.2000000000007</v>
      </c>
      <c r="T475" s="25">
        <v>176</v>
      </c>
      <c r="U475" s="25">
        <f t="shared" si="133"/>
        <v>5931.2000000000007</v>
      </c>
      <c r="V475" s="23">
        <v>201</v>
      </c>
      <c r="W475" s="23">
        <f t="shared" si="134"/>
        <v>6592.7999999999993</v>
      </c>
      <c r="X475" s="23">
        <v>238</v>
      </c>
      <c r="Y475" s="23">
        <f t="shared" si="135"/>
        <v>8365.6999999999989</v>
      </c>
      <c r="Z475" s="23">
        <v>196</v>
      </c>
      <c r="AA475" s="23">
        <f t="shared" si="136"/>
        <v>6793.36</v>
      </c>
      <c r="AB475" s="23"/>
      <c r="AC475" s="23">
        <f t="shared" si="137"/>
        <v>0</v>
      </c>
      <c r="AD475" s="23"/>
      <c r="AE475" s="23">
        <f t="shared" si="138"/>
        <v>0</v>
      </c>
      <c r="AF475" s="26">
        <v>211</v>
      </c>
      <c r="AG475" s="26">
        <f t="shared" si="143"/>
        <v>7211.98</v>
      </c>
      <c r="AH475" s="23">
        <v>249</v>
      </c>
      <c r="AI475" s="23">
        <f t="shared" si="144"/>
        <v>8291.6999999999989</v>
      </c>
      <c r="AJ475" s="23">
        <v>364</v>
      </c>
      <c r="AK475" s="23">
        <f t="shared" si="139"/>
        <v>13085.800000000001</v>
      </c>
      <c r="AL475" s="26">
        <v>428</v>
      </c>
      <c r="AM475" s="26">
        <f t="shared" si="140"/>
        <v>15694.76</v>
      </c>
      <c r="AN475" s="12">
        <f t="shared" si="141"/>
        <v>2461</v>
      </c>
      <c r="AO475" s="22">
        <f t="shared" si="142"/>
        <v>87288.299999999988</v>
      </c>
    </row>
    <row r="476" spans="1:41" x14ac:dyDescent="0.5">
      <c r="A476" s="19">
        <v>472</v>
      </c>
      <c r="B476" s="20" t="s">
        <v>840</v>
      </c>
      <c r="C476" s="21" t="s">
        <v>841</v>
      </c>
      <c r="D476" s="16">
        <v>668</v>
      </c>
      <c r="E476" s="16">
        <v>10</v>
      </c>
      <c r="F476" s="22">
        <v>704</v>
      </c>
      <c r="G476" s="22">
        <f t="shared" si="147"/>
        <v>21908.48</v>
      </c>
      <c r="H476" s="22">
        <v>401</v>
      </c>
      <c r="I476" s="23">
        <f t="shared" si="148"/>
        <v>12996.409999999998</v>
      </c>
      <c r="J476" s="22">
        <v>357</v>
      </c>
      <c r="K476" s="22">
        <f t="shared" si="149"/>
        <v>11784.57</v>
      </c>
      <c r="L476" s="29">
        <v>257</v>
      </c>
      <c r="M476" s="24">
        <f t="shared" si="150"/>
        <v>9025.84</v>
      </c>
      <c r="N476" s="30">
        <v>133</v>
      </c>
      <c r="O476" s="23">
        <f t="shared" si="151"/>
        <v>5087.25</v>
      </c>
      <c r="P476" s="22">
        <v>198</v>
      </c>
      <c r="Q476" s="22">
        <f t="shared" si="145"/>
        <v>8316</v>
      </c>
      <c r="R476" s="25">
        <v>237</v>
      </c>
      <c r="S476" s="25">
        <f t="shared" si="146"/>
        <v>9171.9000000000015</v>
      </c>
      <c r="T476" s="25">
        <v>216</v>
      </c>
      <c r="U476" s="25">
        <f t="shared" si="133"/>
        <v>7279.2000000000007</v>
      </c>
      <c r="V476" s="23">
        <v>218</v>
      </c>
      <c r="W476" s="23">
        <f t="shared" si="134"/>
        <v>7150.4</v>
      </c>
      <c r="X476" s="23">
        <v>251</v>
      </c>
      <c r="Y476" s="23">
        <f t="shared" si="135"/>
        <v>8822.65</v>
      </c>
      <c r="Z476" s="23">
        <v>228</v>
      </c>
      <c r="AA476" s="23">
        <f t="shared" si="136"/>
        <v>7902.48</v>
      </c>
      <c r="AB476" s="23">
        <v>142</v>
      </c>
      <c r="AC476" s="23">
        <f t="shared" si="137"/>
        <v>5119.0999999999995</v>
      </c>
      <c r="AD476" s="23">
        <v>261</v>
      </c>
      <c r="AE476" s="23">
        <f t="shared" si="138"/>
        <v>9145.44</v>
      </c>
      <c r="AF476" s="26">
        <v>356</v>
      </c>
      <c r="AG476" s="26">
        <f t="shared" si="143"/>
        <v>12168.08</v>
      </c>
      <c r="AH476" s="23">
        <v>251</v>
      </c>
      <c r="AI476" s="23">
        <f t="shared" si="144"/>
        <v>8358.2999999999993</v>
      </c>
      <c r="AJ476" s="23">
        <v>306</v>
      </c>
      <c r="AK476" s="23">
        <f t="shared" si="139"/>
        <v>11000.7</v>
      </c>
      <c r="AL476" s="26">
        <v>465</v>
      </c>
      <c r="AM476" s="26">
        <f t="shared" si="140"/>
        <v>17051.55</v>
      </c>
      <c r="AN476" s="12">
        <f t="shared" si="141"/>
        <v>4981</v>
      </c>
      <c r="AO476" s="22">
        <f t="shared" si="142"/>
        <v>172288.34999999998</v>
      </c>
    </row>
    <row r="477" spans="1:41" x14ac:dyDescent="0.5">
      <c r="A477" s="19">
        <v>473</v>
      </c>
      <c r="B477" s="20" t="s">
        <v>842</v>
      </c>
      <c r="C477" s="21" t="s">
        <v>843</v>
      </c>
      <c r="D477" s="16">
        <v>669</v>
      </c>
      <c r="E477" s="16">
        <v>10</v>
      </c>
      <c r="F477" s="22">
        <v>591</v>
      </c>
      <c r="G477" s="22">
        <f t="shared" si="147"/>
        <v>18391.920000000002</v>
      </c>
      <c r="H477" s="22">
        <v>284</v>
      </c>
      <c r="I477" s="23">
        <f t="shared" si="148"/>
        <v>9204.4399999999987</v>
      </c>
      <c r="J477" s="22"/>
      <c r="K477" s="22">
        <f t="shared" si="149"/>
        <v>0</v>
      </c>
      <c r="L477" s="22"/>
      <c r="M477" s="24">
        <f t="shared" si="150"/>
        <v>0</v>
      </c>
      <c r="N477" s="23"/>
      <c r="O477" s="23">
        <f t="shared" si="151"/>
        <v>0</v>
      </c>
      <c r="P477" s="22">
        <v>224</v>
      </c>
      <c r="Q477" s="22">
        <f t="shared" si="145"/>
        <v>9408</v>
      </c>
      <c r="R477" s="25">
        <v>279</v>
      </c>
      <c r="S477" s="25">
        <f t="shared" si="146"/>
        <v>10797.300000000001</v>
      </c>
      <c r="T477" s="25">
        <v>527</v>
      </c>
      <c r="U477" s="25">
        <f t="shared" si="133"/>
        <v>17759.900000000001</v>
      </c>
      <c r="V477" s="23">
        <v>593</v>
      </c>
      <c r="W477" s="23">
        <f t="shared" si="134"/>
        <v>19450.399999999998</v>
      </c>
      <c r="X477" s="23">
        <v>607</v>
      </c>
      <c r="Y477" s="23">
        <f t="shared" si="135"/>
        <v>21336.05</v>
      </c>
      <c r="Z477" s="23">
        <v>485</v>
      </c>
      <c r="AA477" s="23">
        <f t="shared" si="136"/>
        <v>16810.099999999999</v>
      </c>
      <c r="AB477" s="23">
        <v>353</v>
      </c>
      <c r="AC477" s="23">
        <f t="shared" si="137"/>
        <v>12725.65</v>
      </c>
      <c r="AD477" s="23">
        <v>244</v>
      </c>
      <c r="AE477" s="23">
        <f t="shared" si="138"/>
        <v>8549.76</v>
      </c>
      <c r="AF477" s="26">
        <v>396</v>
      </c>
      <c r="AG477" s="26">
        <f t="shared" si="143"/>
        <v>13535.28</v>
      </c>
      <c r="AH477" s="23">
        <v>477</v>
      </c>
      <c r="AI477" s="23">
        <f t="shared" si="144"/>
        <v>15884.099999999999</v>
      </c>
      <c r="AJ477" s="23">
        <v>631</v>
      </c>
      <c r="AK477" s="23">
        <f t="shared" si="139"/>
        <v>22684.45</v>
      </c>
      <c r="AL477" s="26">
        <v>716</v>
      </c>
      <c r="AM477" s="26">
        <f t="shared" si="140"/>
        <v>26255.72</v>
      </c>
      <c r="AN477" s="12">
        <f t="shared" si="141"/>
        <v>6407</v>
      </c>
      <c r="AO477" s="22">
        <f t="shared" si="142"/>
        <v>222793.07</v>
      </c>
    </row>
    <row r="478" spans="1:41" x14ac:dyDescent="0.5">
      <c r="A478" s="19">
        <v>474</v>
      </c>
      <c r="B478" s="20" t="s">
        <v>665</v>
      </c>
      <c r="C478" s="21" t="s">
        <v>75</v>
      </c>
      <c r="D478" s="16">
        <v>691</v>
      </c>
      <c r="E478" s="16">
        <v>10</v>
      </c>
      <c r="F478" s="22">
        <v>2003</v>
      </c>
      <c r="G478" s="22">
        <f t="shared" si="147"/>
        <v>62333.36</v>
      </c>
      <c r="H478" s="22">
        <v>2456</v>
      </c>
      <c r="I478" s="23">
        <f t="shared" si="148"/>
        <v>79598.959999999992</v>
      </c>
      <c r="J478" s="22">
        <v>1645</v>
      </c>
      <c r="K478" s="22">
        <f t="shared" si="149"/>
        <v>54301.45</v>
      </c>
      <c r="L478" s="22">
        <v>953</v>
      </c>
      <c r="M478" s="24">
        <f t="shared" si="150"/>
        <v>33469.360000000001</v>
      </c>
      <c r="N478" s="23">
        <v>718</v>
      </c>
      <c r="O478" s="23">
        <f t="shared" si="151"/>
        <v>27463.5</v>
      </c>
      <c r="P478" s="22">
        <v>1762</v>
      </c>
      <c r="Q478" s="22">
        <f t="shared" si="145"/>
        <v>74004</v>
      </c>
      <c r="R478" s="25">
        <v>2519</v>
      </c>
      <c r="S478" s="25">
        <f t="shared" si="146"/>
        <v>97485.3</v>
      </c>
      <c r="T478" s="25">
        <v>705</v>
      </c>
      <c r="U478" s="25">
        <f t="shared" si="133"/>
        <v>23758.500000000004</v>
      </c>
      <c r="V478" s="23">
        <v>2097</v>
      </c>
      <c r="W478" s="23">
        <f t="shared" si="134"/>
        <v>68781.599999999991</v>
      </c>
      <c r="X478" s="23">
        <v>1119</v>
      </c>
      <c r="Y478" s="23">
        <f t="shared" si="135"/>
        <v>39332.85</v>
      </c>
      <c r="Z478" s="23"/>
      <c r="AA478" s="23">
        <f t="shared" si="136"/>
        <v>0</v>
      </c>
      <c r="AB478" s="23">
        <v>1406</v>
      </c>
      <c r="AC478" s="23">
        <f t="shared" si="137"/>
        <v>50686.299999999996</v>
      </c>
      <c r="AD478" s="23">
        <v>791</v>
      </c>
      <c r="AE478" s="23">
        <f t="shared" si="138"/>
        <v>27716.639999999999</v>
      </c>
      <c r="AF478" s="26">
        <v>2252</v>
      </c>
      <c r="AG478" s="26">
        <f t="shared" si="143"/>
        <v>76973.36</v>
      </c>
      <c r="AH478" s="23">
        <v>2513</v>
      </c>
      <c r="AI478" s="23">
        <f t="shared" si="144"/>
        <v>83682.899999999994</v>
      </c>
      <c r="AJ478" s="23">
        <v>2852</v>
      </c>
      <c r="AK478" s="23">
        <f t="shared" si="139"/>
        <v>102529.40000000001</v>
      </c>
      <c r="AL478" s="26">
        <v>3787</v>
      </c>
      <c r="AM478" s="26">
        <f t="shared" si="140"/>
        <v>138869.29</v>
      </c>
      <c r="AN478" s="12">
        <f t="shared" si="141"/>
        <v>29578</v>
      </c>
      <c r="AO478" s="22">
        <f t="shared" si="142"/>
        <v>1040986.7700000001</v>
      </c>
    </row>
    <row r="479" spans="1:41" x14ac:dyDescent="0.5">
      <c r="A479" s="19">
        <v>475</v>
      </c>
      <c r="B479" s="20" t="s">
        <v>844</v>
      </c>
      <c r="C479" s="21" t="s">
        <v>845</v>
      </c>
      <c r="D479" s="16">
        <v>700</v>
      </c>
      <c r="E479" s="16">
        <v>10</v>
      </c>
      <c r="F479" s="22">
        <v>834</v>
      </c>
      <c r="G479" s="22">
        <f t="shared" si="147"/>
        <v>25954.080000000002</v>
      </c>
      <c r="H479" s="22">
        <v>480</v>
      </c>
      <c r="I479" s="23">
        <f t="shared" si="148"/>
        <v>15556.8</v>
      </c>
      <c r="J479" s="22">
        <v>538</v>
      </c>
      <c r="K479" s="22">
        <f t="shared" si="149"/>
        <v>17759.379999999997</v>
      </c>
      <c r="L479" s="29"/>
      <c r="M479" s="24">
        <f t="shared" si="150"/>
        <v>0</v>
      </c>
      <c r="N479" s="30">
        <v>319</v>
      </c>
      <c r="O479" s="23">
        <f t="shared" si="151"/>
        <v>12201.75</v>
      </c>
      <c r="P479" s="22">
        <v>321</v>
      </c>
      <c r="Q479" s="22">
        <f t="shared" si="145"/>
        <v>13482</v>
      </c>
      <c r="R479" s="25">
        <v>561</v>
      </c>
      <c r="S479" s="25">
        <f t="shared" si="146"/>
        <v>21710.7</v>
      </c>
      <c r="T479" s="25">
        <v>747</v>
      </c>
      <c r="U479" s="25">
        <f t="shared" si="133"/>
        <v>25173.9</v>
      </c>
      <c r="V479" s="23">
        <v>889</v>
      </c>
      <c r="W479" s="23">
        <f t="shared" si="134"/>
        <v>29159.199999999997</v>
      </c>
      <c r="X479" s="23">
        <v>790</v>
      </c>
      <c r="Y479" s="23">
        <f t="shared" si="135"/>
        <v>27768.5</v>
      </c>
      <c r="Z479" s="23">
        <v>773</v>
      </c>
      <c r="AA479" s="23">
        <f t="shared" si="136"/>
        <v>26792.179999999997</v>
      </c>
      <c r="AB479" s="23"/>
      <c r="AC479" s="23">
        <f t="shared" si="137"/>
        <v>0</v>
      </c>
      <c r="AD479" s="23">
        <v>806</v>
      </c>
      <c r="AE479" s="23">
        <f t="shared" si="138"/>
        <v>28242.239999999998</v>
      </c>
      <c r="AF479" s="26">
        <v>611</v>
      </c>
      <c r="AG479" s="26">
        <f t="shared" si="143"/>
        <v>20883.98</v>
      </c>
      <c r="AH479" s="23"/>
      <c r="AI479" s="23">
        <f t="shared" si="144"/>
        <v>0</v>
      </c>
      <c r="AJ479" s="23"/>
      <c r="AK479" s="23">
        <f t="shared" si="139"/>
        <v>0</v>
      </c>
      <c r="AL479" s="26">
        <v>1084</v>
      </c>
      <c r="AM479" s="26">
        <f t="shared" si="140"/>
        <v>39750.28</v>
      </c>
      <c r="AN479" s="12">
        <f t="shared" si="141"/>
        <v>8753</v>
      </c>
      <c r="AO479" s="22">
        <f t="shared" si="142"/>
        <v>304434.99</v>
      </c>
    </row>
    <row r="480" spans="1:41" x14ac:dyDescent="0.5">
      <c r="A480" s="19">
        <v>476</v>
      </c>
      <c r="B480" s="20" t="s">
        <v>846</v>
      </c>
      <c r="C480" s="21" t="s">
        <v>822</v>
      </c>
      <c r="D480" s="16">
        <v>707</v>
      </c>
      <c r="E480" s="16">
        <v>10</v>
      </c>
      <c r="F480" s="22">
        <v>852</v>
      </c>
      <c r="G480" s="22">
        <f t="shared" si="147"/>
        <v>26514.240000000002</v>
      </c>
      <c r="H480" s="22">
        <v>634</v>
      </c>
      <c r="I480" s="23">
        <f t="shared" si="148"/>
        <v>20547.939999999999</v>
      </c>
      <c r="J480" s="22">
        <v>292</v>
      </c>
      <c r="K480" s="22">
        <f t="shared" si="149"/>
        <v>9638.92</v>
      </c>
      <c r="L480" s="29">
        <v>263</v>
      </c>
      <c r="M480" s="24">
        <f t="shared" si="150"/>
        <v>9236.56</v>
      </c>
      <c r="N480" s="30"/>
      <c r="O480" s="23">
        <f t="shared" si="151"/>
        <v>0</v>
      </c>
      <c r="P480" s="22">
        <v>891</v>
      </c>
      <c r="Q480" s="22">
        <f t="shared" si="145"/>
        <v>37422</v>
      </c>
      <c r="R480" s="25">
        <v>793</v>
      </c>
      <c r="S480" s="25">
        <f t="shared" si="146"/>
        <v>30689.100000000002</v>
      </c>
      <c r="T480" s="25">
        <v>630</v>
      </c>
      <c r="U480" s="25">
        <f t="shared" si="133"/>
        <v>21231</v>
      </c>
      <c r="V480" s="23">
        <v>392</v>
      </c>
      <c r="W480" s="23">
        <f t="shared" si="134"/>
        <v>12857.599999999999</v>
      </c>
      <c r="X480" s="23">
        <v>818</v>
      </c>
      <c r="Y480" s="23">
        <f t="shared" si="135"/>
        <v>28752.699999999997</v>
      </c>
      <c r="Z480" s="23">
        <v>730</v>
      </c>
      <c r="AA480" s="23">
        <f t="shared" si="136"/>
        <v>25301.8</v>
      </c>
      <c r="AB480" s="23">
        <v>525</v>
      </c>
      <c r="AC480" s="23">
        <f t="shared" si="137"/>
        <v>18926.25</v>
      </c>
      <c r="AD480" s="23">
        <v>913</v>
      </c>
      <c r="AE480" s="23">
        <f t="shared" si="138"/>
        <v>31991.52</v>
      </c>
      <c r="AF480" s="26">
        <v>1050</v>
      </c>
      <c r="AG480" s="26">
        <f t="shared" si="143"/>
        <v>35889</v>
      </c>
      <c r="AH480" s="23">
        <v>761</v>
      </c>
      <c r="AI480" s="23">
        <f t="shared" si="144"/>
        <v>25341.3</v>
      </c>
      <c r="AJ480" s="23">
        <v>1045</v>
      </c>
      <c r="AK480" s="23">
        <f t="shared" si="139"/>
        <v>37567.75</v>
      </c>
      <c r="AL480" s="26">
        <v>806</v>
      </c>
      <c r="AM480" s="26">
        <f t="shared" si="140"/>
        <v>29556.02</v>
      </c>
      <c r="AN480" s="12">
        <f t="shared" si="141"/>
        <v>11395</v>
      </c>
      <c r="AO480" s="22">
        <f t="shared" si="142"/>
        <v>401463.7</v>
      </c>
    </row>
    <row r="481" spans="1:41" x14ac:dyDescent="0.5">
      <c r="A481" s="19">
        <v>477</v>
      </c>
      <c r="B481" s="20" t="s">
        <v>847</v>
      </c>
      <c r="C481" s="21" t="s">
        <v>848</v>
      </c>
      <c r="D481" s="16">
        <v>729</v>
      </c>
      <c r="E481" s="16">
        <v>10</v>
      </c>
      <c r="F481" s="22">
        <v>528</v>
      </c>
      <c r="G481" s="22">
        <f t="shared" si="147"/>
        <v>16431.36</v>
      </c>
      <c r="H481" s="22">
        <v>283</v>
      </c>
      <c r="I481" s="23">
        <f t="shared" si="148"/>
        <v>9172.0299999999988</v>
      </c>
      <c r="J481" s="22">
        <v>91</v>
      </c>
      <c r="K481" s="22">
        <f t="shared" si="149"/>
        <v>3003.91</v>
      </c>
      <c r="L481" s="22">
        <v>141</v>
      </c>
      <c r="M481" s="24">
        <f t="shared" si="150"/>
        <v>4951.92</v>
      </c>
      <c r="N481" s="23"/>
      <c r="O481" s="23">
        <f t="shared" si="151"/>
        <v>0</v>
      </c>
      <c r="P481" s="22">
        <v>135</v>
      </c>
      <c r="Q481" s="22">
        <f t="shared" si="145"/>
        <v>5670</v>
      </c>
      <c r="R481" s="25">
        <v>102</v>
      </c>
      <c r="S481" s="25">
        <f t="shared" si="146"/>
        <v>3947.4</v>
      </c>
      <c r="T481" s="25">
        <v>288</v>
      </c>
      <c r="U481" s="25">
        <f t="shared" si="133"/>
        <v>9705.6</v>
      </c>
      <c r="V481" s="23">
        <v>266</v>
      </c>
      <c r="W481" s="23">
        <f t="shared" si="134"/>
        <v>8724.7999999999993</v>
      </c>
      <c r="X481" s="23">
        <v>298</v>
      </c>
      <c r="Y481" s="23">
        <f t="shared" si="135"/>
        <v>10474.699999999999</v>
      </c>
      <c r="Z481" s="23">
        <v>343</v>
      </c>
      <c r="AA481" s="23">
        <f t="shared" si="136"/>
        <v>11888.38</v>
      </c>
      <c r="AB481" s="23"/>
      <c r="AC481" s="23">
        <f t="shared" si="137"/>
        <v>0</v>
      </c>
      <c r="AD481" s="23">
        <v>375</v>
      </c>
      <c r="AE481" s="23">
        <f t="shared" si="138"/>
        <v>13140</v>
      </c>
      <c r="AF481" s="26">
        <v>389</v>
      </c>
      <c r="AG481" s="26">
        <f t="shared" si="143"/>
        <v>13296.02</v>
      </c>
      <c r="AH481" s="23">
        <v>195</v>
      </c>
      <c r="AI481" s="23">
        <f t="shared" si="144"/>
        <v>6493.4999999999991</v>
      </c>
      <c r="AJ481" s="23">
        <v>456</v>
      </c>
      <c r="AK481" s="23">
        <f t="shared" si="139"/>
        <v>16393.2</v>
      </c>
      <c r="AL481" s="26">
        <v>489</v>
      </c>
      <c r="AM481" s="26">
        <f t="shared" si="140"/>
        <v>17931.63</v>
      </c>
      <c r="AN481" s="12">
        <f t="shared" si="141"/>
        <v>4379</v>
      </c>
      <c r="AO481" s="22">
        <f t="shared" si="142"/>
        <v>151224.45000000001</v>
      </c>
    </row>
    <row r="482" spans="1:41" x14ac:dyDescent="0.5">
      <c r="A482" s="19">
        <v>478</v>
      </c>
      <c r="B482" s="20" t="s">
        <v>849</v>
      </c>
      <c r="C482" s="21" t="s">
        <v>833</v>
      </c>
      <c r="D482" s="16">
        <v>791</v>
      </c>
      <c r="E482" s="16">
        <v>10</v>
      </c>
      <c r="F482" s="22">
        <v>896</v>
      </c>
      <c r="G482" s="22">
        <f t="shared" si="147"/>
        <v>27883.52</v>
      </c>
      <c r="H482" s="22">
        <v>407</v>
      </c>
      <c r="I482" s="23">
        <f t="shared" si="148"/>
        <v>13190.869999999999</v>
      </c>
      <c r="J482" s="22">
        <v>413</v>
      </c>
      <c r="K482" s="22">
        <f t="shared" si="149"/>
        <v>13633.13</v>
      </c>
      <c r="L482" s="22"/>
      <c r="M482" s="24">
        <f t="shared" si="150"/>
        <v>0</v>
      </c>
      <c r="N482" s="23">
        <v>356</v>
      </c>
      <c r="O482" s="23">
        <f t="shared" si="151"/>
        <v>13617</v>
      </c>
      <c r="P482" s="22">
        <v>892</v>
      </c>
      <c r="Q482" s="22">
        <f t="shared" si="145"/>
        <v>37464</v>
      </c>
      <c r="R482" s="25">
        <v>248</v>
      </c>
      <c r="S482" s="25">
        <f t="shared" si="146"/>
        <v>9597.6</v>
      </c>
      <c r="T482" s="25">
        <v>487</v>
      </c>
      <c r="U482" s="25">
        <f t="shared" si="133"/>
        <v>16411.900000000001</v>
      </c>
      <c r="V482" s="23">
        <v>433</v>
      </c>
      <c r="W482" s="23">
        <f t="shared" si="134"/>
        <v>14202.4</v>
      </c>
      <c r="X482" s="23">
        <v>416</v>
      </c>
      <c r="Y482" s="23">
        <f t="shared" si="135"/>
        <v>14622.4</v>
      </c>
      <c r="Z482" s="23">
        <v>280</v>
      </c>
      <c r="AA482" s="23">
        <f t="shared" si="136"/>
        <v>9704.7999999999993</v>
      </c>
      <c r="AB482" s="23">
        <v>252</v>
      </c>
      <c r="AC482" s="23">
        <f t="shared" si="137"/>
        <v>9084.5999999999985</v>
      </c>
      <c r="AD482" s="23">
        <v>214</v>
      </c>
      <c r="AE482" s="23">
        <f t="shared" si="138"/>
        <v>7498.5599999999995</v>
      </c>
      <c r="AF482" s="26">
        <v>318</v>
      </c>
      <c r="AG482" s="26">
        <f t="shared" si="143"/>
        <v>10869.24</v>
      </c>
      <c r="AH482" s="23">
        <v>239</v>
      </c>
      <c r="AI482" s="23">
        <f t="shared" si="144"/>
        <v>7958.6999999999989</v>
      </c>
      <c r="AJ482" s="23">
        <v>336</v>
      </c>
      <c r="AK482" s="23">
        <f t="shared" si="139"/>
        <v>12079.2</v>
      </c>
      <c r="AL482" s="26">
        <v>364</v>
      </c>
      <c r="AM482" s="26">
        <f t="shared" si="140"/>
        <v>13347.880000000001</v>
      </c>
      <c r="AN482" s="12">
        <f t="shared" si="141"/>
        <v>6551</v>
      </c>
      <c r="AO482" s="22">
        <f t="shared" si="142"/>
        <v>231165.8</v>
      </c>
    </row>
    <row r="483" spans="1:41" x14ac:dyDescent="0.5">
      <c r="A483" s="19">
        <v>479</v>
      </c>
      <c r="B483" s="32" t="s">
        <v>850</v>
      </c>
      <c r="C483" s="33" t="s">
        <v>822</v>
      </c>
      <c r="D483" s="34">
        <v>851</v>
      </c>
      <c r="E483" s="34">
        <v>10</v>
      </c>
      <c r="F483" s="35">
        <v>906</v>
      </c>
      <c r="G483" s="22">
        <f t="shared" si="147"/>
        <v>28194.720000000001</v>
      </c>
      <c r="H483" s="35">
        <v>838</v>
      </c>
      <c r="I483" s="23">
        <f t="shared" si="148"/>
        <v>27159.579999999998</v>
      </c>
      <c r="J483" s="35">
        <v>670</v>
      </c>
      <c r="K483" s="22">
        <f t="shared" si="149"/>
        <v>22116.699999999997</v>
      </c>
      <c r="L483" s="35">
        <v>390</v>
      </c>
      <c r="M483" s="24">
        <f t="shared" si="150"/>
        <v>13696.8</v>
      </c>
      <c r="N483" s="39">
        <v>275</v>
      </c>
      <c r="O483" s="23">
        <f t="shared" si="151"/>
        <v>10518.75</v>
      </c>
      <c r="P483" s="35">
        <v>335</v>
      </c>
      <c r="Q483" s="22">
        <f t="shared" si="145"/>
        <v>14070</v>
      </c>
      <c r="R483" s="38">
        <v>461</v>
      </c>
      <c r="S483" s="25">
        <f t="shared" si="146"/>
        <v>17840.7</v>
      </c>
      <c r="T483" s="38">
        <v>584</v>
      </c>
      <c r="U483" s="25">
        <f t="shared" si="133"/>
        <v>19680.800000000003</v>
      </c>
      <c r="V483" s="23">
        <v>474</v>
      </c>
      <c r="W483" s="23">
        <f t="shared" si="134"/>
        <v>15547.199999999999</v>
      </c>
      <c r="X483" s="23">
        <v>584</v>
      </c>
      <c r="Y483" s="23">
        <f t="shared" si="135"/>
        <v>20527.599999999999</v>
      </c>
      <c r="Z483" s="23"/>
      <c r="AA483" s="23">
        <f t="shared" si="136"/>
        <v>0</v>
      </c>
      <c r="AB483" s="23">
        <v>628</v>
      </c>
      <c r="AC483" s="23">
        <f t="shared" si="137"/>
        <v>22639.399999999998</v>
      </c>
      <c r="AD483" s="23">
        <v>547</v>
      </c>
      <c r="AE483" s="23">
        <f t="shared" si="138"/>
        <v>19166.88</v>
      </c>
      <c r="AF483" s="26">
        <v>521</v>
      </c>
      <c r="AG483" s="26">
        <f t="shared" si="143"/>
        <v>17807.78</v>
      </c>
      <c r="AH483" s="23">
        <v>591</v>
      </c>
      <c r="AI483" s="23">
        <f t="shared" si="144"/>
        <v>19680.3</v>
      </c>
      <c r="AJ483" s="23">
        <v>600</v>
      </c>
      <c r="AK483" s="23">
        <f t="shared" si="139"/>
        <v>21570</v>
      </c>
      <c r="AL483" s="26">
        <v>1024</v>
      </c>
      <c r="AM483" s="26">
        <f t="shared" si="140"/>
        <v>37550.080000000002</v>
      </c>
      <c r="AN483" s="12">
        <f t="shared" si="141"/>
        <v>9428</v>
      </c>
      <c r="AO483" s="22">
        <f t="shared" si="142"/>
        <v>327767.29000000004</v>
      </c>
    </row>
    <row r="484" spans="1:41" x14ac:dyDescent="0.5">
      <c r="A484" s="19">
        <v>480</v>
      </c>
      <c r="B484" s="32" t="s">
        <v>851</v>
      </c>
      <c r="C484" s="33" t="s">
        <v>719</v>
      </c>
      <c r="D484" s="34">
        <v>916</v>
      </c>
      <c r="E484" s="34">
        <v>10</v>
      </c>
      <c r="F484" s="35">
        <v>883</v>
      </c>
      <c r="G484" s="22">
        <f t="shared" si="147"/>
        <v>27478.959999999999</v>
      </c>
      <c r="H484" s="35">
        <v>722</v>
      </c>
      <c r="I484" s="23">
        <f t="shared" si="148"/>
        <v>23400.019999999997</v>
      </c>
      <c r="J484" s="35">
        <v>524</v>
      </c>
      <c r="K484" s="22">
        <f t="shared" si="149"/>
        <v>17297.239999999998</v>
      </c>
      <c r="L484" s="35"/>
      <c r="M484" s="24">
        <f t="shared" si="150"/>
        <v>0</v>
      </c>
      <c r="N484" s="39"/>
      <c r="O484" s="23">
        <f t="shared" si="151"/>
        <v>0</v>
      </c>
      <c r="P484" s="35">
        <v>918</v>
      </c>
      <c r="Q484" s="22">
        <f t="shared" si="145"/>
        <v>38556</v>
      </c>
      <c r="R484" s="38">
        <v>325</v>
      </c>
      <c r="S484" s="25">
        <f t="shared" si="146"/>
        <v>12577.500000000002</v>
      </c>
      <c r="T484" s="38">
        <v>892</v>
      </c>
      <c r="U484" s="25">
        <f t="shared" si="133"/>
        <v>30060.400000000001</v>
      </c>
      <c r="V484" s="23">
        <v>1648</v>
      </c>
      <c r="W484" s="23">
        <f t="shared" si="134"/>
        <v>54054.399999999994</v>
      </c>
      <c r="X484" s="23">
        <v>1178</v>
      </c>
      <c r="Y484" s="23">
        <f t="shared" si="135"/>
        <v>41406.699999999997</v>
      </c>
      <c r="Z484" s="23">
        <v>1984</v>
      </c>
      <c r="AA484" s="23">
        <f t="shared" si="136"/>
        <v>68765.439999999988</v>
      </c>
      <c r="AB484" s="23">
        <v>710</v>
      </c>
      <c r="AC484" s="23">
        <f t="shared" si="137"/>
        <v>25595.499999999996</v>
      </c>
      <c r="AD484" s="23">
        <v>818</v>
      </c>
      <c r="AE484" s="23">
        <f t="shared" si="138"/>
        <v>28662.719999999998</v>
      </c>
      <c r="AF484" s="26">
        <v>920</v>
      </c>
      <c r="AG484" s="26">
        <f t="shared" si="143"/>
        <v>31445.599999999999</v>
      </c>
      <c r="AH484" s="23">
        <v>638</v>
      </c>
      <c r="AI484" s="23">
        <f t="shared" si="144"/>
        <v>21245.399999999998</v>
      </c>
      <c r="AJ484" s="23">
        <v>811</v>
      </c>
      <c r="AK484" s="23">
        <f t="shared" si="139"/>
        <v>29155.45</v>
      </c>
      <c r="AL484" s="26">
        <v>2019</v>
      </c>
      <c r="AM484" s="26">
        <f t="shared" si="140"/>
        <v>74036.73000000001</v>
      </c>
      <c r="AN484" s="12">
        <f t="shared" si="141"/>
        <v>14990</v>
      </c>
      <c r="AO484" s="22">
        <f t="shared" si="142"/>
        <v>523738.05999999994</v>
      </c>
    </row>
    <row r="485" spans="1:41" x14ac:dyDescent="0.5">
      <c r="A485" s="19">
        <v>481</v>
      </c>
      <c r="B485" s="32" t="s">
        <v>852</v>
      </c>
      <c r="C485" s="33" t="s">
        <v>853</v>
      </c>
      <c r="D485" s="34">
        <v>926</v>
      </c>
      <c r="E485" s="34">
        <v>10</v>
      </c>
      <c r="F485" s="35"/>
      <c r="G485" s="22">
        <f t="shared" si="147"/>
        <v>0</v>
      </c>
      <c r="H485" s="35"/>
      <c r="I485" s="23">
        <f t="shared" si="148"/>
        <v>0</v>
      </c>
      <c r="J485" s="35"/>
      <c r="K485" s="22">
        <f t="shared" si="149"/>
        <v>0</v>
      </c>
      <c r="L485" s="35"/>
      <c r="M485" s="24">
        <f t="shared" si="150"/>
        <v>0</v>
      </c>
      <c r="N485" s="39"/>
      <c r="O485" s="23">
        <f t="shared" si="151"/>
        <v>0</v>
      </c>
      <c r="P485" s="35"/>
      <c r="Q485" s="22">
        <f t="shared" si="145"/>
        <v>0</v>
      </c>
      <c r="R485" s="38"/>
      <c r="S485" s="25">
        <f t="shared" si="146"/>
        <v>0</v>
      </c>
      <c r="T485" s="38"/>
      <c r="U485" s="25">
        <f t="shared" si="133"/>
        <v>0</v>
      </c>
      <c r="V485" s="23"/>
      <c r="W485" s="23">
        <f t="shared" si="134"/>
        <v>0</v>
      </c>
      <c r="X485" s="23"/>
      <c r="Y485" s="23">
        <f t="shared" si="135"/>
        <v>0</v>
      </c>
      <c r="Z485" s="23"/>
      <c r="AA485" s="23">
        <f t="shared" si="136"/>
        <v>0</v>
      </c>
      <c r="AB485" s="23"/>
      <c r="AC485" s="23">
        <f t="shared" si="137"/>
        <v>0</v>
      </c>
      <c r="AD485" s="23"/>
      <c r="AE485" s="23">
        <f t="shared" si="138"/>
        <v>0</v>
      </c>
      <c r="AF485" s="26"/>
      <c r="AG485" s="26">
        <f t="shared" si="143"/>
        <v>0</v>
      </c>
      <c r="AH485" s="23"/>
      <c r="AI485" s="23">
        <f t="shared" si="144"/>
        <v>0</v>
      </c>
      <c r="AJ485" s="23"/>
      <c r="AK485" s="23">
        <f t="shared" si="139"/>
        <v>0</v>
      </c>
      <c r="AL485" s="26"/>
      <c r="AM485" s="26">
        <f t="shared" si="140"/>
        <v>0</v>
      </c>
      <c r="AN485" s="12">
        <f t="shared" si="141"/>
        <v>0</v>
      </c>
      <c r="AO485" s="22">
        <f t="shared" si="142"/>
        <v>0</v>
      </c>
    </row>
    <row r="486" spans="1:41" x14ac:dyDescent="0.5">
      <c r="A486" s="19">
        <v>482</v>
      </c>
      <c r="B486" s="32" t="s">
        <v>854</v>
      </c>
      <c r="C486" s="33" t="s">
        <v>855</v>
      </c>
      <c r="D486" s="34">
        <v>927</v>
      </c>
      <c r="E486" s="34">
        <v>10</v>
      </c>
      <c r="F486" s="35">
        <v>305</v>
      </c>
      <c r="G486" s="22">
        <f t="shared" si="147"/>
        <v>9491.6</v>
      </c>
      <c r="H486" s="35">
        <v>100</v>
      </c>
      <c r="I486" s="23">
        <f t="shared" si="148"/>
        <v>3240.9999999999995</v>
      </c>
      <c r="J486" s="35"/>
      <c r="K486" s="22">
        <f t="shared" si="149"/>
        <v>0</v>
      </c>
      <c r="L486" s="35"/>
      <c r="M486" s="24">
        <f t="shared" si="150"/>
        <v>0</v>
      </c>
      <c r="N486" s="39"/>
      <c r="O486" s="23">
        <f t="shared" si="151"/>
        <v>0</v>
      </c>
      <c r="P486" s="35">
        <v>115</v>
      </c>
      <c r="Q486" s="22">
        <f t="shared" si="145"/>
        <v>4830</v>
      </c>
      <c r="R486" s="38">
        <v>108</v>
      </c>
      <c r="S486" s="25">
        <f t="shared" si="146"/>
        <v>4179.6000000000004</v>
      </c>
      <c r="T486" s="38">
        <v>521</v>
      </c>
      <c r="U486" s="25">
        <f t="shared" si="133"/>
        <v>17557.7</v>
      </c>
      <c r="V486" s="23">
        <v>375</v>
      </c>
      <c r="W486" s="23">
        <f t="shared" si="134"/>
        <v>12299.999999999998</v>
      </c>
      <c r="X486" s="23">
        <v>399</v>
      </c>
      <c r="Y486" s="23">
        <f t="shared" si="135"/>
        <v>14024.849999999999</v>
      </c>
      <c r="Z486" s="23">
        <v>559</v>
      </c>
      <c r="AA486" s="23">
        <f t="shared" si="136"/>
        <v>19374.939999999999</v>
      </c>
      <c r="AB486" s="23">
        <v>407</v>
      </c>
      <c r="AC486" s="23">
        <f t="shared" si="137"/>
        <v>14672.349999999999</v>
      </c>
      <c r="AD486" s="23">
        <v>505</v>
      </c>
      <c r="AE486" s="23">
        <f t="shared" si="138"/>
        <v>17695.2</v>
      </c>
      <c r="AF486" s="26">
        <v>530</v>
      </c>
      <c r="AG486" s="26">
        <f t="shared" si="143"/>
        <v>18115.400000000001</v>
      </c>
      <c r="AH486" s="23">
        <v>430</v>
      </c>
      <c r="AI486" s="23">
        <f t="shared" si="144"/>
        <v>14318.999999999998</v>
      </c>
      <c r="AJ486" s="23">
        <v>406</v>
      </c>
      <c r="AK486" s="23">
        <f t="shared" si="139"/>
        <v>14595.7</v>
      </c>
      <c r="AL486" s="26">
        <v>490</v>
      </c>
      <c r="AM486" s="26">
        <f t="shared" si="140"/>
        <v>17968.3</v>
      </c>
      <c r="AN486" s="12">
        <f t="shared" si="141"/>
        <v>5250</v>
      </c>
      <c r="AO486" s="22">
        <f t="shared" si="142"/>
        <v>182365.64</v>
      </c>
    </row>
    <row r="487" spans="1:41" x14ac:dyDescent="0.5">
      <c r="A487" s="19">
        <v>483</v>
      </c>
      <c r="B487" s="20" t="s">
        <v>856</v>
      </c>
      <c r="C487" s="21" t="s">
        <v>857</v>
      </c>
      <c r="D487" s="16">
        <v>322</v>
      </c>
      <c r="E487" s="16">
        <v>10</v>
      </c>
      <c r="F487" s="22">
        <v>160</v>
      </c>
      <c r="G487" s="22">
        <f t="shared" si="147"/>
        <v>4979.2</v>
      </c>
      <c r="H487" s="22"/>
      <c r="I487" s="23">
        <f t="shared" si="148"/>
        <v>0</v>
      </c>
      <c r="J487" s="22"/>
      <c r="K487" s="22">
        <f t="shared" si="149"/>
        <v>0</v>
      </c>
      <c r="L487" s="22"/>
      <c r="M487" s="24">
        <f t="shared" si="150"/>
        <v>0</v>
      </c>
      <c r="N487" s="23"/>
      <c r="O487" s="23">
        <f t="shared" si="151"/>
        <v>0</v>
      </c>
      <c r="P487" s="22"/>
      <c r="Q487" s="22">
        <f t="shared" si="145"/>
        <v>0</v>
      </c>
      <c r="R487" s="25">
        <v>122</v>
      </c>
      <c r="S487" s="25">
        <f t="shared" si="146"/>
        <v>4721.4000000000005</v>
      </c>
      <c r="T487" s="25">
        <v>147</v>
      </c>
      <c r="U487" s="25">
        <f t="shared" si="133"/>
        <v>4953.9000000000005</v>
      </c>
      <c r="V487" s="23"/>
      <c r="W487" s="23">
        <f t="shared" si="134"/>
        <v>0</v>
      </c>
      <c r="X487" s="23">
        <v>174</v>
      </c>
      <c r="Y487" s="23">
        <f t="shared" si="135"/>
        <v>6116.0999999999995</v>
      </c>
      <c r="Z487" s="23"/>
      <c r="AA487" s="23">
        <f t="shared" si="136"/>
        <v>0</v>
      </c>
      <c r="AB487" s="23">
        <v>130</v>
      </c>
      <c r="AC487" s="23">
        <f t="shared" si="137"/>
        <v>4686.5</v>
      </c>
      <c r="AD487" s="23">
        <v>221</v>
      </c>
      <c r="AE487" s="23">
        <f t="shared" si="138"/>
        <v>7743.84</v>
      </c>
      <c r="AF487" s="26"/>
      <c r="AG487" s="26">
        <f t="shared" si="143"/>
        <v>0</v>
      </c>
      <c r="AH487" s="23">
        <v>270</v>
      </c>
      <c r="AI487" s="23">
        <f t="shared" si="144"/>
        <v>8991</v>
      </c>
      <c r="AJ487" s="23">
        <v>384</v>
      </c>
      <c r="AK487" s="23">
        <f t="shared" si="139"/>
        <v>13804.800000000001</v>
      </c>
      <c r="AL487" s="26">
        <v>259</v>
      </c>
      <c r="AM487" s="26">
        <f t="shared" si="140"/>
        <v>9497.5300000000007</v>
      </c>
      <c r="AN487" s="12">
        <f t="shared" si="141"/>
        <v>1867</v>
      </c>
      <c r="AO487" s="22">
        <f t="shared" si="142"/>
        <v>65494.270000000004</v>
      </c>
    </row>
    <row r="488" spans="1:41" x14ac:dyDescent="0.5">
      <c r="A488" s="19">
        <v>484</v>
      </c>
      <c r="B488" s="32" t="s">
        <v>858</v>
      </c>
      <c r="C488" s="33" t="s">
        <v>859</v>
      </c>
      <c r="D488" s="34">
        <v>949</v>
      </c>
      <c r="E488" s="34">
        <v>10</v>
      </c>
      <c r="F488" s="35">
        <v>202</v>
      </c>
      <c r="G488" s="22">
        <f t="shared" si="147"/>
        <v>6286.24</v>
      </c>
      <c r="H488" s="35">
        <v>177</v>
      </c>
      <c r="I488" s="23">
        <f t="shared" si="148"/>
        <v>5736.57</v>
      </c>
      <c r="J488" s="35"/>
      <c r="K488" s="22">
        <f t="shared" si="149"/>
        <v>0</v>
      </c>
      <c r="L488" s="35"/>
      <c r="M488" s="24">
        <f t="shared" si="150"/>
        <v>0</v>
      </c>
      <c r="N488" s="39"/>
      <c r="O488" s="23">
        <f t="shared" si="151"/>
        <v>0</v>
      </c>
      <c r="P488" s="35">
        <v>186</v>
      </c>
      <c r="Q488" s="22">
        <f t="shared" si="145"/>
        <v>7812</v>
      </c>
      <c r="R488" s="38">
        <v>169</v>
      </c>
      <c r="S488" s="25">
        <f t="shared" si="146"/>
        <v>6540.3</v>
      </c>
      <c r="T488" s="38">
        <v>188</v>
      </c>
      <c r="U488" s="25">
        <f t="shared" si="133"/>
        <v>6335.6</v>
      </c>
      <c r="V488" s="23">
        <v>164</v>
      </c>
      <c r="W488" s="23">
        <f t="shared" si="134"/>
        <v>5379.2</v>
      </c>
      <c r="X488" s="23">
        <v>237</v>
      </c>
      <c r="Y488" s="23">
        <f t="shared" si="135"/>
        <v>8330.5499999999993</v>
      </c>
      <c r="Z488" s="23">
        <v>218</v>
      </c>
      <c r="AA488" s="23">
        <f t="shared" si="136"/>
        <v>7555.8799999999992</v>
      </c>
      <c r="AB488" s="23">
        <v>217</v>
      </c>
      <c r="AC488" s="23">
        <f t="shared" si="137"/>
        <v>7822.8499999999995</v>
      </c>
      <c r="AD488" s="23">
        <v>281</v>
      </c>
      <c r="AE488" s="23">
        <f t="shared" si="138"/>
        <v>9846.24</v>
      </c>
      <c r="AF488" s="26">
        <v>277</v>
      </c>
      <c r="AG488" s="26">
        <f t="shared" si="143"/>
        <v>9467.86</v>
      </c>
      <c r="AH488" s="23">
        <v>274</v>
      </c>
      <c r="AI488" s="23">
        <f t="shared" si="144"/>
        <v>9124.1999999999989</v>
      </c>
      <c r="AJ488" s="23">
        <v>246</v>
      </c>
      <c r="AK488" s="23">
        <f t="shared" si="139"/>
        <v>8843.7000000000007</v>
      </c>
      <c r="AL488" s="26">
        <v>248</v>
      </c>
      <c r="AM488" s="26">
        <f t="shared" si="140"/>
        <v>9094.16</v>
      </c>
      <c r="AN488" s="12">
        <f t="shared" si="141"/>
        <v>3084</v>
      </c>
      <c r="AO488" s="22">
        <f t="shared" si="142"/>
        <v>108175.34999999999</v>
      </c>
    </row>
    <row r="489" spans="1:41" x14ac:dyDescent="0.5">
      <c r="A489" s="19">
        <v>485</v>
      </c>
      <c r="B489" s="32" t="s">
        <v>860</v>
      </c>
      <c r="C489" s="33" t="s">
        <v>861</v>
      </c>
      <c r="D489" s="34">
        <v>958</v>
      </c>
      <c r="E489" s="34">
        <v>10</v>
      </c>
      <c r="F489" s="35">
        <v>476</v>
      </c>
      <c r="G489" s="22">
        <f t="shared" si="147"/>
        <v>14813.12</v>
      </c>
      <c r="H489" s="35"/>
      <c r="I489" s="23">
        <f t="shared" si="148"/>
        <v>0</v>
      </c>
      <c r="J489" s="35"/>
      <c r="K489" s="22">
        <f t="shared" si="149"/>
        <v>0</v>
      </c>
      <c r="L489" s="35"/>
      <c r="M489" s="24">
        <f t="shared" si="150"/>
        <v>0</v>
      </c>
      <c r="N489" s="39"/>
      <c r="O489" s="23">
        <f t="shared" si="151"/>
        <v>0</v>
      </c>
      <c r="P489" s="35">
        <v>448</v>
      </c>
      <c r="Q489" s="22">
        <f t="shared" si="145"/>
        <v>18816</v>
      </c>
      <c r="R489" s="38">
        <v>455</v>
      </c>
      <c r="S489" s="25">
        <f t="shared" si="146"/>
        <v>17608.5</v>
      </c>
      <c r="T489" s="38">
        <v>563</v>
      </c>
      <c r="U489" s="25">
        <f t="shared" si="133"/>
        <v>18973.100000000002</v>
      </c>
      <c r="V489" s="23">
        <v>370</v>
      </c>
      <c r="W489" s="23">
        <f t="shared" si="134"/>
        <v>12135.999999999998</v>
      </c>
      <c r="X489" s="23">
        <v>531</v>
      </c>
      <c r="Y489" s="23">
        <f t="shared" si="135"/>
        <v>18664.649999999998</v>
      </c>
      <c r="Z489" s="23">
        <v>374</v>
      </c>
      <c r="AA489" s="23">
        <f t="shared" si="136"/>
        <v>12962.839999999998</v>
      </c>
      <c r="AB489" s="23">
        <v>486</v>
      </c>
      <c r="AC489" s="23">
        <f t="shared" si="137"/>
        <v>17520.3</v>
      </c>
      <c r="AD489" s="23">
        <v>478</v>
      </c>
      <c r="AE489" s="23">
        <f t="shared" si="138"/>
        <v>16749.12</v>
      </c>
      <c r="AF489" s="26">
        <v>600</v>
      </c>
      <c r="AG489" s="26">
        <f t="shared" si="143"/>
        <v>20508</v>
      </c>
      <c r="AH489" s="23">
        <v>437</v>
      </c>
      <c r="AI489" s="23">
        <f t="shared" si="144"/>
        <v>14552.099999999999</v>
      </c>
      <c r="AJ489" s="23">
        <v>500</v>
      </c>
      <c r="AK489" s="23">
        <f t="shared" si="139"/>
        <v>17975</v>
      </c>
      <c r="AL489" s="26">
        <v>528</v>
      </c>
      <c r="AM489" s="26">
        <f t="shared" si="140"/>
        <v>19361.760000000002</v>
      </c>
      <c r="AN489" s="12">
        <f t="shared" si="141"/>
        <v>6246</v>
      </c>
      <c r="AO489" s="22">
        <f t="shared" si="142"/>
        <v>220640.49</v>
      </c>
    </row>
    <row r="490" spans="1:41" s="31" customFormat="1" x14ac:dyDescent="0.5">
      <c r="A490" s="19">
        <v>486</v>
      </c>
      <c r="B490" s="40" t="s">
        <v>862</v>
      </c>
      <c r="C490" s="41" t="s">
        <v>863</v>
      </c>
      <c r="D490" s="34">
        <v>979</v>
      </c>
      <c r="E490" s="34">
        <v>10</v>
      </c>
      <c r="F490" s="35">
        <v>779</v>
      </c>
      <c r="G490" s="22">
        <f t="shared" si="147"/>
        <v>24242.48</v>
      </c>
      <c r="H490" s="35">
        <v>314</v>
      </c>
      <c r="I490" s="23">
        <f t="shared" si="148"/>
        <v>10176.74</v>
      </c>
      <c r="J490" s="35">
        <v>310</v>
      </c>
      <c r="K490" s="22">
        <f t="shared" si="149"/>
        <v>10233.099999999999</v>
      </c>
      <c r="L490" s="35"/>
      <c r="M490" s="24">
        <f t="shared" si="150"/>
        <v>0</v>
      </c>
      <c r="N490" s="39"/>
      <c r="O490" s="23">
        <f t="shared" si="151"/>
        <v>0</v>
      </c>
      <c r="P490" s="35">
        <v>329</v>
      </c>
      <c r="Q490" s="22">
        <f t="shared" si="145"/>
        <v>13818</v>
      </c>
      <c r="R490" s="38">
        <v>737</v>
      </c>
      <c r="S490" s="25">
        <f t="shared" si="146"/>
        <v>28521.9</v>
      </c>
      <c r="T490" s="38">
        <v>777</v>
      </c>
      <c r="U490" s="25">
        <f t="shared" si="133"/>
        <v>26184.9</v>
      </c>
      <c r="V490" s="23">
        <v>465</v>
      </c>
      <c r="W490" s="23">
        <f t="shared" si="134"/>
        <v>15251.999999999998</v>
      </c>
      <c r="X490" s="23">
        <v>394</v>
      </c>
      <c r="Y490" s="23">
        <f t="shared" si="135"/>
        <v>13849.099999999999</v>
      </c>
      <c r="Z490" s="23"/>
      <c r="AA490" s="23">
        <f t="shared" si="136"/>
        <v>0</v>
      </c>
      <c r="AB490" s="23">
        <v>360</v>
      </c>
      <c r="AC490" s="23">
        <f t="shared" si="137"/>
        <v>12977.999999999998</v>
      </c>
      <c r="AD490" s="23">
        <v>566</v>
      </c>
      <c r="AE490" s="23">
        <f t="shared" si="138"/>
        <v>19832.64</v>
      </c>
      <c r="AF490" s="26">
        <v>438</v>
      </c>
      <c r="AG490" s="26">
        <f t="shared" si="143"/>
        <v>14970.84</v>
      </c>
      <c r="AH490" s="23">
        <v>529</v>
      </c>
      <c r="AI490" s="23">
        <f t="shared" si="144"/>
        <v>17615.699999999997</v>
      </c>
      <c r="AJ490" s="23">
        <v>482</v>
      </c>
      <c r="AK490" s="23">
        <f t="shared" si="139"/>
        <v>17327.900000000001</v>
      </c>
      <c r="AL490" s="23">
        <v>497</v>
      </c>
      <c r="AM490" s="26">
        <f t="shared" si="140"/>
        <v>18224.990000000002</v>
      </c>
      <c r="AN490" s="12">
        <f t="shared" si="141"/>
        <v>6977</v>
      </c>
      <c r="AO490" s="22">
        <f t="shared" si="142"/>
        <v>243228.28999999995</v>
      </c>
    </row>
    <row r="491" spans="1:41" s="31" customFormat="1" x14ac:dyDescent="0.5">
      <c r="A491" s="19">
        <v>487</v>
      </c>
      <c r="B491" s="40" t="s">
        <v>864</v>
      </c>
      <c r="C491" s="41" t="s">
        <v>472</v>
      </c>
      <c r="D491" s="34">
        <v>989</v>
      </c>
      <c r="E491" s="34">
        <v>10</v>
      </c>
      <c r="F491" s="35">
        <v>613</v>
      </c>
      <c r="G491" s="22">
        <f t="shared" si="147"/>
        <v>19076.560000000001</v>
      </c>
      <c r="H491" s="35">
        <v>379</v>
      </c>
      <c r="I491" s="23">
        <f t="shared" si="148"/>
        <v>12283.39</v>
      </c>
      <c r="J491" s="35">
        <v>520</v>
      </c>
      <c r="K491" s="22">
        <f t="shared" si="149"/>
        <v>17165.2</v>
      </c>
      <c r="L491" s="35">
        <v>479</v>
      </c>
      <c r="M491" s="24">
        <f t="shared" si="150"/>
        <v>16822.48</v>
      </c>
      <c r="N491" s="39">
        <v>400</v>
      </c>
      <c r="O491" s="23">
        <f t="shared" si="151"/>
        <v>15300</v>
      </c>
      <c r="P491" s="35">
        <v>498</v>
      </c>
      <c r="Q491" s="22">
        <f t="shared" si="145"/>
        <v>20916</v>
      </c>
      <c r="R491" s="38">
        <v>93</v>
      </c>
      <c r="S491" s="25">
        <f t="shared" si="146"/>
        <v>3599.1000000000004</v>
      </c>
      <c r="T491" s="38">
        <v>157</v>
      </c>
      <c r="U491" s="25">
        <f t="shared" si="133"/>
        <v>5290.9000000000005</v>
      </c>
      <c r="V491" s="23">
        <v>164</v>
      </c>
      <c r="W491" s="23">
        <f t="shared" si="134"/>
        <v>5379.2</v>
      </c>
      <c r="X491" s="23">
        <v>195</v>
      </c>
      <c r="Y491" s="23">
        <f t="shared" si="135"/>
        <v>6854.25</v>
      </c>
      <c r="Z491" s="23">
        <v>91</v>
      </c>
      <c r="AA491" s="23">
        <f t="shared" si="136"/>
        <v>3154.0599999999995</v>
      </c>
      <c r="AB491" s="23"/>
      <c r="AC491" s="23">
        <f t="shared" si="137"/>
        <v>0</v>
      </c>
      <c r="AD491" s="23"/>
      <c r="AE491" s="23">
        <f t="shared" si="138"/>
        <v>0</v>
      </c>
      <c r="AF491" s="26"/>
      <c r="AG491" s="26">
        <f t="shared" si="143"/>
        <v>0</v>
      </c>
      <c r="AH491" s="23"/>
      <c r="AI491" s="23">
        <f t="shared" si="144"/>
        <v>0</v>
      </c>
      <c r="AJ491" s="23"/>
      <c r="AK491" s="23">
        <f t="shared" si="139"/>
        <v>0</v>
      </c>
      <c r="AL491" s="23">
        <v>97</v>
      </c>
      <c r="AM491" s="26">
        <f t="shared" si="140"/>
        <v>3556.9900000000002</v>
      </c>
      <c r="AN491" s="12">
        <f t="shared" si="141"/>
        <v>3686</v>
      </c>
      <c r="AO491" s="22">
        <f t="shared" si="142"/>
        <v>129398.13</v>
      </c>
    </row>
    <row r="492" spans="1:41" x14ac:dyDescent="0.5">
      <c r="A492" s="19">
        <v>488</v>
      </c>
      <c r="B492" s="20" t="s">
        <v>865</v>
      </c>
      <c r="C492" s="21" t="s">
        <v>866</v>
      </c>
      <c r="D492" s="16">
        <v>1019</v>
      </c>
      <c r="E492" s="16">
        <v>10</v>
      </c>
      <c r="F492" s="22">
        <v>618</v>
      </c>
      <c r="G492" s="22">
        <f t="shared" si="147"/>
        <v>19232.16</v>
      </c>
      <c r="H492" s="22"/>
      <c r="I492" s="23">
        <f t="shared" si="148"/>
        <v>0</v>
      </c>
      <c r="J492" s="22"/>
      <c r="K492" s="22">
        <f t="shared" si="149"/>
        <v>0</v>
      </c>
      <c r="L492" s="22"/>
      <c r="M492" s="24">
        <f t="shared" si="150"/>
        <v>0</v>
      </c>
      <c r="N492" s="23"/>
      <c r="O492" s="23">
        <f t="shared" si="151"/>
        <v>0</v>
      </c>
      <c r="P492" s="22"/>
      <c r="Q492" s="22">
        <f t="shared" si="145"/>
        <v>0</v>
      </c>
      <c r="R492" s="25"/>
      <c r="S492" s="25">
        <f t="shared" si="146"/>
        <v>0</v>
      </c>
      <c r="T492" s="25">
        <v>722</v>
      </c>
      <c r="U492" s="25">
        <f t="shared" si="133"/>
        <v>24331.4</v>
      </c>
      <c r="V492" s="23">
        <v>817</v>
      </c>
      <c r="W492" s="23">
        <f t="shared" si="134"/>
        <v>26797.599999999999</v>
      </c>
      <c r="X492" s="23">
        <v>1214</v>
      </c>
      <c r="Y492" s="23">
        <f t="shared" si="135"/>
        <v>42672.1</v>
      </c>
      <c r="Z492" s="23">
        <v>1051</v>
      </c>
      <c r="AA492" s="23">
        <f t="shared" si="136"/>
        <v>36427.659999999996</v>
      </c>
      <c r="AB492" s="23">
        <v>1401</v>
      </c>
      <c r="AC492" s="23">
        <f t="shared" si="137"/>
        <v>50506.049999999996</v>
      </c>
      <c r="AD492" s="23">
        <v>1647</v>
      </c>
      <c r="AE492" s="23">
        <f t="shared" si="138"/>
        <v>57710.879999999997</v>
      </c>
      <c r="AF492" s="26">
        <v>1584</v>
      </c>
      <c r="AG492" s="26">
        <f t="shared" si="143"/>
        <v>54141.120000000003</v>
      </c>
      <c r="AH492" s="23">
        <v>1433</v>
      </c>
      <c r="AI492" s="23">
        <f t="shared" si="144"/>
        <v>47718.899999999994</v>
      </c>
      <c r="AJ492" s="23">
        <v>1730</v>
      </c>
      <c r="AK492" s="23">
        <f t="shared" si="139"/>
        <v>62193.500000000007</v>
      </c>
      <c r="AL492" s="26">
        <v>1706</v>
      </c>
      <c r="AM492" s="26">
        <f t="shared" si="140"/>
        <v>62559.020000000004</v>
      </c>
      <c r="AN492" s="12">
        <f t="shared" si="141"/>
        <v>13923</v>
      </c>
      <c r="AO492" s="22">
        <f t="shared" si="142"/>
        <v>484290.39</v>
      </c>
    </row>
    <row r="493" spans="1:41" x14ac:dyDescent="0.5">
      <c r="A493" s="19">
        <v>489</v>
      </c>
      <c r="B493" s="20" t="s">
        <v>867</v>
      </c>
      <c r="C493" s="21" t="s">
        <v>868</v>
      </c>
      <c r="D493" s="16">
        <v>1033</v>
      </c>
      <c r="E493" s="16">
        <v>10</v>
      </c>
      <c r="F493" s="22">
        <v>752</v>
      </c>
      <c r="G493" s="22">
        <f t="shared" si="147"/>
        <v>23402.240000000002</v>
      </c>
      <c r="H493" s="22">
        <v>215</v>
      </c>
      <c r="I493" s="23">
        <f t="shared" si="148"/>
        <v>6968.15</v>
      </c>
      <c r="J493" s="22">
        <v>224</v>
      </c>
      <c r="K493" s="22">
        <f t="shared" si="149"/>
        <v>7394.24</v>
      </c>
      <c r="L493" s="22"/>
      <c r="M493" s="24">
        <f t="shared" si="150"/>
        <v>0</v>
      </c>
      <c r="N493" s="23">
        <v>166</v>
      </c>
      <c r="O493" s="23">
        <f t="shared" si="151"/>
        <v>6349.5</v>
      </c>
      <c r="P493" s="22">
        <v>482</v>
      </c>
      <c r="Q493" s="22">
        <f t="shared" si="145"/>
        <v>20244</v>
      </c>
      <c r="R493" s="25">
        <v>461</v>
      </c>
      <c r="S493" s="25">
        <f t="shared" si="146"/>
        <v>17840.7</v>
      </c>
      <c r="T493" s="25">
        <v>662</v>
      </c>
      <c r="U493" s="25">
        <f t="shared" si="133"/>
        <v>22309.4</v>
      </c>
      <c r="V493" s="23">
        <v>226</v>
      </c>
      <c r="W493" s="23">
        <f t="shared" si="134"/>
        <v>7412.7999999999993</v>
      </c>
      <c r="X493" s="23">
        <v>688</v>
      </c>
      <c r="Y493" s="23">
        <f t="shared" si="135"/>
        <v>24183.200000000001</v>
      </c>
      <c r="Z493" s="23">
        <v>644</v>
      </c>
      <c r="AA493" s="23">
        <f t="shared" si="136"/>
        <v>22321.039999999997</v>
      </c>
      <c r="AB493" s="23">
        <v>585</v>
      </c>
      <c r="AC493" s="23">
        <f t="shared" si="137"/>
        <v>21089.25</v>
      </c>
      <c r="AD493" s="23">
        <v>659</v>
      </c>
      <c r="AE493" s="23">
        <f t="shared" si="138"/>
        <v>23091.360000000001</v>
      </c>
      <c r="AF493" s="26">
        <v>830</v>
      </c>
      <c r="AG493" s="26">
        <f t="shared" si="143"/>
        <v>28369.4</v>
      </c>
      <c r="AH493" s="23">
        <v>282</v>
      </c>
      <c r="AI493" s="23">
        <f t="shared" si="144"/>
        <v>9390.5999999999985</v>
      </c>
      <c r="AJ493" s="23">
        <v>732</v>
      </c>
      <c r="AK493" s="23">
        <f t="shared" si="139"/>
        <v>26315.4</v>
      </c>
      <c r="AL493" s="26">
        <v>362</v>
      </c>
      <c r="AM493" s="26">
        <f t="shared" si="140"/>
        <v>13274.54</v>
      </c>
      <c r="AN493" s="12">
        <f t="shared" si="141"/>
        <v>7970</v>
      </c>
      <c r="AO493" s="22">
        <f t="shared" si="142"/>
        <v>279955.82</v>
      </c>
    </row>
    <row r="494" spans="1:41" x14ac:dyDescent="0.5">
      <c r="A494" s="19">
        <v>490</v>
      </c>
      <c r="B494" s="20" t="s">
        <v>869</v>
      </c>
      <c r="C494" s="21" t="s">
        <v>870</v>
      </c>
      <c r="D494" s="16">
        <v>1035</v>
      </c>
      <c r="E494" s="16">
        <v>10</v>
      </c>
      <c r="F494" s="22">
        <v>454</v>
      </c>
      <c r="G494" s="22">
        <f t="shared" si="147"/>
        <v>14128.48</v>
      </c>
      <c r="H494" s="22"/>
      <c r="I494" s="23">
        <f t="shared" si="148"/>
        <v>0</v>
      </c>
      <c r="J494" s="22"/>
      <c r="K494" s="22">
        <f t="shared" si="149"/>
        <v>0</v>
      </c>
      <c r="L494" s="22"/>
      <c r="M494" s="24">
        <f t="shared" si="150"/>
        <v>0</v>
      </c>
      <c r="N494" s="23"/>
      <c r="O494" s="23">
        <f t="shared" si="151"/>
        <v>0</v>
      </c>
      <c r="P494" s="22">
        <v>603</v>
      </c>
      <c r="Q494" s="22">
        <f t="shared" si="145"/>
        <v>25326</v>
      </c>
      <c r="R494" s="25">
        <v>432</v>
      </c>
      <c r="S494" s="25">
        <f t="shared" si="146"/>
        <v>16718.400000000001</v>
      </c>
      <c r="T494" s="25">
        <v>790</v>
      </c>
      <c r="U494" s="25">
        <f t="shared" si="133"/>
        <v>26623.000000000004</v>
      </c>
      <c r="V494" s="23">
        <v>647</v>
      </c>
      <c r="W494" s="23">
        <f t="shared" si="134"/>
        <v>21221.599999999999</v>
      </c>
      <c r="X494" s="23">
        <v>737</v>
      </c>
      <c r="Y494" s="23">
        <f t="shared" si="135"/>
        <v>25905.55</v>
      </c>
      <c r="Z494" s="23">
        <v>462</v>
      </c>
      <c r="AA494" s="23">
        <f t="shared" si="136"/>
        <v>16012.919999999998</v>
      </c>
      <c r="AB494" s="23">
        <v>596</v>
      </c>
      <c r="AC494" s="23">
        <f t="shared" si="137"/>
        <v>21485.8</v>
      </c>
      <c r="AD494" s="23">
        <v>618</v>
      </c>
      <c r="AE494" s="23">
        <f t="shared" si="138"/>
        <v>21654.720000000001</v>
      </c>
      <c r="AF494" s="26">
        <v>781</v>
      </c>
      <c r="AG494" s="26">
        <f t="shared" si="143"/>
        <v>26694.579999999998</v>
      </c>
      <c r="AH494" s="23">
        <v>583</v>
      </c>
      <c r="AI494" s="23">
        <f t="shared" si="144"/>
        <v>19413.899999999998</v>
      </c>
      <c r="AJ494" s="23">
        <v>609</v>
      </c>
      <c r="AK494" s="23">
        <f t="shared" si="139"/>
        <v>21893.550000000003</v>
      </c>
      <c r="AL494" s="26">
        <v>684</v>
      </c>
      <c r="AM494" s="26">
        <f t="shared" si="140"/>
        <v>25082.280000000002</v>
      </c>
      <c r="AN494" s="12">
        <f t="shared" si="141"/>
        <v>7996</v>
      </c>
      <c r="AO494" s="22">
        <f t="shared" si="142"/>
        <v>282160.78000000003</v>
      </c>
    </row>
    <row r="495" spans="1:41" x14ac:dyDescent="0.5">
      <c r="A495" s="19">
        <v>491</v>
      </c>
      <c r="B495" s="20" t="s">
        <v>871</v>
      </c>
      <c r="C495" s="21" t="s">
        <v>831</v>
      </c>
      <c r="D495" s="16"/>
      <c r="E495" s="16"/>
      <c r="F495" s="22">
        <v>523</v>
      </c>
      <c r="G495" s="22">
        <f t="shared" si="147"/>
        <v>16275.76</v>
      </c>
      <c r="H495" s="22">
        <v>476</v>
      </c>
      <c r="I495" s="23">
        <f t="shared" si="148"/>
        <v>15427.159999999998</v>
      </c>
      <c r="J495" s="22"/>
      <c r="K495" s="22">
        <f t="shared" si="149"/>
        <v>0</v>
      </c>
      <c r="L495" s="22"/>
      <c r="M495" s="24">
        <f t="shared" si="150"/>
        <v>0</v>
      </c>
      <c r="N495" s="23"/>
      <c r="O495" s="23">
        <f t="shared" si="151"/>
        <v>0</v>
      </c>
      <c r="P495" s="22">
        <v>1183</v>
      </c>
      <c r="Q495" s="22">
        <f t="shared" si="145"/>
        <v>49686</v>
      </c>
      <c r="R495" s="25">
        <v>838</v>
      </c>
      <c r="S495" s="25">
        <f t="shared" si="146"/>
        <v>32430.600000000002</v>
      </c>
      <c r="T495" s="25">
        <v>967</v>
      </c>
      <c r="U495" s="25">
        <f t="shared" si="133"/>
        <v>32587.9</v>
      </c>
      <c r="V495" s="23">
        <v>1016</v>
      </c>
      <c r="W495" s="23">
        <f t="shared" si="134"/>
        <v>33324.799999999996</v>
      </c>
      <c r="X495" s="23">
        <v>1211</v>
      </c>
      <c r="Y495" s="23">
        <f t="shared" si="135"/>
        <v>42566.65</v>
      </c>
      <c r="Z495" s="23">
        <v>1137</v>
      </c>
      <c r="AA495" s="23">
        <f t="shared" si="136"/>
        <v>39408.42</v>
      </c>
      <c r="AB495" s="23"/>
      <c r="AC495" s="23">
        <f t="shared" si="137"/>
        <v>0</v>
      </c>
      <c r="AD495" s="23">
        <v>1179</v>
      </c>
      <c r="AE495" s="23">
        <f t="shared" si="138"/>
        <v>41312.159999999996</v>
      </c>
      <c r="AF495" s="26">
        <v>1424</v>
      </c>
      <c r="AG495" s="26">
        <f t="shared" si="143"/>
        <v>48672.32</v>
      </c>
      <c r="AH495" s="23"/>
      <c r="AI495" s="23">
        <f t="shared" si="144"/>
        <v>0</v>
      </c>
      <c r="AJ495" s="23"/>
      <c r="AK495" s="23">
        <f t="shared" si="139"/>
        <v>0</v>
      </c>
      <c r="AL495" s="26">
        <v>1446</v>
      </c>
      <c r="AM495" s="26">
        <f t="shared" si="140"/>
        <v>53024.82</v>
      </c>
      <c r="AN495" s="12">
        <f t="shared" si="141"/>
        <v>11400</v>
      </c>
      <c r="AO495" s="22">
        <f t="shared" si="142"/>
        <v>404716.58999999997</v>
      </c>
    </row>
    <row r="496" spans="1:41" x14ac:dyDescent="0.5">
      <c r="A496" s="19">
        <v>492</v>
      </c>
      <c r="B496" s="20" t="s">
        <v>497</v>
      </c>
      <c r="C496" s="21" t="s">
        <v>872</v>
      </c>
      <c r="D496" s="16">
        <v>108</v>
      </c>
      <c r="E496" s="16">
        <v>11</v>
      </c>
      <c r="F496" s="22">
        <v>550</v>
      </c>
      <c r="G496" s="22">
        <f t="shared" si="147"/>
        <v>17116</v>
      </c>
      <c r="H496" s="22">
        <v>244</v>
      </c>
      <c r="I496" s="23">
        <f t="shared" si="148"/>
        <v>7908.0399999999991</v>
      </c>
      <c r="J496" s="22">
        <v>232</v>
      </c>
      <c r="K496" s="22">
        <f t="shared" si="149"/>
        <v>7658.32</v>
      </c>
      <c r="L496" s="22">
        <v>260</v>
      </c>
      <c r="M496" s="24">
        <f t="shared" si="150"/>
        <v>9131.1999999999989</v>
      </c>
      <c r="N496" s="23">
        <v>123</v>
      </c>
      <c r="O496" s="23">
        <f t="shared" si="151"/>
        <v>4704.75</v>
      </c>
      <c r="P496" s="22">
        <v>178</v>
      </c>
      <c r="Q496" s="22">
        <f t="shared" si="145"/>
        <v>7476</v>
      </c>
      <c r="R496" s="25">
        <v>322</v>
      </c>
      <c r="S496" s="25">
        <f t="shared" si="146"/>
        <v>12461.400000000001</v>
      </c>
      <c r="T496" s="25">
        <v>296</v>
      </c>
      <c r="U496" s="25">
        <f t="shared" si="133"/>
        <v>9975.2000000000007</v>
      </c>
      <c r="V496" s="23">
        <v>386</v>
      </c>
      <c r="W496" s="23">
        <f t="shared" si="134"/>
        <v>12660.8</v>
      </c>
      <c r="X496" s="23">
        <v>406</v>
      </c>
      <c r="Y496" s="23">
        <f t="shared" si="135"/>
        <v>14270.9</v>
      </c>
      <c r="Z496" s="23">
        <v>404</v>
      </c>
      <c r="AA496" s="23">
        <f t="shared" si="136"/>
        <v>14002.64</v>
      </c>
      <c r="AB496" s="23">
        <v>179</v>
      </c>
      <c r="AC496" s="23">
        <f t="shared" si="137"/>
        <v>6452.95</v>
      </c>
      <c r="AD496" s="23">
        <v>453</v>
      </c>
      <c r="AE496" s="23">
        <f t="shared" si="138"/>
        <v>15873.119999999999</v>
      </c>
      <c r="AF496" s="26">
        <v>515</v>
      </c>
      <c r="AG496" s="26">
        <f t="shared" si="143"/>
        <v>17602.7</v>
      </c>
      <c r="AH496" s="23">
        <v>468</v>
      </c>
      <c r="AI496" s="23">
        <f t="shared" si="144"/>
        <v>15584.399999999998</v>
      </c>
      <c r="AJ496" s="23"/>
      <c r="AK496" s="23">
        <f t="shared" si="139"/>
        <v>0</v>
      </c>
      <c r="AL496" s="26"/>
      <c r="AM496" s="26">
        <f t="shared" si="140"/>
        <v>0</v>
      </c>
      <c r="AN496" s="12">
        <f t="shared" si="141"/>
        <v>5016</v>
      </c>
      <c r="AO496" s="22">
        <f t="shared" si="142"/>
        <v>172878.41999999998</v>
      </c>
    </row>
    <row r="497" spans="1:41" x14ac:dyDescent="0.5">
      <c r="A497" s="19">
        <v>493</v>
      </c>
      <c r="B497" s="20" t="s">
        <v>873</v>
      </c>
      <c r="C497" s="21" t="s">
        <v>874</v>
      </c>
      <c r="D497" s="16">
        <v>148</v>
      </c>
      <c r="E497" s="16">
        <v>11</v>
      </c>
      <c r="F497" s="22"/>
      <c r="G497" s="22">
        <f t="shared" si="147"/>
        <v>0</v>
      </c>
      <c r="H497" s="22"/>
      <c r="I497" s="23">
        <f t="shared" si="148"/>
        <v>0</v>
      </c>
      <c r="J497" s="22"/>
      <c r="K497" s="22">
        <f t="shared" si="149"/>
        <v>0</v>
      </c>
      <c r="L497" s="29"/>
      <c r="M497" s="24">
        <f t="shared" si="150"/>
        <v>0</v>
      </c>
      <c r="N497" s="30"/>
      <c r="O497" s="23">
        <f t="shared" si="151"/>
        <v>0</v>
      </c>
      <c r="P497" s="22">
        <v>160</v>
      </c>
      <c r="Q497" s="22">
        <f t="shared" si="145"/>
        <v>6720</v>
      </c>
      <c r="R497" s="25">
        <v>289</v>
      </c>
      <c r="S497" s="25">
        <f t="shared" si="146"/>
        <v>11184.300000000001</v>
      </c>
      <c r="T497" s="25">
        <v>162</v>
      </c>
      <c r="U497" s="25">
        <f t="shared" si="133"/>
        <v>5459.4000000000005</v>
      </c>
      <c r="V497" s="23">
        <v>172</v>
      </c>
      <c r="W497" s="23">
        <f t="shared" si="134"/>
        <v>5641.5999999999995</v>
      </c>
      <c r="X497" s="23"/>
      <c r="Y497" s="23">
        <f t="shared" si="135"/>
        <v>0</v>
      </c>
      <c r="Z497" s="23"/>
      <c r="AA497" s="23">
        <f t="shared" si="136"/>
        <v>0</v>
      </c>
      <c r="AB497" s="23"/>
      <c r="AC497" s="23">
        <f t="shared" si="137"/>
        <v>0</v>
      </c>
      <c r="AD497" s="23"/>
      <c r="AE497" s="23">
        <f t="shared" si="138"/>
        <v>0</v>
      </c>
      <c r="AF497" s="26"/>
      <c r="AG497" s="26">
        <f t="shared" si="143"/>
        <v>0</v>
      </c>
      <c r="AH497" s="23">
        <v>277</v>
      </c>
      <c r="AI497" s="23">
        <f t="shared" si="144"/>
        <v>9224.0999999999985</v>
      </c>
      <c r="AJ497" s="23">
        <v>352</v>
      </c>
      <c r="AK497" s="23">
        <f t="shared" si="139"/>
        <v>12654.400000000001</v>
      </c>
      <c r="AL497" s="26"/>
      <c r="AM497" s="26">
        <f t="shared" si="140"/>
        <v>0</v>
      </c>
      <c r="AN497" s="12">
        <f t="shared" si="141"/>
        <v>1412</v>
      </c>
      <c r="AO497" s="22">
        <f t="shared" si="142"/>
        <v>50883.8</v>
      </c>
    </row>
    <row r="498" spans="1:41" x14ac:dyDescent="0.5">
      <c r="A498" s="19">
        <v>494</v>
      </c>
      <c r="B498" s="20" t="s">
        <v>875</v>
      </c>
      <c r="C498" s="21" t="s">
        <v>876</v>
      </c>
      <c r="D498" s="16">
        <v>158</v>
      </c>
      <c r="E498" s="16">
        <v>11</v>
      </c>
      <c r="F498" s="22">
        <v>500</v>
      </c>
      <c r="G498" s="22">
        <f t="shared" si="147"/>
        <v>15560</v>
      </c>
      <c r="H498" s="22">
        <v>190</v>
      </c>
      <c r="I498" s="23">
        <f t="shared" si="148"/>
        <v>6157.9</v>
      </c>
      <c r="J498" s="22">
        <v>284</v>
      </c>
      <c r="K498" s="22">
        <f t="shared" si="149"/>
        <v>9374.84</v>
      </c>
      <c r="L498" s="29">
        <v>200</v>
      </c>
      <c r="M498" s="24">
        <f t="shared" si="150"/>
        <v>7023.9999999999991</v>
      </c>
      <c r="N498" s="30"/>
      <c r="O498" s="23">
        <f t="shared" si="151"/>
        <v>0</v>
      </c>
      <c r="P498" s="22">
        <v>159</v>
      </c>
      <c r="Q498" s="22">
        <f t="shared" si="145"/>
        <v>6678</v>
      </c>
      <c r="R498" s="25"/>
      <c r="S498" s="25">
        <f t="shared" si="146"/>
        <v>0</v>
      </c>
      <c r="T498" s="25">
        <v>612</v>
      </c>
      <c r="U498" s="25">
        <f t="shared" si="133"/>
        <v>20624.400000000001</v>
      </c>
      <c r="V498" s="23">
        <v>739</v>
      </c>
      <c r="W498" s="23">
        <f t="shared" si="134"/>
        <v>24239.199999999997</v>
      </c>
      <c r="X498" s="23">
        <v>1010</v>
      </c>
      <c r="Y498" s="23">
        <f t="shared" si="135"/>
        <v>35501.5</v>
      </c>
      <c r="Z498" s="23">
        <v>722</v>
      </c>
      <c r="AA498" s="23">
        <f t="shared" si="136"/>
        <v>25024.519999999997</v>
      </c>
      <c r="AB498" s="23"/>
      <c r="AC498" s="23">
        <f t="shared" si="137"/>
        <v>0</v>
      </c>
      <c r="AD498" s="23">
        <v>434</v>
      </c>
      <c r="AE498" s="23">
        <f t="shared" si="138"/>
        <v>15207.359999999999</v>
      </c>
      <c r="AF498" s="26">
        <v>461</v>
      </c>
      <c r="AG498" s="26">
        <f t="shared" si="143"/>
        <v>15756.98</v>
      </c>
      <c r="AH498" s="23">
        <v>580</v>
      </c>
      <c r="AI498" s="23">
        <f t="shared" si="144"/>
        <v>19314</v>
      </c>
      <c r="AJ498" s="23">
        <v>533</v>
      </c>
      <c r="AK498" s="23">
        <f t="shared" si="139"/>
        <v>19161.350000000002</v>
      </c>
      <c r="AL498" s="26">
        <v>456</v>
      </c>
      <c r="AM498" s="26">
        <f t="shared" si="140"/>
        <v>16721.52</v>
      </c>
      <c r="AN498" s="12">
        <f t="shared" si="141"/>
        <v>6880</v>
      </c>
      <c r="AO498" s="22">
        <f t="shared" si="142"/>
        <v>236345.56999999998</v>
      </c>
    </row>
    <row r="499" spans="1:41" x14ac:dyDescent="0.5">
      <c r="A499" s="19">
        <v>495</v>
      </c>
      <c r="B499" s="20" t="s">
        <v>877</v>
      </c>
      <c r="C499" s="21" t="s">
        <v>878</v>
      </c>
      <c r="D499" s="16">
        <v>159</v>
      </c>
      <c r="E499" s="16">
        <v>11</v>
      </c>
      <c r="F499" s="22">
        <v>751</v>
      </c>
      <c r="G499" s="22">
        <f t="shared" si="147"/>
        <v>23371.119999999999</v>
      </c>
      <c r="H499" s="22">
        <v>324</v>
      </c>
      <c r="I499" s="23">
        <f t="shared" si="148"/>
        <v>10500.839999999998</v>
      </c>
      <c r="J499" s="22">
        <v>488</v>
      </c>
      <c r="K499" s="22">
        <f t="shared" si="149"/>
        <v>16108.88</v>
      </c>
      <c r="L499" s="22">
        <v>388</v>
      </c>
      <c r="M499" s="24">
        <f t="shared" si="150"/>
        <v>13626.56</v>
      </c>
      <c r="N499" s="23"/>
      <c r="O499" s="23">
        <f t="shared" si="151"/>
        <v>0</v>
      </c>
      <c r="P499" s="22">
        <v>623</v>
      </c>
      <c r="Q499" s="22">
        <f t="shared" si="145"/>
        <v>26166</v>
      </c>
      <c r="R499" s="25">
        <v>932</v>
      </c>
      <c r="S499" s="25">
        <f t="shared" si="146"/>
        <v>36068.400000000001</v>
      </c>
      <c r="T499" s="25">
        <v>1184</v>
      </c>
      <c r="U499" s="25">
        <f t="shared" si="133"/>
        <v>39900.800000000003</v>
      </c>
      <c r="V499" s="23">
        <v>1120</v>
      </c>
      <c r="W499" s="23">
        <f t="shared" si="134"/>
        <v>36736</v>
      </c>
      <c r="X499" s="23">
        <v>830</v>
      </c>
      <c r="Y499" s="23">
        <f t="shared" si="135"/>
        <v>29174.5</v>
      </c>
      <c r="Z499" s="23">
        <v>1130</v>
      </c>
      <c r="AA499" s="23">
        <f t="shared" si="136"/>
        <v>39165.799999999996</v>
      </c>
      <c r="AB499" s="23">
        <v>814</v>
      </c>
      <c r="AC499" s="23">
        <f t="shared" si="137"/>
        <v>29344.699999999997</v>
      </c>
      <c r="AD499" s="23">
        <v>1040</v>
      </c>
      <c r="AE499" s="23">
        <f t="shared" si="138"/>
        <v>36441.599999999999</v>
      </c>
      <c r="AF499" s="26">
        <v>728</v>
      </c>
      <c r="AG499" s="26">
        <f t="shared" si="143"/>
        <v>24883.040000000001</v>
      </c>
      <c r="AH499" s="23">
        <v>974</v>
      </c>
      <c r="AI499" s="23">
        <f t="shared" si="144"/>
        <v>32434.199999999997</v>
      </c>
      <c r="AJ499" s="23">
        <v>1041</v>
      </c>
      <c r="AK499" s="23">
        <f t="shared" si="139"/>
        <v>37423.950000000004</v>
      </c>
      <c r="AL499" s="26">
        <v>1494</v>
      </c>
      <c r="AM499" s="26">
        <f t="shared" si="140"/>
        <v>54784.98</v>
      </c>
      <c r="AN499" s="12">
        <f t="shared" si="141"/>
        <v>13861</v>
      </c>
      <c r="AO499" s="22">
        <f t="shared" si="142"/>
        <v>486131.36999999994</v>
      </c>
    </row>
    <row r="500" spans="1:41" x14ac:dyDescent="0.5">
      <c r="A500" s="19">
        <v>496</v>
      </c>
      <c r="B500" s="20" t="s">
        <v>227</v>
      </c>
      <c r="C500" s="21" t="s">
        <v>330</v>
      </c>
      <c r="D500" s="16">
        <v>232</v>
      </c>
      <c r="E500" s="16">
        <v>11</v>
      </c>
      <c r="F500" s="22">
        <v>1563</v>
      </c>
      <c r="G500" s="22">
        <f t="shared" si="147"/>
        <v>48640.560000000005</v>
      </c>
      <c r="H500" s="22">
        <v>932</v>
      </c>
      <c r="I500" s="23">
        <f t="shared" si="148"/>
        <v>30206.119999999995</v>
      </c>
      <c r="J500" s="22">
        <v>420</v>
      </c>
      <c r="K500" s="22">
        <f t="shared" si="149"/>
        <v>13864.199999999999</v>
      </c>
      <c r="L500" s="22">
        <v>343</v>
      </c>
      <c r="M500" s="24">
        <f t="shared" si="150"/>
        <v>12046.16</v>
      </c>
      <c r="N500" s="23">
        <v>1019</v>
      </c>
      <c r="O500" s="23">
        <f t="shared" si="151"/>
        <v>38976.75</v>
      </c>
      <c r="P500" s="22">
        <v>772</v>
      </c>
      <c r="Q500" s="22">
        <f t="shared" si="145"/>
        <v>32424</v>
      </c>
      <c r="R500" s="25">
        <v>1203</v>
      </c>
      <c r="S500" s="25">
        <f t="shared" si="146"/>
        <v>46556.100000000006</v>
      </c>
      <c r="T500" s="25">
        <v>1188</v>
      </c>
      <c r="U500" s="25">
        <f t="shared" si="133"/>
        <v>40035.600000000006</v>
      </c>
      <c r="V500" s="23">
        <v>1117</v>
      </c>
      <c r="W500" s="23">
        <f t="shared" si="134"/>
        <v>36637.599999999999</v>
      </c>
      <c r="X500" s="23">
        <v>1411</v>
      </c>
      <c r="Y500" s="23">
        <f t="shared" si="135"/>
        <v>49596.65</v>
      </c>
      <c r="Z500" s="23">
        <v>1274</v>
      </c>
      <c r="AA500" s="23">
        <f t="shared" si="136"/>
        <v>44156.84</v>
      </c>
      <c r="AB500" s="23">
        <v>557</v>
      </c>
      <c r="AC500" s="23">
        <f t="shared" si="137"/>
        <v>20079.849999999999</v>
      </c>
      <c r="AD500" s="23">
        <v>668</v>
      </c>
      <c r="AE500" s="23">
        <f t="shared" si="138"/>
        <v>23406.720000000001</v>
      </c>
      <c r="AF500" s="26">
        <v>1389</v>
      </c>
      <c r="AG500" s="26">
        <f t="shared" si="143"/>
        <v>47476.02</v>
      </c>
      <c r="AH500" s="23">
        <v>1237</v>
      </c>
      <c r="AI500" s="23">
        <f t="shared" si="144"/>
        <v>41192.1</v>
      </c>
      <c r="AJ500" s="23">
        <v>1844</v>
      </c>
      <c r="AK500" s="23">
        <f t="shared" si="139"/>
        <v>66291.8</v>
      </c>
      <c r="AL500" s="26">
        <v>2220</v>
      </c>
      <c r="AM500" s="26">
        <f t="shared" si="140"/>
        <v>81407.400000000009</v>
      </c>
      <c r="AN500" s="12">
        <f t="shared" si="141"/>
        <v>19157</v>
      </c>
      <c r="AO500" s="22">
        <f t="shared" si="142"/>
        <v>672994.47</v>
      </c>
    </row>
    <row r="501" spans="1:41" s="31" customFormat="1" x14ac:dyDescent="0.5">
      <c r="A501" s="19">
        <v>497</v>
      </c>
      <c r="B501" s="27" t="s">
        <v>879</v>
      </c>
      <c r="C501" s="28" t="s">
        <v>880</v>
      </c>
      <c r="D501" s="16">
        <v>389</v>
      </c>
      <c r="E501" s="16">
        <v>11</v>
      </c>
      <c r="F501" s="22"/>
      <c r="G501" s="22">
        <f t="shared" si="147"/>
        <v>0</v>
      </c>
      <c r="H501" s="22"/>
      <c r="I501" s="23">
        <f t="shared" si="148"/>
        <v>0</v>
      </c>
      <c r="J501" s="22"/>
      <c r="K501" s="22">
        <f t="shared" si="149"/>
        <v>0</v>
      </c>
      <c r="L501" s="22"/>
      <c r="M501" s="24">
        <f t="shared" si="150"/>
        <v>0</v>
      </c>
      <c r="N501" s="23"/>
      <c r="O501" s="23">
        <f t="shared" si="151"/>
        <v>0</v>
      </c>
      <c r="P501" s="22"/>
      <c r="Q501" s="22">
        <f t="shared" si="145"/>
        <v>0</v>
      </c>
      <c r="R501" s="25"/>
      <c r="S501" s="25">
        <f t="shared" si="146"/>
        <v>0</v>
      </c>
      <c r="T501" s="25"/>
      <c r="U501" s="25">
        <f t="shared" si="133"/>
        <v>0</v>
      </c>
      <c r="V501" s="23"/>
      <c r="W501" s="23">
        <f t="shared" si="134"/>
        <v>0</v>
      </c>
      <c r="X501" s="23"/>
      <c r="Y501" s="23">
        <f t="shared" si="135"/>
        <v>0</v>
      </c>
      <c r="Z501" s="23"/>
      <c r="AA501" s="23">
        <f t="shared" si="136"/>
        <v>0</v>
      </c>
      <c r="AB501" s="23"/>
      <c r="AC501" s="23">
        <f t="shared" si="137"/>
        <v>0</v>
      </c>
      <c r="AD501" s="23"/>
      <c r="AE501" s="23">
        <f t="shared" si="138"/>
        <v>0</v>
      </c>
      <c r="AF501" s="26"/>
      <c r="AG501" s="26">
        <f t="shared" si="143"/>
        <v>0</v>
      </c>
      <c r="AH501" s="23"/>
      <c r="AI501" s="23">
        <f t="shared" si="144"/>
        <v>0</v>
      </c>
      <c r="AJ501" s="23"/>
      <c r="AK501" s="23">
        <f t="shared" si="139"/>
        <v>0</v>
      </c>
      <c r="AL501" s="23"/>
      <c r="AM501" s="26">
        <f t="shared" si="140"/>
        <v>0</v>
      </c>
      <c r="AN501" s="12">
        <f t="shared" si="141"/>
        <v>0</v>
      </c>
      <c r="AO501" s="22">
        <f t="shared" si="142"/>
        <v>0</v>
      </c>
    </row>
    <row r="502" spans="1:41" x14ac:dyDescent="0.5">
      <c r="A502" s="19">
        <v>498</v>
      </c>
      <c r="B502" s="20" t="s">
        <v>881</v>
      </c>
      <c r="C502" s="21" t="s">
        <v>882</v>
      </c>
      <c r="D502" s="16">
        <v>504</v>
      </c>
      <c r="E502" s="16">
        <v>11</v>
      </c>
      <c r="F502" s="22">
        <v>676</v>
      </c>
      <c r="G502" s="22">
        <f t="shared" si="147"/>
        <v>21037.119999999999</v>
      </c>
      <c r="H502" s="22">
        <v>387</v>
      </c>
      <c r="I502" s="23">
        <f t="shared" si="148"/>
        <v>12542.669999999998</v>
      </c>
      <c r="J502" s="22">
        <v>448</v>
      </c>
      <c r="K502" s="22">
        <f t="shared" si="149"/>
        <v>14788.48</v>
      </c>
      <c r="L502" s="29"/>
      <c r="M502" s="24">
        <f t="shared" si="150"/>
        <v>0</v>
      </c>
      <c r="N502" s="30"/>
      <c r="O502" s="23">
        <f t="shared" si="151"/>
        <v>0</v>
      </c>
      <c r="P502" s="22">
        <v>387</v>
      </c>
      <c r="Q502" s="22">
        <f t="shared" si="145"/>
        <v>16254</v>
      </c>
      <c r="R502" s="25">
        <v>208</v>
      </c>
      <c r="S502" s="25">
        <f t="shared" si="146"/>
        <v>8049.6</v>
      </c>
      <c r="T502" s="25">
        <v>611</v>
      </c>
      <c r="U502" s="25">
        <f t="shared" si="133"/>
        <v>20590.7</v>
      </c>
      <c r="V502" s="23">
        <v>516</v>
      </c>
      <c r="W502" s="23">
        <f t="shared" si="134"/>
        <v>16924.8</v>
      </c>
      <c r="X502" s="23">
        <v>610</v>
      </c>
      <c r="Y502" s="23">
        <f t="shared" si="135"/>
        <v>21441.5</v>
      </c>
      <c r="Z502" s="23">
        <v>250</v>
      </c>
      <c r="AA502" s="23">
        <f t="shared" si="136"/>
        <v>8665</v>
      </c>
      <c r="AB502" s="23"/>
      <c r="AC502" s="23">
        <f t="shared" si="137"/>
        <v>0</v>
      </c>
      <c r="AD502" s="23">
        <v>744</v>
      </c>
      <c r="AE502" s="23">
        <f t="shared" si="138"/>
        <v>26069.759999999998</v>
      </c>
      <c r="AF502" s="26">
        <v>492</v>
      </c>
      <c r="AG502" s="26">
        <f t="shared" si="143"/>
        <v>16816.560000000001</v>
      </c>
      <c r="AH502" s="23">
        <v>662</v>
      </c>
      <c r="AI502" s="23">
        <f t="shared" si="144"/>
        <v>22044.6</v>
      </c>
      <c r="AJ502" s="23">
        <v>750</v>
      </c>
      <c r="AK502" s="23">
        <f t="shared" si="139"/>
        <v>26962.500000000004</v>
      </c>
      <c r="AL502" s="26">
        <v>598</v>
      </c>
      <c r="AM502" s="26">
        <f t="shared" si="140"/>
        <v>21928.66</v>
      </c>
      <c r="AN502" s="12">
        <f t="shared" si="141"/>
        <v>7339</v>
      </c>
      <c r="AO502" s="22">
        <f t="shared" si="142"/>
        <v>254115.95</v>
      </c>
    </row>
    <row r="503" spans="1:41" s="31" customFormat="1" x14ac:dyDescent="0.5">
      <c r="A503" s="19">
        <v>499</v>
      </c>
      <c r="B503" s="27" t="s">
        <v>883</v>
      </c>
      <c r="C503" s="28" t="s">
        <v>884</v>
      </c>
      <c r="D503" s="16">
        <v>508</v>
      </c>
      <c r="E503" s="16">
        <v>11</v>
      </c>
      <c r="F503" s="22"/>
      <c r="G503" s="22">
        <f t="shared" si="147"/>
        <v>0</v>
      </c>
      <c r="H503" s="22"/>
      <c r="I503" s="23">
        <f t="shared" si="148"/>
        <v>0</v>
      </c>
      <c r="J503" s="22"/>
      <c r="K503" s="22">
        <f t="shared" si="149"/>
        <v>0</v>
      </c>
      <c r="L503" s="22"/>
      <c r="M503" s="24">
        <f t="shared" si="150"/>
        <v>0</v>
      </c>
      <c r="N503" s="23"/>
      <c r="O503" s="23">
        <f t="shared" si="151"/>
        <v>0</v>
      </c>
      <c r="P503" s="22"/>
      <c r="Q503" s="22">
        <f t="shared" si="145"/>
        <v>0</v>
      </c>
      <c r="R503" s="25"/>
      <c r="S503" s="25">
        <f t="shared" si="146"/>
        <v>0</v>
      </c>
      <c r="T503" s="25"/>
      <c r="U503" s="25">
        <f t="shared" si="133"/>
        <v>0</v>
      </c>
      <c r="V503" s="23"/>
      <c r="W503" s="23">
        <f t="shared" si="134"/>
        <v>0</v>
      </c>
      <c r="X503" s="23"/>
      <c r="Y503" s="23">
        <f t="shared" si="135"/>
        <v>0</v>
      </c>
      <c r="Z503" s="23"/>
      <c r="AA503" s="23">
        <f t="shared" si="136"/>
        <v>0</v>
      </c>
      <c r="AB503" s="23"/>
      <c r="AC503" s="23">
        <f t="shared" si="137"/>
        <v>0</v>
      </c>
      <c r="AD503" s="23"/>
      <c r="AE503" s="23">
        <f t="shared" si="138"/>
        <v>0</v>
      </c>
      <c r="AF503" s="26"/>
      <c r="AG503" s="26">
        <f t="shared" si="143"/>
        <v>0</v>
      </c>
      <c r="AH503" s="23"/>
      <c r="AI503" s="23">
        <f t="shared" si="144"/>
        <v>0</v>
      </c>
      <c r="AJ503" s="23"/>
      <c r="AK503" s="23">
        <f t="shared" si="139"/>
        <v>0</v>
      </c>
      <c r="AL503" s="23"/>
      <c r="AM503" s="26">
        <f t="shared" si="140"/>
        <v>0</v>
      </c>
      <c r="AN503" s="12">
        <f t="shared" si="141"/>
        <v>0</v>
      </c>
      <c r="AO503" s="22">
        <f t="shared" si="142"/>
        <v>0</v>
      </c>
    </row>
    <row r="504" spans="1:41" s="31" customFormat="1" x14ac:dyDescent="0.5">
      <c r="A504" s="19">
        <v>500</v>
      </c>
      <c r="B504" s="27" t="s">
        <v>885</v>
      </c>
      <c r="C504" s="28" t="s">
        <v>886</v>
      </c>
      <c r="D504" s="16">
        <v>512</v>
      </c>
      <c r="E504" s="16">
        <v>11</v>
      </c>
      <c r="F504" s="22"/>
      <c r="G504" s="22">
        <f t="shared" si="147"/>
        <v>0</v>
      </c>
      <c r="H504" s="22"/>
      <c r="I504" s="23">
        <f t="shared" si="148"/>
        <v>0</v>
      </c>
      <c r="J504" s="22"/>
      <c r="K504" s="22">
        <f t="shared" si="149"/>
        <v>0</v>
      </c>
      <c r="L504" s="22"/>
      <c r="M504" s="24">
        <f t="shared" si="150"/>
        <v>0</v>
      </c>
      <c r="N504" s="23"/>
      <c r="O504" s="23">
        <f t="shared" si="151"/>
        <v>0</v>
      </c>
      <c r="P504" s="22"/>
      <c r="Q504" s="22">
        <f t="shared" si="145"/>
        <v>0</v>
      </c>
      <c r="R504" s="25"/>
      <c r="S504" s="25">
        <f t="shared" si="146"/>
        <v>0</v>
      </c>
      <c r="T504" s="25"/>
      <c r="U504" s="25">
        <f t="shared" si="133"/>
        <v>0</v>
      </c>
      <c r="V504" s="23"/>
      <c r="W504" s="23">
        <f t="shared" si="134"/>
        <v>0</v>
      </c>
      <c r="X504" s="23"/>
      <c r="Y504" s="23">
        <f t="shared" si="135"/>
        <v>0</v>
      </c>
      <c r="Z504" s="23"/>
      <c r="AA504" s="23">
        <f t="shared" si="136"/>
        <v>0</v>
      </c>
      <c r="AB504" s="23"/>
      <c r="AC504" s="23">
        <f t="shared" si="137"/>
        <v>0</v>
      </c>
      <c r="AD504" s="23"/>
      <c r="AE504" s="23">
        <f t="shared" si="138"/>
        <v>0</v>
      </c>
      <c r="AF504" s="26"/>
      <c r="AG504" s="26">
        <f t="shared" si="143"/>
        <v>0</v>
      </c>
      <c r="AH504" s="23"/>
      <c r="AI504" s="23">
        <f t="shared" si="144"/>
        <v>0</v>
      </c>
      <c r="AJ504" s="23"/>
      <c r="AK504" s="23">
        <f t="shared" si="139"/>
        <v>0</v>
      </c>
      <c r="AL504" s="23"/>
      <c r="AM504" s="26">
        <f t="shared" si="140"/>
        <v>0</v>
      </c>
      <c r="AN504" s="12">
        <f t="shared" si="141"/>
        <v>0</v>
      </c>
      <c r="AO504" s="22">
        <f t="shared" si="142"/>
        <v>0</v>
      </c>
    </row>
    <row r="505" spans="1:41" x14ac:dyDescent="0.5">
      <c r="A505" s="19">
        <v>501</v>
      </c>
      <c r="B505" s="20" t="s">
        <v>390</v>
      </c>
      <c r="C505" s="21" t="s">
        <v>423</v>
      </c>
      <c r="D505" s="16">
        <v>599</v>
      </c>
      <c r="E505" s="16">
        <v>11</v>
      </c>
      <c r="F505" s="22">
        <v>291</v>
      </c>
      <c r="G505" s="22">
        <f t="shared" si="147"/>
        <v>9055.92</v>
      </c>
      <c r="H505" s="22"/>
      <c r="I505" s="23">
        <f t="shared" si="148"/>
        <v>0</v>
      </c>
      <c r="J505" s="22">
        <v>180</v>
      </c>
      <c r="K505" s="22">
        <f t="shared" si="149"/>
        <v>5941.7999999999993</v>
      </c>
      <c r="L505" s="22"/>
      <c r="M505" s="24">
        <f t="shared" si="150"/>
        <v>0</v>
      </c>
      <c r="N505" s="23"/>
      <c r="O505" s="23">
        <f t="shared" si="151"/>
        <v>0</v>
      </c>
      <c r="P505" s="22">
        <v>328</v>
      </c>
      <c r="Q505" s="22">
        <f t="shared" si="145"/>
        <v>13776</v>
      </c>
      <c r="R505" s="25">
        <v>434</v>
      </c>
      <c r="S505" s="25">
        <f t="shared" si="146"/>
        <v>16795.800000000003</v>
      </c>
      <c r="T505" s="25">
        <v>409</v>
      </c>
      <c r="U505" s="25">
        <f t="shared" si="133"/>
        <v>13783.300000000001</v>
      </c>
      <c r="V505" s="23">
        <v>334</v>
      </c>
      <c r="W505" s="23">
        <f t="shared" si="134"/>
        <v>10955.199999999999</v>
      </c>
      <c r="X505" s="23">
        <v>395</v>
      </c>
      <c r="Y505" s="23">
        <f t="shared" si="135"/>
        <v>13884.25</v>
      </c>
      <c r="Z505" s="23">
        <v>474</v>
      </c>
      <c r="AA505" s="23">
        <f t="shared" si="136"/>
        <v>16428.84</v>
      </c>
      <c r="AB505" s="23">
        <v>420</v>
      </c>
      <c r="AC505" s="23">
        <f t="shared" si="137"/>
        <v>15140.999999999998</v>
      </c>
      <c r="AD505" s="23">
        <v>416</v>
      </c>
      <c r="AE505" s="23">
        <f t="shared" si="138"/>
        <v>14576.64</v>
      </c>
      <c r="AF505" s="26">
        <v>439</v>
      </c>
      <c r="AG505" s="26">
        <f t="shared" si="143"/>
        <v>15005.02</v>
      </c>
      <c r="AH505" s="23">
        <v>389</v>
      </c>
      <c r="AI505" s="23">
        <f t="shared" si="144"/>
        <v>12953.699999999999</v>
      </c>
      <c r="AJ505" s="23">
        <v>528</v>
      </c>
      <c r="AK505" s="23">
        <f t="shared" si="139"/>
        <v>18981.600000000002</v>
      </c>
      <c r="AL505" s="26">
        <v>494</v>
      </c>
      <c r="AM505" s="26">
        <f t="shared" si="140"/>
        <v>18114.98</v>
      </c>
      <c r="AN505" s="12">
        <f t="shared" si="141"/>
        <v>5531</v>
      </c>
      <c r="AO505" s="22">
        <f t="shared" si="142"/>
        <v>195394.05000000002</v>
      </c>
    </row>
    <row r="506" spans="1:41" s="31" customFormat="1" x14ac:dyDescent="0.5">
      <c r="A506" s="19">
        <v>502</v>
      </c>
      <c r="B506" s="27" t="s">
        <v>887</v>
      </c>
      <c r="C506" s="28" t="s">
        <v>769</v>
      </c>
      <c r="D506" s="16">
        <v>604</v>
      </c>
      <c r="E506" s="16">
        <v>11</v>
      </c>
      <c r="F506" s="22">
        <v>111</v>
      </c>
      <c r="G506" s="22">
        <f t="shared" si="147"/>
        <v>3454.32</v>
      </c>
      <c r="H506" s="22"/>
      <c r="I506" s="23">
        <f t="shared" si="148"/>
        <v>0</v>
      </c>
      <c r="J506" s="22"/>
      <c r="K506" s="22">
        <f t="shared" si="149"/>
        <v>0</v>
      </c>
      <c r="L506" s="22"/>
      <c r="M506" s="24">
        <f t="shared" si="150"/>
        <v>0</v>
      </c>
      <c r="N506" s="23"/>
      <c r="O506" s="23">
        <f t="shared" si="151"/>
        <v>0</v>
      </c>
      <c r="P506" s="22">
        <v>141</v>
      </c>
      <c r="Q506" s="22">
        <f t="shared" si="145"/>
        <v>5922</v>
      </c>
      <c r="R506" s="25">
        <v>287</v>
      </c>
      <c r="S506" s="25">
        <f t="shared" si="146"/>
        <v>11106.900000000001</v>
      </c>
      <c r="T506" s="25">
        <v>333</v>
      </c>
      <c r="U506" s="25">
        <f t="shared" si="133"/>
        <v>11222.1</v>
      </c>
      <c r="V506" s="23"/>
      <c r="W506" s="23">
        <f t="shared" si="134"/>
        <v>0</v>
      </c>
      <c r="X506" s="23"/>
      <c r="Y506" s="23">
        <f t="shared" si="135"/>
        <v>0</v>
      </c>
      <c r="Z506" s="23"/>
      <c r="AA506" s="23">
        <f t="shared" si="136"/>
        <v>0</v>
      </c>
      <c r="AB506" s="23"/>
      <c r="AC506" s="23">
        <f t="shared" si="137"/>
        <v>0</v>
      </c>
      <c r="AD506" s="23"/>
      <c r="AE506" s="23">
        <f t="shared" si="138"/>
        <v>0</v>
      </c>
      <c r="AF506" s="26"/>
      <c r="AG506" s="26">
        <f t="shared" si="143"/>
        <v>0</v>
      </c>
      <c r="AH506" s="23"/>
      <c r="AI506" s="23">
        <f t="shared" si="144"/>
        <v>0</v>
      </c>
      <c r="AJ506" s="23"/>
      <c r="AK506" s="23">
        <f t="shared" si="139"/>
        <v>0</v>
      </c>
      <c r="AL506" s="23"/>
      <c r="AM506" s="26">
        <f t="shared" si="140"/>
        <v>0</v>
      </c>
      <c r="AN506" s="12">
        <f t="shared" si="141"/>
        <v>872</v>
      </c>
      <c r="AO506" s="22">
        <f t="shared" si="142"/>
        <v>31705.32</v>
      </c>
    </row>
    <row r="507" spans="1:41" x14ac:dyDescent="0.5">
      <c r="A507" s="19">
        <v>503</v>
      </c>
      <c r="B507" s="20" t="s">
        <v>888</v>
      </c>
      <c r="C507" s="21" t="s">
        <v>889</v>
      </c>
      <c r="D507" s="16">
        <v>638</v>
      </c>
      <c r="E507" s="16">
        <v>11</v>
      </c>
      <c r="F507" s="22"/>
      <c r="G507" s="22">
        <f t="shared" si="147"/>
        <v>0</v>
      </c>
      <c r="H507" s="22"/>
      <c r="I507" s="23">
        <f t="shared" si="148"/>
        <v>0</v>
      </c>
      <c r="J507" s="22"/>
      <c r="K507" s="22">
        <f t="shared" si="149"/>
        <v>0</v>
      </c>
      <c r="L507" s="29"/>
      <c r="M507" s="24">
        <f t="shared" si="150"/>
        <v>0</v>
      </c>
      <c r="N507" s="30"/>
      <c r="O507" s="23">
        <f t="shared" si="151"/>
        <v>0</v>
      </c>
      <c r="P507" s="22">
        <v>340</v>
      </c>
      <c r="Q507" s="22">
        <f t="shared" si="145"/>
        <v>14280</v>
      </c>
      <c r="R507" s="25">
        <v>488</v>
      </c>
      <c r="S507" s="25">
        <f t="shared" si="146"/>
        <v>18885.600000000002</v>
      </c>
      <c r="T507" s="25">
        <v>764</v>
      </c>
      <c r="U507" s="25">
        <f t="shared" si="133"/>
        <v>25746.800000000003</v>
      </c>
      <c r="V507" s="23">
        <v>531</v>
      </c>
      <c r="W507" s="23">
        <f t="shared" si="134"/>
        <v>17416.8</v>
      </c>
      <c r="X507" s="23">
        <v>871</v>
      </c>
      <c r="Y507" s="23">
        <f t="shared" si="135"/>
        <v>30615.649999999998</v>
      </c>
      <c r="Z507" s="23">
        <v>524</v>
      </c>
      <c r="AA507" s="23">
        <f t="shared" si="136"/>
        <v>18161.839999999997</v>
      </c>
      <c r="AB507" s="23">
        <v>577</v>
      </c>
      <c r="AC507" s="23">
        <f t="shared" si="137"/>
        <v>20800.849999999999</v>
      </c>
      <c r="AD507" s="23">
        <v>540</v>
      </c>
      <c r="AE507" s="23">
        <f t="shared" si="138"/>
        <v>18921.599999999999</v>
      </c>
      <c r="AF507" s="26">
        <v>504</v>
      </c>
      <c r="AG507" s="26">
        <f t="shared" si="143"/>
        <v>17226.72</v>
      </c>
      <c r="AH507" s="23"/>
      <c r="AI507" s="23">
        <f t="shared" si="144"/>
        <v>0</v>
      </c>
      <c r="AJ507" s="23">
        <v>884</v>
      </c>
      <c r="AK507" s="23">
        <f t="shared" si="139"/>
        <v>31779.800000000003</v>
      </c>
      <c r="AL507" s="26">
        <v>880</v>
      </c>
      <c r="AM507" s="26">
        <f t="shared" si="140"/>
        <v>32269.600000000002</v>
      </c>
      <c r="AN507" s="12">
        <f t="shared" si="141"/>
        <v>6903</v>
      </c>
      <c r="AO507" s="22">
        <f t="shared" si="142"/>
        <v>246105.26000000004</v>
      </c>
    </row>
    <row r="508" spans="1:41" x14ac:dyDescent="0.5">
      <c r="A508" s="19">
        <v>504</v>
      </c>
      <c r="B508" s="27" t="s">
        <v>890</v>
      </c>
      <c r="C508" s="28" t="s">
        <v>891</v>
      </c>
      <c r="D508" s="16">
        <v>688</v>
      </c>
      <c r="E508" s="16">
        <v>11</v>
      </c>
      <c r="F508" s="22"/>
      <c r="G508" s="22">
        <f t="shared" si="147"/>
        <v>0</v>
      </c>
      <c r="H508" s="22"/>
      <c r="I508" s="23">
        <f t="shared" si="148"/>
        <v>0</v>
      </c>
      <c r="J508" s="22"/>
      <c r="K508" s="22">
        <f t="shared" si="149"/>
        <v>0</v>
      </c>
      <c r="L508" s="22"/>
      <c r="M508" s="24">
        <f t="shared" si="150"/>
        <v>0</v>
      </c>
      <c r="N508" s="23"/>
      <c r="O508" s="23">
        <f t="shared" si="151"/>
        <v>0</v>
      </c>
      <c r="P508" s="22"/>
      <c r="Q508" s="22">
        <f t="shared" si="145"/>
        <v>0</v>
      </c>
      <c r="R508" s="25"/>
      <c r="S508" s="25">
        <f t="shared" si="146"/>
        <v>0</v>
      </c>
      <c r="T508" s="25"/>
      <c r="U508" s="25">
        <f t="shared" si="133"/>
        <v>0</v>
      </c>
      <c r="V508" s="23"/>
      <c r="W508" s="23">
        <f t="shared" si="134"/>
        <v>0</v>
      </c>
      <c r="X508" s="23"/>
      <c r="Y508" s="23">
        <f t="shared" si="135"/>
        <v>0</v>
      </c>
      <c r="Z508" s="23"/>
      <c r="AA508" s="23">
        <f t="shared" si="136"/>
        <v>0</v>
      </c>
      <c r="AB508" s="23"/>
      <c r="AC508" s="23">
        <f t="shared" si="137"/>
        <v>0</v>
      </c>
      <c r="AD508" s="23">
        <v>226</v>
      </c>
      <c r="AE508" s="23">
        <f t="shared" si="138"/>
        <v>7919.04</v>
      </c>
      <c r="AF508" s="26">
        <v>341</v>
      </c>
      <c r="AG508" s="26">
        <f t="shared" si="143"/>
        <v>11655.38</v>
      </c>
      <c r="AH508" s="23">
        <v>270</v>
      </c>
      <c r="AI508" s="23">
        <f t="shared" si="144"/>
        <v>8991</v>
      </c>
      <c r="AJ508" s="23">
        <v>254</v>
      </c>
      <c r="AK508" s="23">
        <f t="shared" si="139"/>
        <v>9131.3000000000011</v>
      </c>
      <c r="AL508" s="23">
        <v>253</v>
      </c>
      <c r="AM508" s="26">
        <f t="shared" si="140"/>
        <v>9277.51</v>
      </c>
      <c r="AN508" s="12">
        <f t="shared" si="141"/>
        <v>1344</v>
      </c>
      <c r="AO508" s="22">
        <f t="shared" si="142"/>
        <v>46974.23</v>
      </c>
    </row>
    <row r="509" spans="1:41" s="31" customFormat="1" x14ac:dyDescent="0.5">
      <c r="A509" s="19">
        <v>505</v>
      </c>
      <c r="B509" s="27" t="s">
        <v>616</v>
      </c>
      <c r="C509" s="28" t="s">
        <v>892</v>
      </c>
      <c r="D509" s="16">
        <v>696</v>
      </c>
      <c r="E509" s="16">
        <v>11</v>
      </c>
      <c r="F509" s="22"/>
      <c r="G509" s="22">
        <f t="shared" si="147"/>
        <v>0</v>
      </c>
      <c r="H509" s="22"/>
      <c r="I509" s="23">
        <f t="shared" si="148"/>
        <v>0</v>
      </c>
      <c r="J509" s="22"/>
      <c r="K509" s="22">
        <f t="shared" si="149"/>
        <v>0</v>
      </c>
      <c r="L509" s="22"/>
      <c r="M509" s="24">
        <f t="shared" si="150"/>
        <v>0</v>
      </c>
      <c r="N509" s="23"/>
      <c r="O509" s="23">
        <f t="shared" si="151"/>
        <v>0</v>
      </c>
      <c r="P509" s="22"/>
      <c r="Q509" s="22">
        <f t="shared" si="145"/>
        <v>0</v>
      </c>
      <c r="R509" s="25"/>
      <c r="S509" s="25">
        <f t="shared" si="146"/>
        <v>0</v>
      </c>
      <c r="T509" s="25"/>
      <c r="U509" s="25">
        <f t="shared" si="133"/>
        <v>0</v>
      </c>
      <c r="V509" s="23"/>
      <c r="W509" s="23">
        <f t="shared" si="134"/>
        <v>0</v>
      </c>
      <c r="X509" s="23"/>
      <c r="Y509" s="23">
        <f t="shared" si="135"/>
        <v>0</v>
      </c>
      <c r="Z509" s="23"/>
      <c r="AA509" s="23">
        <f t="shared" si="136"/>
        <v>0</v>
      </c>
      <c r="AB509" s="23"/>
      <c r="AC509" s="23">
        <f t="shared" si="137"/>
        <v>0</v>
      </c>
      <c r="AD509" s="23"/>
      <c r="AE509" s="23">
        <f t="shared" si="138"/>
        <v>0</v>
      </c>
      <c r="AF509" s="26"/>
      <c r="AG509" s="26">
        <f t="shared" si="143"/>
        <v>0</v>
      </c>
      <c r="AH509" s="23"/>
      <c r="AI509" s="23">
        <f t="shared" si="144"/>
        <v>0</v>
      </c>
      <c r="AJ509" s="23"/>
      <c r="AK509" s="23">
        <f t="shared" si="139"/>
        <v>0</v>
      </c>
      <c r="AL509" s="23"/>
      <c r="AM509" s="26">
        <f t="shared" si="140"/>
        <v>0</v>
      </c>
      <c r="AN509" s="12">
        <f t="shared" si="141"/>
        <v>0</v>
      </c>
      <c r="AO509" s="22">
        <f t="shared" si="142"/>
        <v>0</v>
      </c>
    </row>
    <row r="510" spans="1:41" s="31" customFormat="1" x14ac:dyDescent="0.5">
      <c r="A510" s="19">
        <v>506</v>
      </c>
      <c r="B510" s="27" t="s">
        <v>893</v>
      </c>
      <c r="C510" s="28" t="s">
        <v>463</v>
      </c>
      <c r="D510" s="16">
        <v>706</v>
      </c>
      <c r="E510" s="16">
        <v>11</v>
      </c>
      <c r="F510" s="22">
        <v>817</v>
      </c>
      <c r="G510" s="22">
        <f t="shared" si="147"/>
        <v>25425.040000000001</v>
      </c>
      <c r="H510" s="22">
        <v>508</v>
      </c>
      <c r="I510" s="23">
        <f t="shared" si="148"/>
        <v>16464.28</v>
      </c>
      <c r="J510" s="22">
        <v>429</v>
      </c>
      <c r="K510" s="22">
        <f t="shared" si="149"/>
        <v>14161.289999999999</v>
      </c>
      <c r="L510" s="22">
        <v>461</v>
      </c>
      <c r="M510" s="24">
        <f t="shared" si="150"/>
        <v>16190.32</v>
      </c>
      <c r="N510" s="23">
        <v>351</v>
      </c>
      <c r="O510" s="23">
        <f t="shared" si="151"/>
        <v>13425.75</v>
      </c>
      <c r="P510" s="22">
        <v>391</v>
      </c>
      <c r="Q510" s="22">
        <f t="shared" si="145"/>
        <v>16422</v>
      </c>
      <c r="R510" s="25"/>
      <c r="S510" s="25">
        <f t="shared" si="146"/>
        <v>0</v>
      </c>
      <c r="T510" s="25">
        <v>210</v>
      </c>
      <c r="U510" s="25">
        <f t="shared" si="133"/>
        <v>7077.0000000000009</v>
      </c>
      <c r="V510" s="23">
        <v>400</v>
      </c>
      <c r="W510" s="23">
        <f t="shared" si="134"/>
        <v>13119.999999999998</v>
      </c>
      <c r="X510" s="23">
        <v>543</v>
      </c>
      <c r="Y510" s="23">
        <f t="shared" si="135"/>
        <v>19086.45</v>
      </c>
      <c r="Z510" s="23">
        <v>557</v>
      </c>
      <c r="AA510" s="23">
        <f t="shared" si="136"/>
        <v>19305.62</v>
      </c>
      <c r="AB510" s="23"/>
      <c r="AC510" s="23">
        <f t="shared" si="137"/>
        <v>0</v>
      </c>
      <c r="AD510" s="23">
        <v>558</v>
      </c>
      <c r="AE510" s="23">
        <f t="shared" si="138"/>
        <v>19552.32</v>
      </c>
      <c r="AF510" s="26">
        <v>468</v>
      </c>
      <c r="AG510" s="26">
        <f t="shared" si="143"/>
        <v>15996.24</v>
      </c>
      <c r="AH510" s="23">
        <v>573</v>
      </c>
      <c r="AI510" s="23">
        <f t="shared" si="144"/>
        <v>19080.899999999998</v>
      </c>
      <c r="AJ510" s="23">
        <v>613</v>
      </c>
      <c r="AK510" s="23">
        <f t="shared" si="139"/>
        <v>22037.350000000002</v>
      </c>
      <c r="AL510" s="23">
        <v>836</v>
      </c>
      <c r="AM510" s="26">
        <f t="shared" si="140"/>
        <v>30656.120000000003</v>
      </c>
      <c r="AN510" s="12">
        <f t="shared" si="141"/>
        <v>7715</v>
      </c>
      <c r="AO510" s="22">
        <f t="shared" si="142"/>
        <v>268000.68</v>
      </c>
    </row>
    <row r="511" spans="1:41" s="31" customFormat="1" x14ac:dyDescent="0.5">
      <c r="A511" s="19">
        <v>507</v>
      </c>
      <c r="B511" s="20" t="s">
        <v>894</v>
      </c>
      <c r="C511" s="21" t="s">
        <v>895</v>
      </c>
      <c r="D511" s="16">
        <v>712</v>
      </c>
      <c r="E511" s="16">
        <v>11</v>
      </c>
      <c r="F511" s="22">
        <v>394</v>
      </c>
      <c r="G511" s="22">
        <f t="shared" si="147"/>
        <v>12261.28</v>
      </c>
      <c r="H511" s="22">
        <v>252</v>
      </c>
      <c r="I511" s="23">
        <f t="shared" si="148"/>
        <v>8167.3199999999988</v>
      </c>
      <c r="J511" s="22">
        <v>259</v>
      </c>
      <c r="K511" s="22">
        <f t="shared" si="149"/>
        <v>8549.59</v>
      </c>
      <c r="L511" s="22"/>
      <c r="M511" s="24">
        <f t="shared" si="150"/>
        <v>0</v>
      </c>
      <c r="N511" s="23">
        <v>260</v>
      </c>
      <c r="O511" s="23">
        <f t="shared" si="151"/>
        <v>9945</v>
      </c>
      <c r="P511" s="22">
        <v>439</v>
      </c>
      <c r="Q511" s="22">
        <f t="shared" si="145"/>
        <v>18438</v>
      </c>
      <c r="R511" s="25">
        <v>426</v>
      </c>
      <c r="S511" s="25">
        <f t="shared" si="146"/>
        <v>16486.2</v>
      </c>
      <c r="T511" s="25">
        <v>304</v>
      </c>
      <c r="U511" s="25">
        <f t="shared" si="133"/>
        <v>10244.800000000001</v>
      </c>
      <c r="V511" s="23"/>
      <c r="W511" s="23">
        <f t="shared" si="134"/>
        <v>0</v>
      </c>
      <c r="X511" s="23"/>
      <c r="Y511" s="23">
        <f t="shared" si="135"/>
        <v>0</v>
      </c>
      <c r="Z511" s="23">
        <v>326</v>
      </c>
      <c r="AA511" s="23">
        <f t="shared" si="136"/>
        <v>11299.159999999998</v>
      </c>
      <c r="AB511" s="23">
        <v>242</v>
      </c>
      <c r="AC511" s="23">
        <f t="shared" si="137"/>
        <v>8724.0999999999985</v>
      </c>
      <c r="AD511" s="23">
        <v>333</v>
      </c>
      <c r="AE511" s="23">
        <f t="shared" si="138"/>
        <v>11668.32</v>
      </c>
      <c r="AF511" s="26">
        <v>354</v>
      </c>
      <c r="AG511" s="26">
        <f t="shared" si="143"/>
        <v>12099.72</v>
      </c>
      <c r="AH511" s="23">
        <v>334</v>
      </c>
      <c r="AI511" s="23">
        <f t="shared" si="144"/>
        <v>11122.199999999999</v>
      </c>
      <c r="AJ511" s="23">
        <v>425</v>
      </c>
      <c r="AK511" s="23">
        <f t="shared" si="139"/>
        <v>15278.750000000002</v>
      </c>
      <c r="AL511" s="26">
        <v>444</v>
      </c>
      <c r="AM511" s="26">
        <f t="shared" si="140"/>
        <v>16281.480000000001</v>
      </c>
      <c r="AN511" s="12">
        <f t="shared" si="141"/>
        <v>4792</v>
      </c>
      <c r="AO511" s="22">
        <f t="shared" si="142"/>
        <v>170565.92000000004</v>
      </c>
    </row>
    <row r="512" spans="1:41" x14ac:dyDescent="0.5">
      <c r="A512" s="19">
        <v>508</v>
      </c>
      <c r="B512" s="27" t="s">
        <v>896</v>
      </c>
      <c r="C512" s="28" t="s">
        <v>897</v>
      </c>
      <c r="D512" s="16">
        <v>757</v>
      </c>
      <c r="E512" s="16">
        <v>11</v>
      </c>
      <c r="F512" s="22">
        <v>1292</v>
      </c>
      <c r="G512" s="22">
        <f t="shared" si="147"/>
        <v>40207.040000000001</v>
      </c>
      <c r="H512" s="22">
        <v>1254</v>
      </c>
      <c r="I512" s="23">
        <f t="shared" si="148"/>
        <v>40642.139999999992</v>
      </c>
      <c r="J512" s="22">
        <v>1060</v>
      </c>
      <c r="K512" s="22">
        <f t="shared" si="149"/>
        <v>34990.6</v>
      </c>
      <c r="L512" s="29">
        <v>606</v>
      </c>
      <c r="M512" s="24">
        <f t="shared" si="150"/>
        <v>21282.719999999998</v>
      </c>
      <c r="N512" s="30">
        <v>649</v>
      </c>
      <c r="O512" s="23">
        <f t="shared" si="151"/>
        <v>24824.25</v>
      </c>
      <c r="P512" s="22">
        <v>978</v>
      </c>
      <c r="Q512" s="22">
        <f t="shared" si="145"/>
        <v>41076</v>
      </c>
      <c r="R512" s="25">
        <v>1522</v>
      </c>
      <c r="S512" s="25">
        <f t="shared" si="146"/>
        <v>58901.4</v>
      </c>
      <c r="T512" s="25">
        <v>1703</v>
      </c>
      <c r="U512" s="25">
        <f t="shared" si="133"/>
        <v>57391.100000000006</v>
      </c>
      <c r="V512" s="23">
        <v>1680</v>
      </c>
      <c r="W512" s="23">
        <f t="shared" si="134"/>
        <v>55103.999999999993</v>
      </c>
      <c r="X512" s="23">
        <v>2019</v>
      </c>
      <c r="Y512" s="23">
        <f t="shared" si="135"/>
        <v>70967.849999999991</v>
      </c>
      <c r="Z512" s="23">
        <v>1595</v>
      </c>
      <c r="AA512" s="23">
        <f t="shared" si="136"/>
        <v>55282.7</v>
      </c>
      <c r="AB512" s="23">
        <v>1091</v>
      </c>
      <c r="AC512" s="23">
        <f t="shared" si="137"/>
        <v>39330.549999999996</v>
      </c>
      <c r="AD512" s="23">
        <v>1958</v>
      </c>
      <c r="AE512" s="23">
        <f t="shared" si="138"/>
        <v>68608.319999999992</v>
      </c>
      <c r="AF512" s="26">
        <v>2123</v>
      </c>
      <c r="AG512" s="26">
        <f t="shared" si="143"/>
        <v>72564.14</v>
      </c>
      <c r="AH512" s="23">
        <v>1776</v>
      </c>
      <c r="AI512" s="23">
        <f t="shared" si="144"/>
        <v>59140.799999999996</v>
      </c>
      <c r="AJ512" s="23">
        <v>1913</v>
      </c>
      <c r="AK512" s="23">
        <f t="shared" si="139"/>
        <v>68772.350000000006</v>
      </c>
      <c r="AL512" s="23">
        <v>1878</v>
      </c>
      <c r="AM512" s="26">
        <f t="shared" si="140"/>
        <v>68866.260000000009</v>
      </c>
      <c r="AN512" s="12">
        <f t="shared" si="141"/>
        <v>25097</v>
      </c>
      <c r="AO512" s="22">
        <f t="shared" si="142"/>
        <v>877952.22</v>
      </c>
    </row>
    <row r="513" spans="1:41" s="31" customFormat="1" x14ac:dyDescent="0.5">
      <c r="A513" s="19">
        <v>509</v>
      </c>
      <c r="B513" s="20" t="s">
        <v>898</v>
      </c>
      <c r="C513" s="21" t="s">
        <v>368</v>
      </c>
      <c r="D513" s="16">
        <v>774</v>
      </c>
      <c r="E513" s="16">
        <v>11</v>
      </c>
      <c r="F513" s="22">
        <v>298</v>
      </c>
      <c r="G513" s="22">
        <f t="shared" si="147"/>
        <v>9273.76</v>
      </c>
      <c r="H513" s="22"/>
      <c r="I513" s="23">
        <f t="shared" si="148"/>
        <v>0</v>
      </c>
      <c r="J513" s="22">
        <v>232</v>
      </c>
      <c r="K513" s="22">
        <f t="shared" si="149"/>
        <v>7658.32</v>
      </c>
      <c r="L513" s="22"/>
      <c r="M513" s="24">
        <f t="shared" si="150"/>
        <v>0</v>
      </c>
      <c r="N513" s="23"/>
      <c r="O513" s="23">
        <f t="shared" si="151"/>
        <v>0</v>
      </c>
      <c r="P513" s="22"/>
      <c r="Q513" s="22">
        <f t="shared" si="145"/>
        <v>0</v>
      </c>
      <c r="R513" s="25">
        <v>269</v>
      </c>
      <c r="S513" s="25">
        <f t="shared" si="146"/>
        <v>10410.300000000001</v>
      </c>
      <c r="T513" s="25">
        <v>344</v>
      </c>
      <c r="U513" s="25">
        <f t="shared" si="133"/>
        <v>11592.800000000001</v>
      </c>
      <c r="V513" s="23"/>
      <c r="W513" s="23">
        <f t="shared" si="134"/>
        <v>0</v>
      </c>
      <c r="X513" s="23">
        <v>298</v>
      </c>
      <c r="Y513" s="23">
        <f t="shared" si="135"/>
        <v>10474.699999999999</v>
      </c>
      <c r="Z513" s="23">
        <v>306</v>
      </c>
      <c r="AA513" s="23">
        <f t="shared" si="136"/>
        <v>10605.96</v>
      </c>
      <c r="AB513" s="23"/>
      <c r="AC513" s="23">
        <f t="shared" si="137"/>
        <v>0</v>
      </c>
      <c r="AD513" s="23"/>
      <c r="AE513" s="23">
        <f t="shared" si="138"/>
        <v>0</v>
      </c>
      <c r="AF513" s="26">
        <v>330</v>
      </c>
      <c r="AG513" s="26">
        <f t="shared" si="143"/>
        <v>11279.4</v>
      </c>
      <c r="AH513" s="23">
        <v>262</v>
      </c>
      <c r="AI513" s="23">
        <f t="shared" si="144"/>
        <v>8724.5999999999985</v>
      </c>
      <c r="AJ513" s="23"/>
      <c r="AK513" s="23">
        <f t="shared" si="139"/>
        <v>0</v>
      </c>
      <c r="AL513" s="26"/>
      <c r="AM513" s="26">
        <f t="shared" si="140"/>
        <v>0</v>
      </c>
      <c r="AN513" s="12">
        <f t="shared" si="141"/>
        <v>2339</v>
      </c>
      <c r="AO513" s="22">
        <f t="shared" si="142"/>
        <v>80019.839999999997</v>
      </c>
    </row>
    <row r="514" spans="1:41" x14ac:dyDescent="0.5">
      <c r="A514" s="19">
        <v>510</v>
      </c>
      <c r="B514" s="20" t="s">
        <v>899</v>
      </c>
      <c r="C514" s="21" t="s">
        <v>183</v>
      </c>
      <c r="D514" s="16">
        <v>785</v>
      </c>
      <c r="E514" s="16">
        <v>11</v>
      </c>
      <c r="F514" s="22">
        <v>757</v>
      </c>
      <c r="G514" s="22">
        <f t="shared" si="147"/>
        <v>23557.84</v>
      </c>
      <c r="H514" s="22">
        <v>496</v>
      </c>
      <c r="I514" s="23">
        <f t="shared" si="148"/>
        <v>16075.359999999999</v>
      </c>
      <c r="J514" s="22">
        <v>382</v>
      </c>
      <c r="K514" s="22">
        <f t="shared" si="149"/>
        <v>12609.82</v>
      </c>
      <c r="L514" s="22"/>
      <c r="M514" s="24">
        <f t="shared" si="150"/>
        <v>0</v>
      </c>
      <c r="N514" s="23">
        <v>888</v>
      </c>
      <c r="O514" s="23">
        <f t="shared" si="151"/>
        <v>33966</v>
      </c>
      <c r="P514" s="22">
        <v>1134</v>
      </c>
      <c r="Q514" s="22">
        <f t="shared" si="145"/>
        <v>47628</v>
      </c>
      <c r="R514" s="25">
        <v>682</v>
      </c>
      <c r="S514" s="25">
        <f t="shared" si="146"/>
        <v>26393.4</v>
      </c>
      <c r="T514" s="25">
        <v>1196</v>
      </c>
      <c r="U514" s="25">
        <f t="shared" si="133"/>
        <v>40305.200000000004</v>
      </c>
      <c r="V514" s="23">
        <v>1337</v>
      </c>
      <c r="W514" s="23">
        <f t="shared" si="134"/>
        <v>43853.599999999999</v>
      </c>
      <c r="X514" s="23"/>
      <c r="Y514" s="23">
        <f t="shared" si="135"/>
        <v>0</v>
      </c>
      <c r="Z514" s="23"/>
      <c r="AA514" s="23">
        <f t="shared" si="136"/>
        <v>0</v>
      </c>
      <c r="AB514" s="23"/>
      <c r="AC514" s="23">
        <f t="shared" si="137"/>
        <v>0</v>
      </c>
      <c r="AD514" s="23"/>
      <c r="AE514" s="23">
        <f t="shared" si="138"/>
        <v>0</v>
      </c>
      <c r="AF514" s="26"/>
      <c r="AG514" s="26">
        <f t="shared" si="143"/>
        <v>0</v>
      </c>
      <c r="AH514" s="23"/>
      <c r="AI514" s="23">
        <f t="shared" si="144"/>
        <v>0</v>
      </c>
      <c r="AJ514" s="23">
        <v>393</v>
      </c>
      <c r="AK514" s="23">
        <f t="shared" si="139"/>
        <v>14128.35</v>
      </c>
      <c r="AL514" s="26">
        <v>807</v>
      </c>
      <c r="AM514" s="26">
        <f t="shared" si="140"/>
        <v>29592.690000000002</v>
      </c>
      <c r="AN514" s="12">
        <f t="shared" si="141"/>
        <v>8072</v>
      </c>
      <c r="AO514" s="22">
        <f t="shared" si="142"/>
        <v>288110.26</v>
      </c>
    </row>
    <row r="515" spans="1:41" x14ac:dyDescent="0.5">
      <c r="A515" s="19">
        <v>511</v>
      </c>
      <c r="B515" s="27" t="s">
        <v>900</v>
      </c>
      <c r="C515" s="28" t="s">
        <v>728</v>
      </c>
      <c r="D515" s="16">
        <v>797</v>
      </c>
      <c r="E515" s="16">
        <v>11</v>
      </c>
      <c r="F515" s="22"/>
      <c r="G515" s="22">
        <f t="shared" si="147"/>
        <v>0</v>
      </c>
      <c r="H515" s="22">
        <v>266</v>
      </c>
      <c r="I515" s="23">
        <f t="shared" si="148"/>
        <v>8621.06</v>
      </c>
      <c r="J515" s="22"/>
      <c r="K515" s="22">
        <f t="shared" si="149"/>
        <v>0</v>
      </c>
      <c r="L515" s="22"/>
      <c r="M515" s="24">
        <f t="shared" si="150"/>
        <v>0</v>
      </c>
      <c r="N515" s="23"/>
      <c r="O515" s="23">
        <f t="shared" si="151"/>
        <v>0</v>
      </c>
      <c r="P515" s="22"/>
      <c r="Q515" s="22">
        <f t="shared" si="145"/>
        <v>0</v>
      </c>
      <c r="R515" s="25">
        <v>283</v>
      </c>
      <c r="S515" s="25">
        <f t="shared" si="146"/>
        <v>10952.1</v>
      </c>
      <c r="T515" s="25">
        <v>280</v>
      </c>
      <c r="U515" s="25">
        <f t="shared" si="133"/>
        <v>9436</v>
      </c>
      <c r="V515" s="23">
        <v>349</v>
      </c>
      <c r="W515" s="23">
        <f t="shared" si="134"/>
        <v>11447.199999999999</v>
      </c>
      <c r="X515" s="23">
        <v>272</v>
      </c>
      <c r="Y515" s="23">
        <f t="shared" si="135"/>
        <v>9560.7999999999993</v>
      </c>
      <c r="Z515" s="23">
        <v>202</v>
      </c>
      <c r="AA515" s="23">
        <f t="shared" si="136"/>
        <v>7001.32</v>
      </c>
      <c r="AB515" s="23"/>
      <c r="AC515" s="23">
        <f t="shared" si="137"/>
        <v>0</v>
      </c>
      <c r="AD515" s="23"/>
      <c r="AE515" s="23">
        <f t="shared" si="138"/>
        <v>0</v>
      </c>
      <c r="AF515" s="26"/>
      <c r="AG515" s="26">
        <f t="shared" si="143"/>
        <v>0</v>
      </c>
      <c r="AH515" s="23"/>
      <c r="AI515" s="23">
        <f t="shared" si="144"/>
        <v>0</v>
      </c>
      <c r="AJ515" s="23"/>
      <c r="AK515" s="23">
        <f t="shared" si="139"/>
        <v>0</v>
      </c>
      <c r="AL515" s="23"/>
      <c r="AM515" s="26">
        <f t="shared" si="140"/>
        <v>0</v>
      </c>
      <c r="AN515" s="12">
        <f t="shared" si="141"/>
        <v>1652</v>
      </c>
      <c r="AO515" s="22">
        <f t="shared" si="142"/>
        <v>57018.48</v>
      </c>
    </row>
    <row r="516" spans="1:41" s="31" customFormat="1" x14ac:dyDescent="0.5">
      <c r="A516" s="19">
        <v>512</v>
      </c>
      <c r="B516" s="20" t="s">
        <v>335</v>
      </c>
      <c r="C516" s="21" t="s">
        <v>897</v>
      </c>
      <c r="D516" s="16">
        <v>913</v>
      </c>
      <c r="E516" s="16">
        <v>11</v>
      </c>
      <c r="F516" s="22"/>
      <c r="G516" s="22">
        <f t="shared" si="147"/>
        <v>0</v>
      </c>
      <c r="H516" s="22">
        <v>411</v>
      </c>
      <c r="I516" s="23">
        <f t="shared" si="148"/>
        <v>13320.509999999998</v>
      </c>
      <c r="J516" s="22">
        <v>267</v>
      </c>
      <c r="K516" s="22">
        <f t="shared" si="149"/>
        <v>8813.67</v>
      </c>
      <c r="L516" s="22"/>
      <c r="M516" s="24">
        <f t="shared" si="150"/>
        <v>0</v>
      </c>
      <c r="N516" s="23">
        <v>368</v>
      </c>
      <c r="O516" s="23">
        <f t="shared" si="151"/>
        <v>14076</v>
      </c>
      <c r="P516" s="22">
        <v>828</v>
      </c>
      <c r="Q516" s="22">
        <f t="shared" si="145"/>
        <v>34776</v>
      </c>
      <c r="R516" s="25">
        <v>573</v>
      </c>
      <c r="S516" s="25">
        <f t="shared" si="146"/>
        <v>22175.100000000002</v>
      </c>
      <c r="T516" s="25">
        <v>1023</v>
      </c>
      <c r="U516" s="25">
        <f t="shared" si="133"/>
        <v>34475.100000000006</v>
      </c>
      <c r="V516" s="23">
        <v>587</v>
      </c>
      <c r="W516" s="23">
        <f t="shared" si="134"/>
        <v>19253.599999999999</v>
      </c>
      <c r="X516" s="23">
        <v>510</v>
      </c>
      <c r="Y516" s="23">
        <f t="shared" si="135"/>
        <v>17926.5</v>
      </c>
      <c r="Z516" s="23">
        <v>605</v>
      </c>
      <c r="AA516" s="23">
        <f t="shared" si="136"/>
        <v>20969.3</v>
      </c>
      <c r="AB516" s="23">
        <v>395</v>
      </c>
      <c r="AC516" s="23">
        <f t="shared" si="137"/>
        <v>14239.749999999998</v>
      </c>
      <c r="AD516" s="23">
        <v>702</v>
      </c>
      <c r="AE516" s="23">
        <f t="shared" si="138"/>
        <v>24598.079999999998</v>
      </c>
      <c r="AF516" s="26">
        <v>799</v>
      </c>
      <c r="AG516" s="26">
        <f t="shared" si="143"/>
        <v>27309.82</v>
      </c>
      <c r="AH516" s="23">
        <v>752</v>
      </c>
      <c r="AI516" s="23">
        <f t="shared" si="144"/>
        <v>25041.599999999999</v>
      </c>
      <c r="AJ516" s="23">
        <v>1009</v>
      </c>
      <c r="AK516" s="23">
        <f t="shared" si="139"/>
        <v>36273.550000000003</v>
      </c>
      <c r="AL516" s="26">
        <v>1003</v>
      </c>
      <c r="AM516" s="26">
        <f t="shared" si="140"/>
        <v>36780.01</v>
      </c>
      <c r="AN516" s="12">
        <f t="shared" si="141"/>
        <v>9832</v>
      </c>
      <c r="AO516" s="22">
        <f t="shared" si="142"/>
        <v>350028.58999999997</v>
      </c>
    </row>
    <row r="517" spans="1:41" x14ac:dyDescent="0.5">
      <c r="A517" s="19">
        <v>513</v>
      </c>
      <c r="B517" s="20" t="s">
        <v>901</v>
      </c>
      <c r="C517" s="21" t="s">
        <v>902</v>
      </c>
      <c r="D517" s="16">
        <v>928</v>
      </c>
      <c r="E517" s="16">
        <v>11</v>
      </c>
      <c r="F517" s="22">
        <v>1364</v>
      </c>
      <c r="G517" s="22">
        <f t="shared" si="147"/>
        <v>42447.68</v>
      </c>
      <c r="H517" s="22">
        <v>867</v>
      </c>
      <c r="I517" s="23">
        <f t="shared" si="148"/>
        <v>28099.469999999998</v>
      </c>
      <c r="J517" s="22">
        <v>849</v>
      </c>
      <c r="K517" s="22">
        <f t="shared" si="149"/>
        <v>28025.489999999998</v>
      </c>
      <c r="L517" s="22">
        <v>725</v>
      </c>
      <c r="M517" s="24">
        <f t="shared" si="150"/>
        <v>25461.999999999996</v>
      </c>
      <c r="N517" s="23">
        <v>718</v>
      </c>
      <c r="O517" s="23">
        <f t="shared" si="151"/>
        <v>27463.5</v>
      </c>
      <c r="P517" s="22">
        <v>758</v>
      </c>
      <c r="Q517" s="22">
        <f t="shared" si="145"/>
        <v>31836</v>
      </c>
      <c r="R517" s="25">
        <v>754</v>
      </c>
      <c r="S517" s="25">
        <f t="shared" si="146"/>
        <v>29179.800000000003</v>
      </c>
      <c r="T517" s="25">
        <v>842</v>
      </c>
      <c r="U517" s="25">
        <f t="shared" si="133"/>
        <v>28375.4</v>
      </c>
      <c r="V517" s="23">
        <v>684</v>
      </c>
      <c r="W517" s="23">
        <f t="shared" si="134"/>
        <v>22435.199999999997</v>
      </c>
      <c r="X517" s="23">
        <v>1043</v>
      </c>
      <c r="Y517" s="23">
        <f t="shared" si="135"/>
        <v>36661.449999999997</v>
      </c>
      <c r="Z517" s="23">
        <v>1061</v>
      </c>
      <c r="AA517" s="23">
        <f t="shared" si="136"/>
        <v>36774.259999999995</v>
      </c>
      <c r="AB517" s="23">
        <v>818</v>
      </c>
      <c r="AC517" s="23">
        <f t="shared" si="137"/>
        <v>29488.899999999998</v>
      </c>
      <c r="AD517" s="23">
        <v>968</v>
      </c>
      <c r="AE517" s="23">
        <f t="shared" si="138"/>
        <v>33918.720000000001</v>
      </c>
      <c r="AF517" s="26">
        <v>1512</v>
      </c>
      <c r="AG517" s="26">
        <f t="shared" si="143"/>
        <v>51680.159999999996</v>
      </c>
      <c r="AH517" s="23">
        <v>1256</v>
      </c>
      <c r="AI517" s="23">
        <f t="shared" si="144"/>
        <v>41824.799999999996</v>
      </c>
      <c r="AJ517" s="23">
        <v>1368</v>
      </c>
      <c r="AK517" s="23">
        <f t="shared" si="139"/>
        <v>49179.600000000006</v>
      </c>
      <c r="AL517" s="26">
        <v>1556</v>
      </c>
      <c r="AM517" s="26">
        <f t="shared" si="140"/>
        <v>57058.520000000004</v>
      </c>
      <c r="AN517" s="12">
        <f t="shared" si="141"/>
        <v>17143</v>
      </c>
      <c r="AO517" s="22">
        <f t="shared" si="142"/>
        <v>599910.94999999995</v>
      </c>
    </row>
    <row r="518" spans="1:41" x14ac:dyDescent="0.5">
      <c r="A518" s="19">
        <v>514</v>
      </c>
      <c r="B518" s="20" t="s">
        <v>903</v>
      </c>
      <c r="C518" s="21" t="s">
        <v>904</v>
      </c>
      <c r="D518" s="16">
        <v>934</v>
      </c>
      <c r="E518" s="16">
        <v>11</v>
      </c>
      <c r="F518" s="22">
        <v>754</v>
      </c>
      <c r="G518" s="22">
        <f t="shared" si="147"/>
        <v>23464.48</v>
      </c>
      <c r="H518" s="22">
        <v>622</v>
      </c>
      <c r="I518" s="23">
        <f t="shared" si="148"/>
        <v>20159.019999999997</v>
      </c>
      <c r="J518" s="22"/>
      <c r="K518" s="22">
        <f t="shared" si="149"/>
        <v>0</v>
      </c>
      <c r="L518" s="29"/>
      <c r="M518" s="24">
        <f t="shared" si="150"/>
        <v>0</v>
      </c>
      <c r="N518" s="30">
        <v>788</v>
      </c>
      <c r="O518" s="23">
        <f t="shared" si="151"/>
        <v>30141</v>
      </c>
      <c r="P518" s="22">
        <v>893</v>
      </c>
      <c r="Q518" s="22">
        <f t="shared" si="145"/>
        <v>37506</v>
      </c>
      <c r="R518" s="25">
        <v>401</v>
      </c>
      <c r="S518" s="25">
        <f t="shared" si="146"/>
        <v>15518.7</v>
      </c>
      <c r="T518" s="25">
        <v>760</v>
      </c>
      <c r="U518" s="25">
        <f t="shared" si="133"/>
        <v>25612.000000000004</v>
      </c>
      <c r="V518" s="23">
        <v>531</v>
      </c>
      <c r="W518" s="23">
        <f t="shared" si="134"/>
        <v>17416.8</v>
      </c>
      <c r="X518" s="23">
        <v>622</v>
      </c>
      <c r="Y518" s="23">
        <f t="shared" si="135"/>
        <v>21863.3</v>
      </c>
      <c r="Z518" s="23">
        <v>557</v>
      </c>
      <c r="AA518" s="23">
        <f t="shared" si="136"/>
        <v>19305.62</v>
      </c>
      <c r="AB518" s="23">
        <v>394</v>
      </c>
      <c r="AC518" s="23">
        <f t="shared" si="137"/>
        <v>14203.699999999999</v>
      </c>
      <c r="AD518" s="23">
        <v>890</v>
      </c>
      <c r="AE518" s="23">
        <f t="shared" si="138"/>
        <v>31185.599999999999</v>
      </c>
      <c r="AF518" s="26">
        <v>786</v>
      </c>
      <c r="AG518" s="26">
        <f t="shared" si="143"/>
        <v>26865.48</v>
      </c>
      <c r="AH518" s="23">
        <v>644</v>
      </c>
      <c r="AI518" s="23">
        <f t="shared" si="144"/>
        <v>21445.199999999997</v>
      </c>
      <c r="AJ518" s="23">
        <v>897</v>
      </c>
      <c r="AK518" s="23">
        <f t="shared" ref="AK518:AK562" si="152">AJ518*35.95</f>
        <v>32247.15</v>
      </c>
      <c r="AL518" s="26">
        <v>948</v>
      </c>
      <c r="AM518" s="26">
        <f t="shared" ref="AM518:AM562" si="153">AL518*36.67</f>
        <v>34763.160000000003</v>
      </c>
      <c r="AN518" s="12">
        <f t="shared" ref="AN518:AN563" si="154">F518+H518+J518+L518+N518+P518+R518+T518+V518+X518+Z518+AB518+AD518+AF518+AH518+AJ518+AL518</f>
        <v>10487</v>
      </c>
      <c r="AO518" s="22">
        <f t="shared" ref="AO518:AO563" si="155">G518+I518+K518+M518+O518+Q518+S518+U518+W518+Y518+AA518+AC518+AE518+AG518+AI518+AK518+AM518</f>
        <v>371697.21000000008</v>
      </c>
    </row>
    <row r="519" spans="1:41" x14ac:dyDescent="0.5">
      <c r="A519" s="19">
        <v>515</v>
      </c>
      <c r="B519" s="20" t="s">
        <v>865</v>
      </c>
      <c r="C519" s="21" t="s">
        <v>905</v>
      </c>
      <c r="D519" s="16">
        <v>939</v>
      </c>
      <c r="E519" s="16">
        <v>11</v>
      </c>
      <c r="F519" s="22">
        <v>1117</v>
      </c>
      <c r="G519" s="22">
        <f t="shared" si="147"/>
        <v>34761.040000000001</v>
      </c>
      <c r="H519" s="22">
        <v>822</v>
      </c>
      <c r="I519" s="23">
        <f t="shared" si="148"/>
        <v>26641.019999999997</v>
      </c>
      <c r="J519" s="22">
        <v>389</v>
      </c>
      <c r="K519" s="22">
        <f t="shared" si="149"/>
        <v>12840.89</v>
      </c>
      <c r="L519" s="29">
        <v>268</v>
      </c>
      <c r="M519" s="24">
        <f t="shared" si="150"/>
        <v>9412.16</v>
      </c>
      <c r="N519" s="30">
        <v>366</v>
      </c>
      <c r="O519" s="23">
        <f t="shared" si="151"/>
        <v>13999.5</v>
      </c>
      <c r="P519" s="22">
        <v>630</v>
      </c>
      <c r="Q519" s="22">
        <f t="shared" si="145"/>
        <v>26460</v>
      </c>
      <c r="R519" s="25">
        <v>582</v>
      </c>
      <c r="S519" s="25">
        <f t="shared" si="146"/>
        <v>22523.4</v>
      </c>
      <c r="T519" s="25">
        <v>826</v>
      </c>
      <c r="U519" s="25">
        <f t="shared" si="133"/>
        <v>27836.2</v>
      </c>
      <c r="V519" s="23">
        <v>785</v>
      </c>
      <c r="W519" s="23">
        <f t="shared" si="134"/>
        <v>25747.999999999996</v>
      </c>
      <c r="X519" s="23">
        <v>910</v>
      </c>
      <c r="Y519" s="23">
        <f t="shared" si="135"/>
        <v>31986.5</v>
      </c>
      <c r="Z519" s="23">
        <v>949</v>
      </c>
      <c r="AA519" s="23">
        <f t="shared" si="136"/>
        <v>32892.339999999997</v>
      </c>
      <c r="AB519" s="23">
        <v>287</v>
      </c>
      <c r="AC519" s="23">
        <f t="shared" si="137"/>
        <v>10346.349999999999</v>
      </c>
      <c r="AD519" s="23">
        <v>1110</v>
      </c>
      <c r="AE519" s="23">
        <f t="shared" si="138"/>
        <v>38894.400000000001</v>
      </c>
      <c r="AF519" s="26">
        <v>1429</v>
      </c>
      <c r="AG519" s="26">
        <f t="shared" si="143"/>
        <v>48843.22</v>
      </c>
      <c r="AH519" s="23">
        <v>1074</v>
      </c>
      <c r="AI519" s="23">
        <f t="shared" si="144"/>
        <v>35764.199999999997</v>
      </c>
      <c r="AJ519" s="23">
        <v>1244</v>
      </c>
      <c r="AK519" s="23">
        <f t="shared" si="152"/>
        <v>44721.8</v>
      </c>
      <c r="AL519" s="26">
        <v>1214</v>
      </c>
      <c r="AM519" s="26">
        <f t="shared" si="153"/>
        <v>44517.380000000005</v>
      </c>
      <c r="AN519" s="12">
        <f t="shared" si="154"/>
        <v>14002</v>
      </c>
      <c r="AO519" s="22">
        <f t="shared" si="155"/>
        <v>488188.4</v>
      </c>
    </row>
    <row r="520" spans="1:41" x14ac:dyDescent="0.5">
      <c r="A520" s="19">
        <v>516</v>
      </c>
      <c r="B520" s="20" t="s">
        <v>906</v>
      </c>
      <c r="C520" s="21" t="s">
        <v>416</v>
      </c>
      <c r="D520" s="16">
        <v>945</v>
      </c>
      <c r="E520" s="16">
        <v>11</v>
      </c>
      <c r="F520" s="22">
        <v>617</v>
      </c>
      <c r="G520" s="22">
        <f t="shared" si="147"/>
        <v>19201.04</v>
      </c>
      <c r="H520" s="22">
        <v>99</v>
      </c>
      <c r="I520" s="23">
        <f t="shared" si="148"/>
        <v>3208.5899999999997</v>
      </c>
      <c r="J520" s="22">
        <v>289</v>
      </c>
      <c r="K520" s="22">
        <f t="shared" si="149"/>
        <v>9539.89</v>
      </c>
      <c r="L520" s="22">
        <v>306</v>
      </c>
      <c r="M520" s="24">
        <f t="shared" si="150"/>
        <v>10746.72</v>
      </c>
      <c r="N520" s="23">
        <v>243</v>
      </c>
      <c r="O520" s="23">
        <f t="shared" si="151"/>
        <v>9294.75</v>
      </c>
      <c r="P520" s="22">
        <v>351</v>
      </c>
      <c r="Q520" s="22">
        <f t="shared" si="145"/>
        <v>14742</v>
      </c>
      <c r="R520" s="25">
        <v>475</v>
      </c>
      <c r="S520" s="25">
        <f t="shared" si="146"/>
        <v>18382.5</v>
      </c>
      <c r="T520" s="25">
        <v>550</v>
      </c>
      <c r="U520" s="25">
        <f t="shared" ref="U520:U559" si="156">T520*33.7</f>
        <v>18535</v>
      </c>
      <c r="V520" s="23">
        <v>312</v>
      </c>
      <c r="W520" s="23">
        <f t="shared" ref="W520:W562" si="157">V520*32.8</f>
        <v>10233.599999999999</v>
      </c>
      <c r="X520" s="23">
        <v>619</v>
      </c>
      <c r="Y520" s="23">
        <f t="shared" ref="Y520:Y562" si="158">X520*35.15</f>
        <v>21757.85</v>
      </c>
      <c r="Z520" s="23">
        <v>500</v>
      </c>
      <c r="AA520" s="23">
        <f t="shared" ref="AA520:AA562" si="159">Z520*34.66</f>
        <v>17330</v>
      </c>
      <c r="AB520" s="23">
        <v>371</v>
      </c>
      <c r="AC520" s="23">
        <f t="shared" ref="AC520:AC562" si="160">AB520*36.05</f>
        <v>13374.55</v>
      </c>
      <c r="AD520" s="23">
        <v>544</v>
      </c>
      <c r="AE520" s="23">
        <f t="shared" ref="AE520:AE562" si="161">AD520*35.04</f>
        <v>19061.759999999998</v>
      </c>
      <c r="AF520" s="26">
        <v>844</v>
      </c>
      <c r="AG520" s="26">
        <f t="shared" si="143"/>
        <v>28847.919999999998</v>
      </c>
      <c r="AH520" s="23">
        <v>802</v>
      </c>
      <c r="AI520" s="23">
        <f t="shared" ref="AI520:AI562" si="162">AH520*33.3</f>
        <v>26706.6</v>
      </c>
      <c r="AJ520" s="23">
        <v>868</v>
      </c>
      <c r="AK520" s="23">
        <f t="shared" si="152"/>
        <v>31204.600000000002</v>
      </c>
      <c r="AL520" s="26">
        <v>841</v>
      </c>
      <c r="AM520" s="26">
        <f t="shared" si="153"/>
        <v>30839.47</v>
      </c>
      <c r="AN520" s="12">
        <f t="shared" si="154"/>
        <v>8631</v>
      </c>
      <c r="AO520" s="22">
        <f t="shared" si="155"/>
        <v>303006.83999999997</v>
      </c>
    </row>
    <row r="521" spans="1:41" x14ac:dyDescent="0.5">
      <c r="A521" s="19">
        <v>517</v>
      </c>
      <c r="B521" s="27" t="s">
        <v>907</v>
      </c>
      <c r="C521" s="28" t="s">
        <v>908</v>
      </c>
      <c r="D521" s="16">
        <v>962</v>
      </c>
      <c r="E521" s="16">
        <v>11</v>
      </c>
      <c r="F521" s="22">
        <v>2166</v>
      </c>
      <c r="G521" s="22">
        <f t="shared" si="147"/>
        <v>67405.919999999998</v>
      </c>
      <c r="H521" s="22"/>
      <c r="I521" s="23">
        <f t="shared" si="148"/>
        <v>0</v>
      </c>
      <c r="J521" s="22">
        <v>724</v>
      </c>
      <c r="K521" s="22">
        <f t="shared" si="149"/>
        <v>23899.239999999998</v>
      </c>
      <c r="L521" s="22">
        <v>2819</v>
      </c>
      <c r="M521" s="24">
        <f t="shared" si="150"/>
        <v>99003.28</v>
      </c>
      <c r="N521" s="23">
        <v>1481</v>
      </c>
      <c r="O521" s="23">
        <f t="shared" si="151"/>
        <v>56648.25</v>
      </c>
      <c r="P521" s="22">
        <v>2740</v>
      </c>
      <c r="Q521" s="22">
        <f t="shared" si="145"/>
        <v>115080</v>
      </c>
      <c r="R521" s="25">
        <v>974</v>
      </c>
      <c r="S521" s="25">
        <f t="shared" si="146"/>
        <v>37693.800000000003</v>
      </c>
      <c r="T521" s="25">
        <v>1277</v>
      </c>
      <c r="U521" s="25">
        <f t="shared" si="156"/>
        <v>43034.9</v>
      </c>
      <c r="V521" s="23">
        <v>520</v>
      </c>
      <c r="W521" s="23">
        <f t="shared" si="157"/>
        <v>17056</v>
      </c>
      <c r="X521" s="23">
        <v>1435</v>
      </c>
      <c r="Y521" s="23">
        <f t="shared" si="158"/>
        <v>50440.25</v>
      </c>
      <c r="Z521" s="23">
        <v>1521</v>
      </c>
      <c r="AA521" s="23">
        <f t="shared" si="159"/>
        <v>52717.859999999993</v>
      </c>
      <c r="AB521" s="23">
        <v>1134</v>
      </c>
      <c r="AC521" s="23">
        <f t="shared" si="160"/>
        <v>40880.699999999997</v>
      </c>
      <c r="AD521" s="23">
        <v>1791</v>
      </c>
      <c r="AE521" s="23">
        <f t="shared" si="161"/>
        <v>62756.639999999999</v>
      </c>
      <c r="AF521" s="26">
        <v>2252</v>
      </c>
      <c r="AG521" s="26">
        <f t="shared" ref="AG521:AG562" si="163">AF521*34.18</f>
        <v>76973.36</v>
      </c>
      <c r="AH521" s="23">
        <v>1725</v>
      </c>
      <c r="AI521" s="23">
        <f t="shared" si="162"/>
        <v>57442.499999999993</v>
      </c>
      <c r="AJ521" s="23">
        <v>1665</v>
      </c>
      <c r="AK521" s="23">
        <f t="shared" si="152"/>
        <v>59856.750000000007</v>
      </c>
      <c r="AL521" s="23">
        <v>2075</v>
      </c>
      <c r="AM521" s="26">
        <f t="shared" si="153"/>
        <v>76090.25</v>
      </c>
      <c r="AN521" s="12">
        <f t="shared" si="154"/>
        <v>26299</v>
      </c>
      <c r="AO521" s="22">
        <f t="shared" si="155"/>
        <v>936979.7</v>
      </c>
    </row>
    <row r="522" spans="1:41" s="31" customFormat="1" x14ac:dyDescent="0.5">
      <c r="A522" s="19">
        <v>518</v>
      </c>
      <c r="B522" s="20" t="s">
        <v>38</v>
      </c>
      <c r="C522" s="21" t="s">
        <v>904</v>
      </c>
      <c r="D522" s="16">
        <v>969</v>
      </c>
      <c r="E522" s="16">
        <v>11</v>
      </c>
      <c r="F522" s="22">
        <v>871</v>
      </c>
      <c r="G522" s="22">
        <f t="shared" si="147"/>
        <v>27105.52</v>
      </c>
      <c r="H522" s="22"/>
      <c r="I522" s="23">
        <f t="shared" si="148"/>
        <v>0</v>
      </c>
      <c r="J522" s="22"/>
      <c r="K522" s="22">
        <f t="shared" si="149"/>
        <v>0</v>
      </c>
      <c r="L522" s="22"/>
      <c r="M522" s="24">
        <f t="shared" si="150"/>
        <v>0</v>
      </c>
      <c r="N522" s="23"/>
      <c r="O522" s="23">
        <f t="shared" si="151"/>
        <v>0</v>
      </c>
      <c r="P522" s="22">
        <v>499</v>
      </c>
      <c r="Q522" s="22">
        <f t="shared" si="145"/>
        <v>20958</v>
      </c>
      <c r="R522" s="25"/>
      <c r="S522" s="25">
        <f t="shared" si="146"/>
        <v>0</v>
      </c>
      <c r="T522" s="25">
        <v>499</v>
      </c>
      <c r="U522" s="25">
        <f t="shared" si="156"/>
        <v>16816.300000000003</v>
      </c>
      <c r="V522" s="23">
        <v>479</v>
      </c>
      <c r="W522" s="23">
        <f t="shared" si="157"/>
        <v>15711.199999999999</v>
      </c>
      <c r="X522" s="23">
        <v>484</v>
      </c>
      <c r="Y522" s="23">
        <f t="shared" si="158"/>
        <v>17012.599999999999</v>
      </c>
      <c r="Z522" s="23">
        <v>451</v>
      </c>
      <c r="AA522" s="23">
        <f t="shared" si="159"/>
        <v>15631.659999999998</v>
      </c>
      <c r="AB522" s="23">
        <v>494</v>
      </c>
      <c r="AC522" s="23">
        <f t="shared" si="160"/>
        <v>17808.699999999997</v>
      </c>
      <c r="AD522" s="23">
        <v>502</v>
      </c>
      <c r="AE522" s="23">
        <f t="shared" si="161"/>
        <v>17590.079999999998</v>
      </c>
      <c r="AF522" s="26">
        <v>806</v>
      </c>
      <c r="AG522" s="26">
        <f t="shared" si="163"/>
        <v>27549.079999999998</v>
      </c>
      <c r="AH522" s="23">
        <v>1026</v>
      </c>
      <c r="AI522" s="23">
        <f t="shared" si="162"/>
        <v>34165.799999999996</v>
      </c>
      <c r="AJ522" s="23">
        <v>740</v>
      </c>
      <c r="AK522" s="23">
        <f t="shared" si="152"/>
        <v>26603.000000000004</v>
      </c>
      <c r="AL522" s="26">
        <v>958</v>
      </c>
      <c r="AM522" s="26">
        <f t="shared" si="153"/>
        <v>35129.86</v>
      </c>
      <c r="AN522" s="12">
        <f t="shared" si="154"/>
        <v>7809</v>
      </c>
      <c r="AO522" s="22">
        <f t="shared" si="155"/>
        <v>272081.8</v>
      </c>
    </row>
    <row r="523" spans="1:41" x14ac:dyDescent="0.5">
      <c r="A523" s="19">
        <v>519</v>
      </c>
      <c r="B523" s="27" t="s">
        <v>909</v>
      </c>
      <c r="C523" s="28" t="s">
        <v>910</v>
      </c>
      <c r="D523" s="16">
        <v>973</v>
      </c>
      <c r="E523" s="16">
        <v>11</v>
      </c>
      <c r="F523" s="22"/>
      <c r="G523" s="22">
        <f t="shared" si="147"/>
        <v>0</v>
      </c>
      <c r="H523" s="22"/>
      <c r="I523" s="23">
        <f t="shared" si="148"/>
        <v>0</v>
      </c>
      <c r="J523" s="22"/>
      <c r="K523" s="22">
        <f t="shared" si="149"/>
        <v>0</v>
      </c>
      <c r="L523" s="22"/>
      <c r="M523" s="24">
        <f t="shared" si="150"/>
        <v>0</v>
      </c>
      <c r="N523" s="23">
        <v>69</v>
      </c>
      <c r="O523" s="23">
        <f t="shared" si="151"/>
        <v>2639.25</v>
      </c>
      <c r="P523" s="22"/>
      <c r="Q523" s="22">
        <f t="shared" si="145"/>
        <v>0</v>
      </c>
      <c r="R523" s="25">
        <v>84</v>
      </c>
      <c r="S523" s="25">
        <f t="shared" si="146"/>
        <v>3250.8</v>
      </c>
      <c r="T523" s="25">
        <v>87</v>
      </c>
      <c r="U523" s="25">
        <f t="shared" si="156"/>
        <v>2931.9</v>
      </c>
      <c r="V523" s="23">
        <v>72</v>
      </c>
      <c r="W523" s="23">
        <f t="shared" si="157"/>
        <v>2361.6</v>
      </c>
      <c r="X523" s="23">
        <v>215</v>
      </c>
      <c r="Y523" s="23">
        <f t="shared" si="158"/>
        <v>7557.25</v>
      </c>
      <c r="Z523" s="23">
        <v>105</v>
      </c>
      <c r="AA523" s="23">
        <f t="shared" si="159"/>
        <v>3639.2999999999997</v>
      </c>
      <c r="AB523" s="23">
        <v>85</v>
      </c>
      <c r="AC523" s="23">
        <f t="shared" si="160"/>
        <v>3064.2499999999995</v>
      </c>
      <c r="AD523" s="23">
        <v>93</v>
      </c>
      <c r="AE523" s="23">
        <f t="shared" si="161"/>
        <v>3258.72</v>
      </c>
      <c r="AF523" s="26">
        <v>114</v>
      </c>
      <c r="AG523" s="26">
        <f t="shared" si="163"/>
        <v>3896.52</v>
      </c>
      <c r="AH523" s="23">
        <v>92</v>
      </c>
      <c r="AI523" s="23">
        <f t="shared" si="162"/>
        <v>3063.6</v>
      </c>
      <c r="AJ523" s="23">
        <v>108</v>
      </c>
      <c r="AK523" s="23">
        <f t="shared" si="152"/>
        <v>3882.6000000000004</v>
      </c>
      <c r="AL523" s="23">
        <v>112</v>
      </c>
      <c r="AM523" s="26">
        <f t="shared" si="153"/>
        <v>4107.04</v>
      </c>
      <c r="AN523" s="12">
        <f t="shared" si="154"/>
        <v>1236</v>
      </c>
      <c r="AO523" s="22">
        <f t="shared" si="155"/>
        <v>43652.83</v>
      </c>
    </row>
    <row r="524" spans="1:41" s="31" customFormat="1" x14ac:dyDescent="0.5">
      <c r="A524" s="19">
        <v>520</v>
      </c>
      <c r="B524" s="27" t="s">
        <v>911</v>
      </c>
      <c r="C524" s="28" t="s">
        <v>892</v>
      </c>
      <c r="D524" s="16">
        <v>1001</v>
      </c>
      <c r="E524" s="16">
        <v>11</v>
      </c>
      <c r="F524" s="22">
        <v>591</v>
      </c>
      <c r="G524" s="22">
        <f t="shared" si="147"/>
        <v>18391.920000000002</v>
      </c>
      <c r="H524" s="22"/>
      <c r="I524" s="23">
        <f t="shared" si="148"/>
        <v>0</v>
      </c>
      <c r="J524" s="22"/>
      <c r="K524" s="22">
        <f t="shared" si="149"/>
        <v>0</v>
      </c>
      <c r="L524" s="22"/>
      <c r="M524" s="24">
        <f t="shared" si="150"/>
        <v>0</v>
      </c>
      <c r="N524" s="23"/>
      <c r="O524" s="23">
        <f t="shared" si="151"/>
        <v>0</v>
      </c>
      <c r="P524" s="22">
        <v>757</v>
      </c>
      <c r="Q524" s="22">
        <f t="shared" si="145"/>
        <v>31794</v>
      </c>
      <c r="R524" s="25">
        <v>368</v>
      </c>
      <c r="S524" s="25">
        <f t="shared" si="146"/>
        <v>14241.6</v>
      </c>
      <c r="T524" s="25">
        <v>388</v>
      </c>
      <c r="U524" s="25">
        <f t="shared" si="156"/>
        <v>13075.6</v>
      </c>
      <c r="V524" s="23">
        <v>295</v>
      </c>
      <c r="W524" s="23">
        <f t="shared" si="157"/>
        <v>9676</v>
      </c>
      <c r="X524" s="23">
        <v>456</v>
      </c>
      <c r="Y524" s="23">
        <f t="shared" si="158"/>
        <v>16028.4</v>
      </c>
      <c r="Z524" s="23"/>
      <c r="AA524" s="23">
        <f t="shared" si="159"/>
        <v>0</v>
      </c>
      <c r="AB524" s="23"/>
      <c r="AC524" s="23">
        <f t="shared" si="160"/>
        <v>0</v>
      </c>
      <c r="AD524" s="23">
        <v>254</v>
      </c>
      <c r="AE524" s="23">
        <f t="shared" si="161"/>
        <v>8900.16</v>
      </c>
      <c r="AF524" s="26">
        <v>497</v>
      </c>
      <c r="AG524" s="26">
        <f t="shared" si="163"/>
        <v>16987.46</v>
      </c>
      <c r="AH524" s="23">
        <v>605</v>
      </c>
      <c r="AI524" s="23">
        <f t="shared" si="162"/>
        <v>20146.5</v>
      </c>
      <c r="AJ524" s="23">
        <v>658</v>
      </c>
      <c r="AK524" s="23">
        <f t="shared" si="152"/>
        <v>23655.100000000002</v>
      </c>
      <c r="AL524" s="23">
        <v>782</v>
      </c>
      <c r="AM524" s="26">
        <f t="shared" si="153"/>
        <v>28675.940000000002</v>
      </c>
      <c r="AN524" s="12">
        <f t="shared" si="154"/>
        <v>5651</v>
      </c>
      <c r="AO524" s="22">
        <f t="shared" si="155"/>
        <v>201572.68</v>
      </c>
    </row>
    <row r="525" spans="1:41" s="31" customFormat="1" x14ac:dyDescent="0.5">
      <c r="A525" s="19">
        <v>521</v>
      </c>
      <c r="B525" s="20" t="s">
        <v>912</v>
      </c>
      <c r="C525" s="21" t="s">
        <v>101</v>
      </c>
      <c r="D525" s="16">
        <v>1021</v>
      </c>
      <c r="E525" s="16">
        <v>11</v>
      </c>
      <c r="F525" s="22">
        <v>821</v>
      </c>
      <c r="G525" s="22">
        <f t="shared" si="147"/>
        <v>25549.52</v>
      </c>
      <c r="H525" s="22">
        <v>678</v>
      </c>
      <c r="I525" s="23">
        <f t="shared" si="148"/>
        <v>21973.979999999996</v>
      </c>
      <c r="J525" s="22">
        <v>693</v>
      </c>
      <c r="K525" s="22">
        <f t="shared" si="149"/>
        <v>22875.93</v>
      </c>
      <c r="L525" s="22">
        <v>549</v>
      </c>
      <c r="M525" s="24">
        <f t="shared" si="150"/>
        <v>19280.879999999997</v>
      </c>
      <c r="N525" s="23">
        <v>726</v>
      </c>
      <c r="O525" s="23">
        <f t="shared" si="151"/>
        <v>27769.5</v>
      </c>
      <c r="P525" s="22">
        <v>1148</v>
      </c>
      <c r="Q525" s="22">
        <f t="shared" si="145"/>
        <v>48216</v>
      </c>
      <c r="R525" s="25">
        <v>365</v>
      </c>
      <c r="S525" s="25">
        <f t="shared" si="146"/>
        <v>14125.500000000002</v>
      </c>
      <c r="T525" s="25">
        <v>642</v>
      </c>
      <c r="U525" s="25">
        <f t="shared" si="156"/>
        <v>21635.4</v>
      </c>
      <c r="V525" s="23">
        <v>621</v>
      </c>
      <c r="W525" s="23">
        <f t="shared" si="157"/>
        <v>20368.8</v>
      </c>
      <c r="X525" s="23">
        <v>736</v>
      </c>
      <c r="Y525" s="23">
        <f t="shared" si="158"/>
        <v>25870.399999999998</v>
      </c>
      <c r="Z525" s="23">
        <v>737</v>
      </c>
      <c r="AA525" s="23">
        <f t="shared" si="159"/>
        <v>25544.42</v>
      </c>
      <c r="AB525" s="23">
        <v>617</v>
      </c>
      <c r="AC525" s="23">
        <f t="shared" si="160"/>
        <v>22242.85</v>
      </c>
      <c r="AD525" s="23">
        <v>676</v>
      </c>
      <c r="AE525" s="23">
        <f t="shared" si="161"/>
        <v>23687.040000000001</v>
      </c>
      <c r="AF525" s="26">
        <v>713</v>
      </c>
      <c r="AG525" s="26">
        <f t="shared" si="163"/>
        <v>24370.34</v>
      </c>
      <c r="AH525" s="23">
        <v>707</v>
      </c>
      <c r="AI525" s="23">
        <f t="shared" si="162"/>
        <v>23543.1</v>
      </c>
      <c r="AJ525" s="23">
        <v>829</v>
      </c>
      <c r="AK525" s="23">
        <f t="shared" si="152"/>
        <v>29802.550000000003</v>
      </c>
      <c r="AL525" s="26">
        <v>848</v>
      </c>
      <c r="AM525" s="26">
        <f t="shared" si="153"/>
        <v>31096.16</v>
      </c>
      <c r="AN525" s="12">
        <f t="shared" si="154"/>
        <v>12106</v>
      </c>
      <c r="AO525" s="22">
        <f t="shared" si="155"/>
        <v>427952.36999999988</v>
      </c>
    </row>
    <row r="526" spans="1:41" s="31" customFormat="1" x14ac:dyDescent="0.5">
      <c r="A526" s="19">
        <v>522</v>
      </c>
      <c r="B526" s="20" t="s">
        <v>913</v>
      </c>
      <c r="C526" s="21" t="s">
        <v>75</v>
      </c>
      <c r="D526" s="16">
        <v>1050</v>
      </c>
      <c r="E526" s="16">
        <v>11</v>
      </c>
      <c r="F526" s="22">
        <v>601</v>
      </c>
      <c r="G526" s="22">
        <f t="shared" si="147"/>
        <v>18703.12</v>
      </c>
      <c r="H526" s="22">
        <v>353</v>
      </c>
      <c r="I526" s="23">
        <f t="shared" si="148"/>
        <v>11440.73</v>
      </c>
      <c r="J526" s="22"/>
      <c r="K526" s="22">
        <f t="shared" si="149"/>
        <v>0</v>
      </c>
      <c r="L526" s="22"/>
      <c r="M526" s="24">
        <f t="shared" si="150"/>
        <v>0</v>
      </c>
      <c r="N526" s="23">
        <v>528</v>
      </c>
      <c r="O526" s="23">
        <f t="shared" si="151"/>
        <v>20196</v>
      </c>
      <c r="P526" s="22">
        <v>372</v>
      </c>
      <c r="Q526" s="22">
        <f t="shared" ref="Q526:Q562" si="164">P526*42</f>
        <v>15624</v>
      </c>
      <c r="R526" s="25">
        <v>539</v>
      </c>
      <c r="S526" s="25">
        <f t="shared" ref="S526:S562" si="165">R526*38.7</f>
        <v>20859.300000000003</v>
      </c>
      <c r="T526" s="25">
        <v>1017</v>
      </c>
      <c r="U526" s="25">
        <f t="shared" si="156"/>
        <v>34272.9</v>
      </c>
      <c r="V526" s="23">
        <v>816</v>
      </c>
      <c r="W526" s="23">
        <f t="shared" si="157"/>
        <v>26764.799999999999</v>
      </c>
      <c r="X526" s="23">
        <v>1260</v>
      </c>
      <c r="Y526" s="23">
        <f t="shared" si="158"/>
        <v>44289</v>
      </c>
      <c r="Z526" s="23">
        <v>783</v>
      </c>
      <c r="AA526" s="23">
        <f t="shared" si="159"/>
        <v>27138.78</v>
      </c>
      <c r="AB526" s="23"/>
      <c r="AC526" s="23">
        <f t="shared" si="160"/>
        <v>0</v>
      </c>
      <c r="AD526" s="23"/>
      <c r="AE526" s="23">
        <f t="shared" si="161"/>
        <v>0</v>
      </c>
      <c r="AF526" s="26">
        <v>886</v>
      </c>
      <c r="AG526" s="26">
        <f t="shared" si="163"/>
        <v>30283.48</v>
      </c>
      <c r="AH526" s="23">
        <v>1152</v>
      </c>
      <c r="AI526" s="23">
        <f t="shared" si="162"/>
        <v>38361.599999999999</v>
      </c>
      <c r="AJ526" s="23">
        <v>1119</v>
      </c>
      <c r="AK526" s="23">
        <f t="shared" si="152"/>
        <v>40228.050000000003</v>
      </c>
      <c r="AL526" s="26">
        <v>1210</v>
      </c>
      <c r="AM526" s="26">
        <f t="shared" si="153"/>
        <v>44370.700000000004</v>
      </c>
      <c r="AN526" s="12">
        <f t="shared" si="154"/>
        <v>10636</v>
      </c>
      <c r="AO526" s="22">
        <f t="shared" si="155"/>
        <v>372532.46</v>
      </c>
    </row>
    <row r="527" spans="1:41" s="31" customFormat="1" x14ac:dyDescent="0.5">
      <c r="A527" s="19">
        <v>523</v>
      </c>
      <c r="B527" s="20" t="s">
        <v>914</v>
      </c>
      <c r="C527" s="21" t="s">
        <v>691</v>
      </c>
      <c r="D527" s="16">
        <v>1056</v>
      </c>
      <c r="E527" s="16">
        <v>11</v>
      </c>
      <c r="F527" s="22">
        <v>507</v>
      </c>
      <c r="G527" s="22">
        <f t="shared" ref="G527:G562" si="166">F527*31.12</f>
        <v>15777.84</v>
      </c>
      <c r="H527" s="22"/>
      <c r="I527" s="23">
        <f t="shared" ref="I527:I562" si="167">H527*32.41</f>
        <v>0</v>
      </c>
      <c r="J527" s="22"/>
      <c r="K527" s="22">
        <f t="shared" ref="K527:K562" si="168">J527*33.01</f>
        <v>0</v>
      </c>
      <c r="L527" s="22"/>
      <c r="M527" s="24">
        <f t="shared" ref="M527:M562" si="169">L527*35.12</f>
        <v>0</v>
      </c>
      <c r="N527" s="23">
        <v>429</v>
      </c>
      <c r="O527" s="23">
        <f t="shared" ref="O527:O562" si="170">N527*38.25</f>
        <v>16409.25</v>
      </c>
      <c r="P527" s="22"/>
      <c r="Q527" s="22">
        <f t="shared" si="164"/>
        <v>0</v>
      </c>
      <c r="R527" s="25">
        <v>476</v>
      </c>
      <c r="S527" s="25">
        <f t="shared" si="165"/>
        <v>18421.2</v>
      </c>
      <c r="T527" s="25">
        <v>399</v>
      </c>
      <c r="U527" s="25">
        <f t="shared" si="156"/>
        <v>13446.300000000001</v>
      </c>
      <c r="V527" s="23">
        <v>541</v>
      </c>
      <c r="W527" s="23">
        <f t="shared" si="157"/>
        <v>17744.8</v>
      </c>
      <c r="X527" s="23">
        <v>560</v>
      </c>
      <c r="Y527" s="23">
        <f t="shared" si="158"/>
        <v>19684</v>
      </c>
      <c r="Z527" s="23">
        <v>470</v>
      </c>
      <c r="AA527" s="23">
        <f t="shared" si="159"/>
        <v>16290.199999999999</v>
      </c>
      <c r="AB527" s="23"/>
      <c r="AC527" s="23">
        <f t="shared" si="160"/>
        <v>0</v>
      </c>
      <c r="AD527" s="23"/>
      <c r="AE527" s="23">
        <f t="shared" si="161"/>
        <v>0</v>
      </c>
      <c r="AF527" s="26">
        <v>488</v>
      </c>
      <c r="AG527" s="26">
        <f t="shared" si="163"/>
        <v>16679.84</v>
      </c>
      <c r="AH527" s="23">
        <v>389</v>
      </c>
      <c r="AI527" s="23">
        <f t="shared" si="162"/>
        <v>12953.699999999999</v>
      </c>
      <c r="AJ527" s="23">
        <v>603</v>
      </c>
      <c r="AK527" s="23">
        <f t="shared" si="152"/>
        <v>21677.850000000002</v>
      </c>
      <c r="AL527" s="26">
        <v>518</v>
      </c>
      <c r="AM527" s="26">
        <f t="shared" si="153"/>
        <v>18995.060000000001</v>
      </c>
      <c r="AN527" s="12">
        <f t="shared" si="154"/>
        <v>5380</v>
      </c>
      <c r="AO527" s="22">
        <f t="shared" si="155"/>
        <v>188080.04</v>
      </c>
    </row>
    <row r="528" spans="1:41" s="31" customFormat="1" x14ac:dyDescent="0.5">
      <c r="A528" s="19">
        <v>524</v>
      </c>
      <c r="B528" s="20" t="s">
        <v>915</v>
      </c>
      <c r="C528" s="21" t="s">
        <v>916</v>
      </c>
      <c r="D528" s="16">
        <v>1062</v>
      </c>
      <c r="E528" s="16">
        <v>11</v>
      </c>
      <c r="F528" s="22">
        <v>258</v>
      </c>
      <c r="G528" s="22">
        <f t="shared" si="166"/>
        <v>8028.96</v>
      </c>
      <c r="H528" s="22">
        <v>201</v>
      </c>
      <c r="I528" s="23">
        <f t="shared" si="167"/>
        <v>6514.4099999999989</v>
      </c>
      <c r="J528" s="22"/>
      <c r="K528" s="22">
        <f t="shared" si="168"/>
        <v>0</v>
      </c>
      <c r="L528" s="22">
        <v>214</v>
      </c>
      <c r="M528" s="24">
        <f t="shared" si="169"/>
        <v>7515.6799999999994</v>
      </c>
      <c r="N528" s="23">
        <v>263</v>
      </c>
      <c r="O528" s="23">
        <f t="shared" si="170"/>
        <v>10059.75</v>
      </c>
      <c r="P528" s="22">
        <v>258</v>
      </c>
      <c r="Q528" s="22">
        <f t="shared" si="164"/>
        <v>10836</v>
      </c>
      <c r="R528" s="25">
        <v>163</v>
      </c>
      <c r="S528" s="25">
        <f t="shared" si="165"/>
        <v>6308.1</v>
      </c>
      <c r="T528" s="25">
        <v>217</v>
      </c>
      <c r="U528" s="25">
        <f t="shared" si="156"/>
        <v>7312.9000000000005</v>
      </c>
      <c r="V528" s="23">
        <v>223</v>
      </c>
      <c r="W528" s="23">
        <f t="shared" si="157"/>
        <v>7314.4</v>
      </c>
      <c r="X528" s="23">
        <v>274</v>
      </c>
      <c r="Y528" s="23">
        <f t="shared" si="158"/>
        <v>9631.1</v>
      </c>
      <c r="Z528" s="23">
        <v>254</v>
      </c>
      <c r="AA528" s="23">
        <f t="shared" si="159"/>
        <v>8803.64</v>
      </c>
      <c r="AB528" s="23"/>
      <c r="AC528" s="23">
        <f t="shared" si="160"/>
        <v>0</v>
      </c>
      <c r="AD528" s="23">
        <v>204</v>
      </c>
      <c r="AE528" s="23">
        <f t="shared" si="161"/>
        <v>7148.16</v>
      </c>
      <c r="AF528" s="26">
        <v>242</v>
      </c>
      <c r="AG528" s="26">
        <f t="shared" si="163"/>
        <v>8271.56</v>
      </c>
      <c r="AH528" s="23">
        <v>177</v>
      </c>
      <c r="AI528" s="23">
        <f t="shared" si="162"/>
        <v>5894.0999999999995</v>
      </c>
      <c r="AJ528" s="23">
        <v>230</v>
      </c>
      <c r="AK528" s="23">
        <f t="shared" si="152"/>
        <v>8268.5</v>
      </c>
      <c r="AL528" s="26">
        <v>232</v>
      </c>
      <c r="AM528" s="26">
        <f t="shared" si="153"/>
        <v>8507.44</v>
      </c>
      <c r="AN528" s="12">
        <f t="shared" si="154"/>
        <v>3410</v>
      </c>
      <c r="AO528" s="22">
        <f t="shared" si="155"/>
        <v>120414.70000000001</v>
      </c>
    </row>
    <row r="529" spans="1:41" s="31" customFormat="1" x14ac:dyDescent="0.5">
      <c r="A529" s="19">
        <v>525</v>
      </c>
      <c r="B529" s="20" t="s">
        <v>437</v>
      </c>
      <c r="C529" s="21" t="s">
        <v>556</v>
      </c>
      <c r="D529" s="16">
        <v>1066</v>
      </c>
      <c r="E529" s="16">
        <v>11</v>
      </c>
      <c r="F529" s="22">
        <v>1103</v>
      </c>
      <c r="G529" s="22">
        <f t="shared" si="166"/>
        <v>34325.360000000001</v>
      </c>
      <c r="H529" s="22">
        <v>760</v>
      </c>
      <c r="I529" s="23">
        <f t="shared" si="167"/>
        <v>24631.599999999999</v>
      </c>
      <c r="J529" s="22">
        <v>590</v>
      </c>
      <c r="K529" s="22">
        <f t="shared" si="168"/>
        <v>19475.899999999998</v>
      </c>
      <c r="L529" s="22">
        <v>745</v>
      </c>
      <c r="M529" s="24">
        <f t="shared" si="169"/>
        <v>26164.399999999998</v>
      </c>
      <c r="N529" s="23">
        <v>370</v>
      </c>
      <c r="O529" s="23">
        <f t="shared" si="170"/>
        <v>14152.5</v>
      </c>
      <c r="P529" s="22">
        <v>798</v>
      </c>
      <c r="Q529" s="22">
        <f t="shared" si="164"/>
        <v>33516</v>
      </c>
      <c r="R529" s="25">
        <v>611</v>
      </c>
      <c r="S529" s="25">
        <f t="shared" si="165"/>
        <v>23645.7</v>
      </c>
      <c r="T529" s="25">
        <v>645</v>
      </c>
      <c r="U529" s="25">
        <f t="shared" si="156"/>
        <v>21736.500000000004</v>
      </c>
      <c r="V529" s="23">
        <v>951</v>
      </c>
      <c r="W529" s="23">
        <f t="shared" si="157"/>
        <v>31192.799999999996</v>
      </c>
      <c r="X529" s="23">
        <v>884</v>
      </c>
      <c r="Y529" s="23">
        <f t="shared" si="158"/>
        <v>31072.6</v>
      </c>
      <c r="Z529" s="23">
        <v>842</v>
      </c>
      <c r="AA529" s="23">
        <f t="shared" si="159"/>
        <v>29183.719999999998</v>
      </c>
      <c r="AB529" s="23"/>
      <c r="AC529" s="23">
        <f t="shared" si="160"/>
        <v>0</v>
      </c>
      <c r="AD529" s="23">
        <v>1230</v>
      </c>
      <c r="AE529" s="23">
        <f t="shared" si="161"/>
        <v>43099.199999999997</v>
      </c>
      <c r="AF529" s="26">
        <v>993</v>
      </c>
      <c r="AG529" s="26">
        <f t="shared" si="163"/>
        <v>33940.74</v>
      </c>
      <c r="AH529" s="23">
        <v>1059</v>
      </c>
      <c r="AI529" s="23">
        <f t="shared" si="162"/>
        <v>35264.699999999997</v>
      </c>
      <c r="AJ529" s="23">
        <v>1001</v>
      </c>
      <c r="AK529" s="23">
        <f t="shared" si="152"/>
        <v>35985.950000000004</v>
      </c>
      <c r="AL529" s="26">
        <v>1013</v>
      </c>
      <c r="AM529" s="26">
        <f t="shared" si="153"/>
        <v>37146.71</v>
      </c>
      <c r="AN529" s="12">
        <f t="shared" si="154"/>
        <v>13595</v>
      </c>
      <c r="AO529" s="22">
        <f t="shared" si="155"/>
        <v>474534.38000000006</v>
      </c>
    </row>
    <row r="530" spans="1:41" s="31" customFormat="1" x14ac:dyDescent="0.5">
      <c r="A530" s="19">
        <v>526</v>
      </c>
      <c r="B530" s="20" t="s">
        <v>917</v>
      </c>
      <c r="C530" s="21" t="s">
        <v>918</v>
      </c>
      <c r="D530" s="16">
        <v>1097</v>
      </c>
      <c r="E530" s="16">
        <v>11</v>
      </c>
      <c r="F530" s="22">
        <v>716</v>
      </c>
      <c r="G530" s="22">
        <f t="shared" si="166"/>
        <v>22281.920000000002</v>
      </c>
      <c r="H530" s="22">
        <v>638</v>
      </c>
      <c r="I530" s="23">
        <f t="shared" si="167"/>
        <v>20677.579999999998</v>
      </c>
      <c r="J530" s="22">
        <v>630</v>
      </c>
      <c r="K530" s="22">
        <f t="shared" si="168"/>
        <v>20796.3</v>
      </c>
      <c r="L530" s="22">
        <v>543</v>
      </c>
      <c r="M530" s="24">
        <f t="shared" si="169"/>
        <v>19070.16</v>
      </c>
      <c r="N530" s="23">
        <v>414</v>
      </c>
      <c r="O530" s="23">
        <f t="shared" si="170"/>
        <v>15835.5</v>
      </c>
      <c r="P530" s="22">
        <v>416</v>
      </c>
      <c r="Q530" s="22">
        <f t="shared" si="164"/>
        <v>17472</v>
      </c>
      <c r="R530" s="25">
        <v>356</v>
      </c>
      <c r="S530" s="25">
        <f t="shared" si="165"/>
        <v>13777.2</v>
      </c>
      <c r="T530" s="25">
        <v>525</v>
      </c>
      <c r="U530" s="25">
        <f t="shared" si="156"/>
        <v>17692.5</v>
      </c>
      <c r="V530" s="23">
        <v>451</v>
      </c>
      <c r="W530" s="23">
        <f t="shared" si="157"/>
        <v>14792.8</v>
      </c>
      <c r="X530" s="23">
        <v>576</v>
      </c>
      <c r="Y530" s="23">
        <f t="shared" si="158"/>
        <v>20246.399999999998</v>
      </c>
      <c r="Z530" s="23">
        <v>484</v>
      </c>
      <c r="AA530" s="23">
        <f t="shared" si="159"/>
        <v>16775.439999999999</v>
      </c>
      <c r="AB530" s="23">
        <v>468</v>
      </c>
      <c r="AC530" s="23">
        <f t="shared" si="160"/>
        <v>16871.399999999998</v>
      </c>
      <c r="AD530" s="23">
        <v>619</v>
      </c>
      <c r="AE530" s="23">
        <f t="shared" si="161"/>
        <v>21689.759999999998</v>
      </c>
      <c r="AF530" s="26">
        <v>662</v>
      </c>
      <c r="AG530" s="26">
        <f t="shared" si="163"/>
        <v>22627.16</v>
      </c>
      <c r="AH530" s="23">
        <v>705</v>
      </c>
      <c r="AI530" s="23">
        <f t="shared" si="162"/>
        <v>23476.499999999996</v>
      </c>
      <c r="AJ530" s="23">
        <v>776</v>
      </c>
      <c r="AK530" s="23">
        <f t="shared" si="152"/>
        <v>27897.200000000001</v>
      </c>
      <c r="AL530" s="26">
        <v>786</v>
      </c>
      <c r="AM530" s="26">
        <f t="shared" si="153"/>
        <v>28822.620000000003</v>
      </c>
      <c r="AN530" s="12">
        <f t="shared" si="154"/>
        <v>9765</v>
      </c>
      <c r="AO530" s="22">
        <f t="shared" si="155"/>
        <v>340802.44</v>
      </c>
    </row>
    <row r="531" spans="1:41" s="31" customFormat="1" x14ac:dyDescent="0.5">
      <c r="A531" s="19">
        <v>527</v>
      </c>
      <c r="B531" s="20" t="s">
        <v>79</v>
      </c>
      <c r="C531" s="21" t="s">
        <v>919</v>
      </c>
      <c r="D531" s="16">
        <v>1112</v>
      </c>
      <c r="E531" s="16">
        <v>11</v>
      </c>
      <c r="F531" s="22"/>
      <c r="G531" s="22">
        <f t="shared" si="166"/>
        <v>0</v>
      </c>
      <c r="H531" s="22"/>
      <c r="I531" s="23">
        <f t="shared" si="167"/>
        <v>0</v>
      </c>
      <c r="J531" s="22"/>
      <c r="K531" s="22">
        <f t="shared" si="168"/>
        <v>0</v>
      </c>
      <c r="L531" s="22"/>
      <c r="M531" s="24">
        <f t="shared" si="169"/>
        <v>0</v>
      </c>
      <c r="N531" s="23"/>
      <c r="O531" s="23">
        <f t="shared" si="170"/>
        <v>0</v>
      </c>
      <c r="P531" s="22"/>
      <c r="Q531" s="22">
        <f t="shared" si="164"/>
        <v>0</v>
      </c>
      <c r="R531" s="25">
        <v>358</v>
      </c>
      <c r="S531" s="25">
        <f t="shared" si="165"/>
        <v>13854.6</v>
      </c>
      <c r="T531" s="25">
        <v>425</v>
      </c>
      <c r="U531" s="25">
        <f t="shared" si="156"/>
        <v>14322.500000000002</v>
      </c>
      <c r="V531" s="23">
        <v>483</v>
      </c>
      <c r="W531" s="23">
        <f t="shared" si="157"/>
        <v>15842.399999999998</v>
      </c>
      <c r="X531" s="23">
        <v>510</v>
      </c>
      <c r="Y531" s="23">
        <f t="shared" si="158"/>
        <v>17926.5</v>
      </c>
      <c r="Z531" s="23">
        <v>397</v>
      </c>
      <c r="AA531" s="23">
        <f t="shared" si="159"/>
        <v>13760.019999999999</v>
      </c>
      <c r="AB531" s="23">
        <v>376</v>
      </c>
      <c r="AC531" s="23">
        <f t="shared" si="160"/>
        <v>13554.8</v>
      </c>
      <c r="AD531" s="23">
        <v>544</v>
      </c>
      <c r="AE531" s="23">
        <f t="shared" si="161"/>
        <v>19061.759999999998</v>
      </c>
      <c r="AF531" s="26">
        <v>510</v>
      </c>
      <c r="AG531" s="26">
        <f t="shared" si="163"/>
        <v>17431.8</v>
      </c>
      <c r="AH531" s="23">
        <v>504</v>
      </c>
      <c r="AI531" s="23">
        <f t="shared" si="162"/>
        <v>16783.199999999997</v>
      </c>
      <c r="AJ531" s="23">
        <v>494</v>
      </c>
      <c r="AK531" s="23">
        <f t="shared" si="152"/>
        <v>17759.300000000003</v>
      </c>
      <c r="AL531" s="26">
        <v>614</v>
      </c>
      <c r="AM531" s="26">
        <f t="shared" si="153"/>
        <v>22515.38</v>
      </c>
      <c r="AN531" s="12">
        <f t="shared" si="154"/>
        <v>5215</v>
      </c>
      <c r="AO531" s="22">
        <f t="shared" si="155"/>
        <v>182812.26</v>
      </c>
    </row>
    <row r="532" spans="1:41" s="31" customFormat="1" x14ac:dyDescent="0.5">
      <c r="A532" s="19">
        <v>528</v>
      </c>
      <c r="B532" s="27" t="s">
        <v>920</v>
      </c>
      <c r="C532" s="28" t="s">
        <v>921</v>
      </c>
      <c r="D532" s="16">
        <v>137</v>
      </c>
      <c r="E532" s="16">
        <v>12</v>
      </c>
      <c r="F532" s="22">
        <v>226</v>
      </c>
      <c r="G532" s="22">
        <f t="shared" si="166"/>
        <v>7033.12</v>
      </c>
      <c r="H532" s="22"/>
      <c r="I532" s="23">
        <f t="shared" si="167"/>
        <v>0</v>
      </c>
      <c r="J532" s="22"/>
      <c r="K532" s="22">
        <f t="shared" si="168"/>
        <v>0</v>
      </c>
      <c r="L532" s="22"/>
      <c r="M532" s="24">
        <f t="shared" si="169"/>
        <v>0</v>
      </c>
      <c r="N532" s="23"/>
      <c r="O532" s="23">
        <f t="shared" si="170"/>
        <v>0</v>
      </c>
      <c r="P532" s="22"/>
      <c r="Q532" s="22">
        <f t="shared" si="164"/>
        <v>0</v>
      </c>
      <c r="R532" s="25"/>
      <c r="S532" s="25">
        <f t="shared" si="165"/>
        <v>0</v>
      </c>
      <c r="T532" s="25"/>
      <c r="U532" s="25">
        <f t="shared" si="156"/>
        <v>0</v>
      </c>
      <c r="V532" s="23"/>
      <c r="W532" s="23">
        <f t="shared" si="157"/>
        <v>0</v>
      </c>
      <c r="X532" s="23"/>
      <c r="Y532" s="23">
        <f t="shared" si="158"/>
        <v>0</v>
      </c>
      <c r="Z532" s="23"/>
      <c r="AA532" s="23">
        <f t="shared" si="159"/>
        <v>0</v>
      </c>
      <c r="AB532" s="23"/>
      <c r="AC532" s="23">
        <f t="shared" si="160"/>
        <v>0</v>
      </c>
      <c r="AD532" s="23"/>
      <c r="AE532" s="23">
        <f t="shared" si="161"/>
        <v>0</v>
      </c>
      <c r="AF532" s="26">
        <v>272</v>
      </c>
      <c r="AG532" s="26">
        <f t="shared" si="163"/>
        <v>9296.9599999999991</v>
      </c>
      <c r="AH532" s="23"/>
      <c r="AI532" s="23">
        <f t="shared" si="162"/>
        <v>0</v>
      </c>
      <c r="AJ532" s="23"/>
      <c r="AK532" s="23">
        <f t="shared" si="152"/>
        <v>0</v>
      </c>
      <c r="AL532" s="23">
        <v>296</v>
      </c>
      <c r="AM532" s="26">
        <f t="shared" si="153"/>
        <v>10854.32</v>
      </c>
      <c r="AN532" s="12">
        <f t="shared" si="154"/>
        <v>794</v>
      </c>
      <c r="AO532" s="22">
        <f t="shared" si="155"/>
        <v>27184.399999999998</v>
      </c>
    </row>
    <row r="533" spans="1:41" s="31" customFormat="1" x14ac:dyDescent="0.5">
      <c r="A533" s="19">
        <v>529</v>
      </c>
      <c r="B533" s="20" t="s">
        <v>922</v>
      </c>
      <c r="C533" s="21" t="s">
        <v>451</v>
      </c>
      <c r="D533" s="16">
        <v>152</v>
      </c>
      <c r="E533" s="16">
        <v>12</v>
      </c>
      <c r="F533" s="22">
        <v>1530</v>
      </c>
      <c r="G533" s="22">
        <f t="shared" si="166"/>
        <v>47613.599999999999</v>
      </c>
      <c r="H533" s="22">
        <v>1097</v>
      </c>
      <c r="I533" s="23">
        <f t="shared" si="167"/>
        <v>35553.769999999997</v>
      </c>
      <c r="J533" s="22">
        <v>817</v>
      </c>
      <c r="K533" s="22">
        <f t="shared" si="168"/>
        <v>26969.17</v>
      </c>
      <c r="L533" s="22">
        <v>620</v>
      </c>
      <c r="M533" s="24">
        <f t="shared" si="169"/>
        <v>21774.399999999998</v>
      </c>
      <c r="N533" s="23">
        <v>701</v>
      </c>
      <c r="O533" s="23">
        <f t="shared" si="170"/>
        <v>26813.25</v>
      </c>
      <c r="P533" s="22">
        <v>655</v>
      </c>
      <c r="Q533" s="22">
        <f t="shared" si="164"/>
        <v>27510</v>
      </c>
      <c r="R533" s="25">
        <v>574</v>
      </c>
      <c r="S533" s="25">
        <f t="shared" si="165"/>
        <v>22213.800000000003</v>
      </c>
      <c r="T533" s="25">
        <v>695</v>
      </c>
      <c r="U533" s="25">
        <f t="shared" si="156"/>
        <v>23421.500000000004</v>
      </c>
      <c r="V533" s="23">
        <v>594</v>
      </c>
      <c r="W533" s="23">
        <f t="shared" si="157"/>
        <v>19483.199999999997</v>
      </c>
      <c r="X533" s="23">
        <v>920</v>
      </c>
      <c r="Y533" s="23">
        <f t="shared" si="158"/>
        <v>32338</v>
      </c>
      <c r="Z533" s="23">
        <v>660</v>
      </c>
      <c r="AA533" s="23">
        <f t="shared" si="159"/>
        <v>22875.599999999999</v>
      </c>
      <c r="AB533" s="23">
        <v>338</v>
      </c>
      <c r="AC533" s="23">
        <f t="shared" si="160"/>
        <v>12184.9</v>
      </c>
      <c r="AD533" s="23">
        <v>344</v>
      </c>
      <c r="AE533" s="23">
        <f t="shared" si="161"/>
        <v>12053.76</v>
      </c>
      <c r="AF533" s="26">
        <v>397</v>
      </c>
      <c r="AG533" s="26">
        <f t="shared" si="163"/>
        <v>13569.46</v>
      </c>
      <c r="AH533" s="23">
        <v>366</v>
      </c>
      <c r="AI533" s="23">
        <f t="shared" si="162"/>
        <v>12187.8</v>
      </c>
      <c r="AJ533" s="23">
        <v>483</v>
      </c>
      <c r="AK533" s="23">
        <f t="shared" si="152"/>
        <v>17363.850000000002</v>
      </c>
      <c r="AL533" s="26">
        <v>431</v>
      </c>
      <c r="AM533" s="26">
        <f t="shared" si="153"/>
        <v>15804.77</v>
      </c>
      <c r="AN533" s="12">
        <f t="shared" si="154"/>
        <v>11222</v>
      </c>
      <c r="AO533" s="22">
        <f t="shared" si="155"/>
        <v>389730.83</v>
      </c>
    </row>
    <row r="534" spans="1:41" x14ac:dyDescent="0.5">
      <c r="A534" s="19">
        <v>530</v>
      </c>
      <c r="B534" s="27" t="s">
        <v>923</v>
      </c>
      <c r="C534" s="28" t="s">
        <v>453</v>
      </c>
      <c r="D534" s="16">
        <v>230</v>
      </c>
      <c r="E534" s="16">
        <v>12</v>
      </c>
      <c r="F534" s="22"/>
      <c r="G534" s="22">
        <f t="shared" si="166"/>
        <v>0</v>
      </c>
      <c r="H534" s="22"/>
      <c r="I534" s="23">
        <f t="shared" si="167"/>
        <v>0</v>
      </c>
      <c r="J534" s="22"/>
      <c r="K534" s="22">
        <f t="shared" si="168"/>
        <v>0</v>
      </c>
      <c r="L534" s="22"/>
      <c r="M534" s="24">
        <f t="shared" si="169"/>
        <v>0</v>
      </c>
      <c r="N534" s="23"/>
      <c r="O534" s="23">
        <f t="shared" si="170"/>
        <v>0</v>
      </c>
      <c r="P534" s="22"/>
      <c r="Q534" s="22">
        <f t="shared" si="164"/>
        <v>0</v>
      </c>
      <c r="R534" s="25"/>
      <c r="S534" s="25">
        <f t="shared" si="165"/>
        <v>0</v>
      </c>
      <c r="T534" s="25"/>
      <c r="U534" s="25">
        <f t="shared" si="156"/>
        <v>0</v>
      </c>
      <c r="V534" s="23"/>
      <c r="W534" s="23">
        <f t="shared" si="157"/>
        <v>0</v>
      </c>
      <c r="X534" s="23"/>
      <c r="Y534" s="23">
        <f t="shared" si="158"/>
        <v>0</v>
      </c>
      <c r="Z534" s="23"/>
      <c r="AA534" s="23">
        <f t="shared" si="159"/>
        <v>0</v>
      </c>
      <c r="AB534" s="23"/>
      <c r="AC534" s="23">
        <f t="shared" si="160"/>
        <v>0</v>
      </c>
      <c r="AD534" s="23"/>
      <c r="AE534" s="23">
        <f t="shared" si="161"/>
        <v>0</v>
      </c>
      <c r="AF534" s="26"/>
      <c r="AG534" s="26">
        <f t="shared" si="163"/>
        <v>0</v>
      </c>
      <c r="AH534" s="23"/>
      <c r="AI534" s="23">
        <f t="shared" si="162"/>
        <v>0</v>
      </c>
      <c r="AJ534" s="23"/>
      <c r="AK534" s="23">
        <f t="shared" si="152"/>
        <v>0</v>
      </c>
      <c r="AL534" s="23"/>
      <c r="AM534" s="26">
        <f t="shared" si="153"/>
        <v>0</v>
      </c>
      <c r="AN534" s="12">
        <f t="shared" si="154"/>
        <v>0</v>
      </c>
      <c r="AO534" s="22">
        <f t="shared" si="155"/>
        <v>0</v>
      </c>
    </row>
    <row r="535" spans="1:41" s="31" customFormat="1" x14ac:dyDescent="0.5">
      <c r="A535" s="19">
        <v>531</v>
      </c>
      <c r="B535" s="20" t="s">
        <v>924</v>
      </c>
      <c r="C535" s="21" t="s">
        <v>768</v>
      </c>
      <c r="D535" s="16">
        <v>235</v>
      </c>
      <c r="E535" s="16">
        <v>12</v>
      </c>
      <c r="F535" s="22">
        <v>903</v>
      </c>
      <c r="G535" s="22">
        <f t="shared" si="166"/>
        <v>28101.360000000001</v>
      </c>
      <c r="H535" s="22">
        <v>686</v>
      </c>
      <c r="I535" s="23">
        <f t="shared" si="167"/>
        <v>22233.26</v>
      </c>
      <c r="J535" s="22">
        <v>515</v>
      </c>
      <c r="K535" s="22">
        <f t="shared" si="168"/>
        <v>17000.149999999998</v>
      </c>
      <c r="L535" s="22">
        <v>301</v>
      </c>
      <c r="M535" s="24">
        <f t="shared" si="169"/>
        <v>10571.119999999999</v>
      </c>
      <c r="N535" s="23">
        <v>597</v>
      </c>
      <c r="O535" s="23">
        <f t="shared" si="170"/>
        <v>22835.25</v>
      </c>
      <c r="P535" s="22">
        <v>807</v>
      </c>
      <c r="Q535" s="22">
        <f t="shared" si="164"/>
        <v>33894</v>
      </c>
      <c r="R535" s="25">
        <v>738</v>
      </c>
      <c r="S535" s="25">
        <f t="shared" si="165"/>
        <v>28560.600000000002</v>
      </c>
      <c r="T535" s="25">
        <v>810</v>
      </c>
      <c r="U535" s="25">
        <f t="shared" si="156"/>
        <v>27297.000000000004</v>
      </c>
      <c r="V535" s="23">
        <v>883</v>
      </c>
      <c r="W535" s="23">
        <f t="shared" si="157"/>
        <v>28962.399999999998</v>
      </c>
      <c r="X535" s="23">
        <v>826</v>
      </c>
      <c r="Y535" s="23">
        <f t="shared" si="158"/>
        <v>29033.899999999998</v>
      </c>
      <c r="Z535" s="23">
        <v>697</v>
      </c>
      <c r="AA535" s="23">
        <f t="shared" si="159"/>
        <v>24158.019999999997</v>
      </c>
      <c r="AB535" s="23">
        <v>668</v>
      </c>
      <c r="AC535" s="23">
        <f t="shared" si="160"/>
        <v>24081.399999999998</v>
      </c>
      <c r="AD535" s="23">
        <v>808</v>
      </c>
      <c r="AE535" s="23">
        <f t="shared" si="161"/>
        <v>28312.32</v>
      </c>
      <c r="AF535" s="26">
        <v>929</v>
      </c>
      <c r="AG535" s="26">
        <f t="shared" si="163"/>
        <v>31753.22</v>
      </c>
      <c r="AH535" s="23">
        <v>826</v>
      </c>
      <c r="AI535" s="23">
        <f t="shared" si="162"/>
        <v>27505.8</v>
      </c>
      <c r="AJ535" s="23">
        <v>748</v>
      </c>
      <c r="AK535" s="23">
        <f t="shared" si="152"/>
        <v>26890.600000000002</v>
      </c>
      <c r="AL535" s="26">
        <v>929</v>
      </c>
      <c r="AM535" s="26">
        <f t="shared" si="153"/>
        <v>34066.43</v>
      </c>
      <c r="AN535" s="12">
        <f t="shared" si="154"/>
        <v>12671</v>
      </c>
      <c r="AO535" s="22">
        <f t="shared" si="155"/>
        <v>445256.82999999996</v>
      </c>
    </row>
    <row r="536" spans="1:41" x14ac:dyDescent="0.5">
      <c r="A536" s="19">
        <v>532</v>
      </c>
      <c r="B536" s="20" t="s">
        <v>925</v>
      </c>
      <c r="C536" s="21" t="s">
        <v>926</v>
      </c>
      <c r="D536" s="16">
        <v>236</v>
      </c>
      <c r="E536" s="16">
        <v>12</v>
      </c>
      <c r="F536" s="22">
        <v>1170</v>
      </c>
      <c r="G536" s="22">
        <f t="shared" si="166"/>
        <v>36410.400000000001</v>
      </c>
      <c r="H536" s="22">
        <v>152</v>
      </c>
      <c r="I536" s="23">
        <f t="shared" si="167"/>
        <v>4926.32</v>
      </c>
      <c r="J536" s="22">
        <v>174</v>
      </c>
      <c r="K536" s="22">
        <f t="shared" si="168"/>
        <v>5743.74</v>
      </c>
      <c r="L536" s="22">
        <v>171</v>
      </c>
      <c r="M536" s="24">
        <f t="shared" si="169"/>
        <v>6005.5199999999995</v>
      </c>
      <c r="N536" s="23">
        <v>242</v>
      </c>
      <c r="O536" s="23">
        <f t="shared" si="170"/>
        <v>9256.5</v>
      </c>
      <c r="P536" s="22">
        <v>1148</v>
      </c>
      <c r="Q536" s="22">
        <f t="shared" si="164"/>
        <v>48216</v>
      </c>
      <c r="R536" s="25">
        <v>1474</v>
      </c>
      <c r="S536" s="25">
        <f t="shared" si="165"/>
        <v>57043.8</v>
      </c>
      <c r="T536" s="25">
        <v>1889</v>
      </c>
      <c r="U536" s="25">
        <f t="shared" si="156"/>
        <v>63659.3</v>
      </c>
      <c r="V536" s="23">
        <v>1787</v>
      </c>
      <c r="W536" s="23">
        <f t="shared" si="157"/>
        <v>58613.599999999999</v>
      </c>
      <c r="X536" s="23">
        <v>1887</v>
      </c>
      <c r="Y536" s="23">
        <f t="shared" si="158"/>
        <v>66328.05</v>
      </c>
      <c r="Z536" s="23">
        <v>1170</v>
      </c>
      <c r="AA536" s="23">
        <f t="shared" si="159"/>
        <v>40552.199999999997</v>
      </c>
      <c r="AB536" s="23">
        <v>1161</v>
      </c>
      <c r="AC536" s="23">
        <f t="shared" si="160"/>
        <v>41854.049999999996</v>
      </c>
      <c r="AD536" s="23">
        <v>1702</v>
      </c>
      <c r="AE536" s="23">
        <f t="shared" si="161"/>
        <v>59638.080000000002</v>
      </c>
      <c r="AF536" s="26">
        <v>1408</v>
      </c>
      <c r="AG536" s="26">
        <f t="shared" si="163"/>
        <v>48125.440000000002</v>
      </c>
      <c r="AH536" s="23">
        <v>1481</v>
      </c>
      <c r="AI536" s="23">
        <f t="shared" si="162"/>
        <v>49317.299999999996</v>
      </c>
      <c r="AJ536" s="23">
        <v>1542</v>
      </c>
      <c r="AK536" s="23">
        <f t="shared" si="152"/>
        <v>55434.9</v>
      </c>
      <c r="AL536" s="26">
        <v>1755</v>
      </c>
      <c r="AM536" s="26">
        <f t="shared" si="153"/>
        <v>64355.850000000006</v>
      </c>
      <c r="AN536" s="12">
        <f t="shared" si="154"/>
        <v>20313</v>
      </c>
      <c r="AO536" s="22">
        <f t="shared" si="155"/>
        <v>715481.05</v>
      </c>
    </row>
    <row r="537" spans="1:41" x14ac:dyDescent="0.5">
      <c r="A537" s="19">
        <v>533</v>
      </c>
      <c r="B537" s="20" t="s">
        <v>927</v>
      </c>
      <c r="C537" s="21" t="s">
        <v>928</v>
      </c>
      <c r="D537" s="16">
        <v>244</v>
      </c>
      <c r="E537" s="16">
        <v>12</v>
      </c>
      <c r="F537" s="22">
        <v>2150</v>
      </c>
      <c r="G537" s="22">
        <f t="shared" si="166"/>
        <v>66908</v>
      </c>
      <c r="H537" s="22">
        <v>413</v>
      </c>
      <c r="I537" s="23">
        <f t="shared" si="167"/>
        <v>13385.329999999998</v>
      </c>
      <c r="J537" s="22">
        <v>1462</v>
      </c>
      <c r="K537" s="22">
        <f t="shared" si="168"/>
        <v>48260.619999999995</v>
      </c>
      <c r="L537" s="22"/>
      <c r="M537" s="24">
        <f t="shared" si="169"/>
        <v>0</v>
      </c>
      <c r="N537" s="23"/>
      <c r="O537" s="23">
        <f t="shared" si="170"/>
        <v>0</v>
      </c>
      <c r="P537" s="22"/>
      <c r="Q537" s="22">
        <f t="shared" si="164"/>
        <v>0</v>
      </c>
      <c r="R537" s="25">
        <v>2588</v>
      </c>
      <c r="S537" s="25">
        <f t="shared" si="165"/>
        <v>100155.6</v>
      </c>
      <c r="T537" s="25">
        <v>1973</v>
      </c>
      <c r="U537" s="25">
        <f t="shared" si="156"/>
        <v>66490.100000000006</v>
      </c>
      <c r="V537" s="23">
        <v>2550</v>
      </c>
      <c r="W537" s="23">
        <f t="shared" si="157"/>
        <v>83640</v>
      </c>
      <c r="X537" s="23">
        <v>1586</v>
      </c>
      <c r="Y537" s="23">
        <f t="shared" si="158"/>
        <v>55747.899999999994</v>
      </c>
      <c r="Z537" s="23">
        <v>1446</v>
      </c>
      <c r="AA537" s="23">
        <f t="shared" si="159"/>
        <v>50118.359999999993</v>
      </c>
      <c r="AB537" s="23">
        <v>1275</v>
      </c>
      <c r="AC537" s="23">
        <f t="shared" si="160"/>
        <v>45963.75</v>
      </c>
      <c r="AD537" s="23">
        <v>1873</v>
      </c>
      <c r="AE537" s="23">
        <f t="shared" si="161"/>
        <v>65629.919999999998</v>
      </c>
      <c r="AF537" s="26">
        <v>2378</v>
      </c>
      <c r="AG537" s="26">
        <f t="shared" si="163"/>
        <v>81280.039999999994</v>
      </c>
      <c r="AH537" s="23">
        <v>1629</v>
      </c>
      <c r="AI537" s="23">
        <f t="shared" si="162"/>
        <v>54245.7</v>
      </c>
      <c r="AJ537" s="23">
        <v>1876</v>
      </c>
      <c r="AK537" s="23">
        <f t="shared" si="152"/>
        <v>67442.200000000012</v>
      </c>
      <c r="AL537" s="26">
        <v>2178</v>
      </c>
      <c r="AM537" s="26">
        <f t="shared" si="153"/>
        <v>79867.260000000009</v>
      </c>
      <c r="AN537" s="12">
        <f t="shared" si="154"/>
        <v>25377</v>
      </c>
      <c r="AO537" s="22">
        <f t="shared" si="155"/>
        <v>879134.78</v>
      </c>
    </row>
    <row r="538" spans="1:41" x14ac:dyDescent="0.5">
      <c r="A538" s="19">
        <v>534</v>
      </c>
      <c r="B538" s="20" t="s">
        <v>929</v>
      </c>
      <c r="C538" s="21" t="s">
        <v>930</v>
      </c>
      <c r="D538" s="16">
        <v>253</v>
      </c>
      <c r="E538" s="16">
        <v>12</v>
      </c>
      <c r="F538" s="22">
        <v>4572</v>
      </c>
      <c r="G538" s="22">
        <f t="shared" si="166"/>
        <v>142280.64000000001</v>
      </c>
      <c r="H538" s="22">
        <v>2826</v>
      </c>
      <c r="I538" s="23">
        <f t="shared" si="167"/>
        <v>91590.659999999989</v>
      </c>
      <c r="J538" s="22">
        <v>3297</v>
      </c>
      <c r="K538" s="22">
        <f t="shared" si="168"/>
        <v>108833.96999999999</v>
      </c>
      <c r="L538" s="29">
        <v>2825</v>
      </c>
      <c r="M538" s="24">
        <f t="shared" si="169"/>
        <v>99214</v>
      </c>
      <c r="N538" s="30">
        <v>2702</v>
      </c>
      <c r="O538" s="23">
        <f t="shared" si="170"/>
        <v>103351.5</v>
      </c>
      <c r="P538" s="22">
        <v>3265</v>
      </c>
      <c r="Q538" s="22">
        <f t="shared" si="164"/>
        <v>137130</v>
      </c>
      <c r="R538" s="25">
        <v>3561</v>
      </c>
      <c r="S538" s="25">
        <f t="shared" si="165"/>
        <v>137810.70000000001</v>
      </c>
      <c r="T538" s="25">
        <v>3927</v>
      </c>
      <c r="U538" s="25">
        <f t="shared" si="156"/>
        <v>132339.90000000002</v>
      </c>
      <c r="V538" s="23">
        <v>3840</v>
      </c>
      <c r="W538" s="23">
        <f t="shared" si="157"/>
        <v>125951.99999999999</v>
      </c>
      <c r="X538" s="23">
        <v>3206</v>
      </c>
      <c r="Y538" s="23">
        <f t="shared" si="158"/>
        <v>112690.9</v>
      </c>
      <c r="Z538" s="23">
        <v>3009</v>
      </c>
      <c r="AA538" s="23">
        <f t="shared" si="159"/>
        <v>104291.93999999999</v>
      </c>
      <c r="AB538" s="23">
        <v>2723</v>
      </c>
      <c r="AC538" s="23">
        <f t="shared" si="160"/>
        <v>98164.15</v>
      </c>
      <c r="AD538" s="23">
        <v>3527</v>
      </c>
      <c r="AE538" s="23">
        <f t="shared" si="161"/>
        <v>123586.08</v>
      </c>
      <c r="AF538" s="26">
        <v>3912</v>
      </c>
      <c r="AG538" s="26">
        <f t="shared" si="163"/>
        <v>133712.16</v>
      </c>
      <c r="AH538" s="23">
        <v>3379</v>
      </c>
      <c r="AI538" s="23">
        <f t="shared" si="162"/>
        <v>112520.7</v>
      </c>
      <c r="AJ538" s="23">
        <v>3951</v>
      </c>
      <c r="AK538" s="23">
        <f t="shared" si="152"/>
        <v>142038.45000000001</v>
      </c>
      <c r="AL538" s="26">
        <v>4310</v>
      </c>
      <c r="AM538" s="26">
        <f t="shared" si="153"/>
        <v>158047.70000000001</v>
      </c>
      <c r="AN538" s="12">
        <f t="shared" si="154"/>
        <v>58832</v>
      </c>
      <c r="AO538" s="22">
        <f t="shared" si="155"/>
        <v>2063555.4499999995</v>
      </c>
    </row>
    <row r="539" spans="1:41" x14ac:dyDescent="0.5">
      <c r="A539" s="19">
        <v>535</v>
      </c>
      <c r="B539" s="20" t="s">
        <v>931</v>
      </c>
      <c r="C539" s="21" t="s">
        <v>224</v>
      </c>
      <c r="D539" s="16">
        <v>275</v>
      </c>
      <c r="E539" s="16">
        <v>12</v>
      </c>
      <c r="F539" s="22">
        <v>1367</v>
      </c>
      <c r="G539" s="22">
        <f t="shared" si="166"/>
        <v>42541.04</v>
      </c>
      <c r="H539" s="22">
        <v>840</v>
      </c>
      <c r="I539" s="23">
        <f t="shared" si="167"/>
        <v>27224.399999999998</v>
      </c>
      <c r="J539" s="22"/>
      <c r="K539" s="22">
        <f t="shared" si="168"/>
        <v>0</v>
      </c>
      <c r="L539" s="22">
        <v>841</v>
      </c>
      <c r="M539" s="24">
        <f t="shared" si="169"/>
        <v>29535.919999999998</v>
      </c>
      <c r="N539" s="23"/>
      <c r="O539" s="23">
        <f t="shared" si="170"/>
        <v>0</v>
      </c>
      <c r="P539" s="22">
        <v>896</v>
      </c>
      <c r="Q539" s="22">
        <f t="shared" si="164"/>
        <v>37632</v>
      </c>
      <c r="R539" s="25">
        <v>650</v>
      </c>
      <c r="S539" s="25">
        <f t="shared" si="165"/>
        <v>25155.000000000004</v>
      </c>
      <c r="T539" s="25"/>
      <c r="U539" s="25">
        <f t="shared" si="156"/>
        <v>0</v>
      </c>
      <c r="V539" s="23">
        <v>846</v>
      </c>
      <c r="W539" s="23">
        <f t="shared" si="157"/>
        <v>27748.799999999999</v>
      </c>
      <c r="X539" s="23">
        <v>1014</v>
      </c>
      <c r="Y539" s="23">
        <f t="shared" si="158"/>
        <v>35642.1</v>
      </c>
      <c r="Z539" s="23">
        <v>901</v>
      </c>
      <c r="AA539" s="23">
        <f t="shared" si="159"/>
        <v>31228.659999999996</v>
      </c>
      <c r="AB539" s="23"/>
      <c r="AC539" s="23">
        <f t="shared" si="160"/>
        <v>0</v>
      </c>
      <c r="AD539" s="23">
        <v>1435</v>
      </c>
      <c r="AE539" s="23">
        <f t="shared" si="161"/>
        <v>50282.400000000001</v>
      </c>
      <c r="AF539" s="26">
        <v>1297</v>
      </c>
      <c r="AG539" s="26">
        <f t="shared" si="163"/>
        <v>44331.46</v>
      </c>
      <c r="AH539" s="23">
        <v>1355</v>
      </c>
      <c r="AI539" s="23">
        <f t="shared" si="162"/>
        <v>45121.499999999993</v>
      </c>
      <c r="AJ539" s="23">
        <v>1327</v>
      </c>
      <c r="AK539" s="23">
        <f t="shared" si="152"/>
        <v>47705.65</v>
      </c>
      <c r="AL539" s="26">
        <v>1404</v>
      </c>
      <c r="AM539" s="26">
        <f t="shared" si="153"/>
        <v>51484.68</v>
      </c>
      <c r="AN539" s="12">
        <f t="shared" si="154"/>
        <v>14173</v>
      </c>
      <c r="AO539" s="22">
        <f t="shared" si="155"/>
        <v>495633.61000000004</v>
      </c>
    </row>
    <row r="540" spans="1:41" x14ac:dyDescent="0.5">
      <c r="A540" s="19">
        <v>536</v>
      </c>
      <c r="B540" s="20" t="s">
        <v>932</v>
      </c>
      <c r="C540" s="21" t="s">
        <v>933</v>
      </c>
      <c r="D540" s="16">
        <v>315</v>
      </c>
      <c r="E540" s="16">
        <v>12</v>
      </c>
      <c r="F540" s="22">
        <v>1538</v>
      </c>
      <c r="G540" s="22">
        <f t="shared" si="166"/>
        <v>47862.560000000005</v>
      </c>
      <c r="H540" s="22">
        <v>175</v>
      </c>
      <c r="I540" s="23">
        <f t="shared" si="167"/>
        <v>5671.7499999999991</v>
      </c>
      <c r="J540" s="22">
        <v>320</v>
      </c>
      <c r="K540" s="22">
        <f t="shared" si="168"/>
        <v>10563.199999999999</v>
      </c>
      <c r="L540" s="22">
        <v>362</v>
      </c>
      <c r="M540" s="24">
        <f t="shared" si="169"/>
        <v>12713.439999999999</v>
      </c>
      <c r="N540" s="23">
        <v>430</v>
      </c>
      <c r="O540" s="23">
        <f t="shared" si="170"/>
        <v>16447.5</v>
      </c>
      <c r="P540" s="22">
        <v>657</v>
      </c>
      <c r="Q540" s="22">
        <f t="shared" si="164"/>
        <v>27594</v>
      </c>
      <c r="R540" s="25">
        <v>594</v>
      </c>
      <c r="S540" s="25">
        <f t="shared" si="165"/>
        <v>22987.800000000003</v>
      </c>
      <c r="T540" s="25">
        <v>818</v>
      </c>
      <c r="U540" s="25">
        <f t="shared" si="156"/>
        <v>27566.600000000002</v>
      </c>
      <c r="V540" s="23">
        <v>758</v>
      </c>
      <c r="W540" s="23">
        <f t="shared" si="157"/>
        <v>24862.399999999998</v>
      </c>
      <c r="X540" s="23">
        <v>848</v>
      </c>
      <c r="Y540" s="23">
        <f t="shared" si="158"/>
        <v>29807.199999999997</v>
      </c>
      <c r="Z540" s="23">
        <v>702</v>
      </c>
      <c r="AA540" s="23">
        <f t="shared" si="159"/>
        <v>24331.319999999996</v>
      </c>
      <c r="AB540" s="23">
        <v>781</v>
      </c>
      <c r="AC540" s="23">
        <f t="shared" si="160"/>
        <v>28155.05</v>
      </c>
      <c r="AD540" s="23">
        <v>850</v>
      </c>
      <c r="AE540" s="23">
        <f t="shared" si="161"/>
        <v>29784</v>
      </c>
      <c r="AF540" s="26">
        <v>918</v>
      </c>
      <c r="AG540" s="26">
        <f t="shared" si="163"/>
        <v>31377.239999999998</v>
      </c>
      <c r="AH540" s="23">
        <v>834</v>
      </c>
      <c r="AI540" s="23">
        <f t="shared" si="162"/>
        <v>27772.199999999997</v>
      </c>
      <c r="AJ540" s="23">
        <v>919</v>
      </c>
      <c r="AK540" s="23">
        <f t="shared" si="152"/>
        <v>33038.050000000003</v>
      </c>
      <c r="AL540" s="26">
        <v>889</v>
      </c>
      <c r="AM540" s="26">
        <f t="shared" si="153"/>
        <v>32599.63</v>
      </c>
      <c r="AN540" s="12">
        <f t="shared" si="154"/>
        <v>12393</v>
      </c>
      <c r="AO540" s="22">
        <f t="shared" si="155"/>
        <v>433133.94</v>
      </c>
    </row>
    <row r="541" spans="1:41" x14ac:dyDescent="0.5">
      <c r="A541" s="19">
        <v>537</v>
      </c>
      <c r="B541" s="20" t="s">
        <v>934</v>
      </c>
      <c r="C541" s="21" t="s">
        <v>935</v>
      </c>
      <c r="D541" s="16">
        <v>466</v>
      </c>
      <c r="E541" s="16">
        <v>12</v>
      </c>
      <c r="F541" s="22">
        <v>1590</v>
      </c>
      <c r="G541" s="22">
        <f t="shared" si="166"/>
        <v>49480.800000000003</v>
      </c>
      <c r="H541" s="22">
        <v>1270</v>
      </c>
      <c r="I541" s="23">
        <f t="shared" si="167"/>
        <v>41160.699999999997</v>
      </c>
      <c r="J541" s="22">
        <v>660</v>
      </c>
      <c r="K541" s="22">
        <f t="shared" si="168"/>
        <v>21786.6</v>
      </c>
      <c r="L541" s="22"/>
      <c r="M541" s="24">
        <f t="shared" si="169"/>
        <v>0</v>
      </c>
      <c r="N541" s="23"/>
      <c r="O541" s="23">
        <f t="shared" si="170"/>
        <v>0</v>
      </c>
      <c r="P541" s="22">
        <v>1843</v>
      </c>
      <c r="Q541" s="22">
        <f t="shared" si="164"/>
        <v>77406</v>
      </c>
      <c r="R541" s="25">
        <v>1085</v>
      </c>
      <c r="S541" s="25">
        <f t="shared" si="165"/>
        <v>41989.5</v>
      </c>
      <c r="T541" s="25">
        <v>1987</v>
      </c>
      <c r="U541" s="25">
        <f t="shared" si="156"/>
        <v>66961.900000000009</v>
      </c>
      <c r="V541" s="23">
        <v>1665</v>
      </c>
      <c r="W541" s="23">
        <f t="shared" si="157"/>
        <v>54611.999999999993</v>
      </c>
      <c r="X541" s="23"/>
      <c r="Y541" s="23">
        <f t="shared" si="158"/>
        <v>0</v>
      </c>
      <c r="Z541" s="23">
        <v>746</v>
      </c>
      <c r="AA541" s="23">
        <f t="shared" si="159"/>
        <v>25856.359999999997</v>
      </c>
      <c r="AB541" s="23"/>
      <c r="AC541" s="23">
        <f t="shared" si="160"/>
        <v>0</v>
      </c>
      <c r="AD541" s="23">
        <v>563</v>
      </c>
      <c r="AE541" s="23">
        <f t="shared" si="161"/>
        <v>19727.52</v>
      </c>
      <c r="AF541" s="26">
        <v>1335</v>
      </c>
      <c r="AG541" s="26">
        <f t="shared" si="163"/>
        <v>45630.3</v>
      </c>
      <c r="AH541" s="23">
        <v>1341</v>
      </c>
      <c r="AI541" s="23">
        <f t="shared" si="162"/>
        <v>44655.299999999996</v>
      </c>
      <c r="AJ541" s="23">
        <v>1407</v>
      </c>
      <c r="AK541" s="23">
        <f t="shared" si="152"/>
        <v>50581.65</v>
      </c>
      <c r="AL541" s="26">
        <v>834</v>
      </c>
      <c r="AM541" s="26">
        <f t="shared" si="153"/>
        <v>30582.780000000002</v>
      </c>
      <c r="AN541" s="12">
        <f t="shared" si="154"/>
        <v>16326</v>
      </c>
      <c r="AO541" s="22">
        <f t="shared" si="155"/>
        <v>570431.41</v>
      </c>
    </row>
    <row r="542" spans="1:41" x14ac:dyDescent="0.5">
      <c r="A542" s="19">
        <v>538</v>
      </c>
      <c r="B542" s="27" t="s">
        <v>936</v>
      </c>
      <c r="C542" s="28" t="s">
        <v>814</v>
      </c>
      <c r="D542" s="16">
        <v>476</v>
      </c>
      <c r="E542" s="16">
        <v>12</v>
      </c>
      <c r="F542" s="22"/>
      <c r="G542" s="22">
        <f t="shared" si="166"/>
        <v>0</v>
      </c>
      <c r="H542" s="22"/>
      <c r="I542" s="23">
        <f t="shared" si="167"/>
        <v>0</v>
      </c>
      <c r="J542" s="22"/>
      <c r="K542" s="22">
        <f t="shared" si="168"/>
        <v>0</v>
      </c>
      <c r="L542" s="29"/>
      <c r="M542" s="24">
        <f t="shared" si="169"/>
        <v>0</v>
      </c>
      <c r="N542" s="30"/>
      <c r="O542" s="23">
        <f t="shared" si="170"/>
        <v>0</v>
      </c>
      <c r="P542" s="22"/>
      <c r="Q542" s="22">
        <f t="shared" si="164"/>
        <v>0</v>
      </c>
      <c r="R542" s="25"/>
      <c r="S542" s="25">
        <f t="shared" si="165"/>
        <v>0</v>
      </c>
      <c r="T542" s="25"/>
      <c r="U542" s="25">
        <f t="shared" si="156"/>
        <v>0</v>
      </c>
      <c r="V542" s="23">
        <v>351</v>
      </c>
      <c r="W542" s="23">
        <f t="shared" si="157"/>
        <v>11512.8</v>
      </c>
      <c r="X542" s="23"/>
      <c r="Y542" s="23">
        <f t="shared" si="158"/>
        <v>0</v>
      </c>
      <c r="Z542" s="23"/>
      <c r="AA542" s="23">
        <f t="shared" si="159"/>
        <v>0</v>
      </c>
      <c r="AB542" s="23"/>
      <c r="AC542" s="23">
        <f t="shared" si="160"/>
        <v>0</v>
      </c>
      <c r="AD542" s="23"/>
      <c r="AE542" s="23">
        <f t="shared" si="161"/>
        <v>0</v>
      </c>
      <c r="AF542" s="26"/>
      <c r="AG542" s="26">
        <f t="shared" si="163"/>
        <v>0</v>
      </c>
      <c r="AH542" s="23"/>
      <c r="AI542" s="23">
        <f t="shared" si="162"/>
        <v>0</v>
      </c>
      <c r="AJ542" s="23"/>
      <c r="AK542" s="23">
        <f t="shared" si="152"/>
        <v>0</v>
      </c>
      <c r="AL542" s="23"/>
      <c r="AM542" s="26">
        <f t="shared" si="153"/>
        <v>0</v>
      </c>
      <c r="AN542" s="12">
        <f t="shared" si="154"/>
        <v>351</v>
      </c>
      <c r="AO542" s="22">
        <f t="shared" si="155"/>
        <v>11512.8</v>
      </c>
    </row>
    <row r="543" spans="1:41" s="31" customFormat="1" x14ac:dyDescent="0.5">
      <c r="A543" s="19">
        <v>539</v>
      </c>
      <c r="B543" s="20" t="s">
        <v>98</v>
      </c>
      <c r="C543" s="21" t="s">
        <v>472</v>
      </c>
      <c r="D543" s="16">
        <v>477</v>
      </c>
      <c r="E543" s="16">
        <v>12</v>
      </c>
      <c r="F543" s="22">
        <v>617</v>
      </c>
      <c r="G543" s="22">
        <f t="shared" si="166"/>
        <v>19201.04</v>
      </c>
      <c r="H543" s="22">
        <v>401</v>
      </c>
      <c r="I543" s="23">
        <f t="shared" si="167"/>
        <v>12996.409999999998</v>
      </c>
      <c r="J543" s="22">
        <v>407</v>
      </c>
      <c r="K543" s="22">
        <f t="shared" si="168"/>
        <v>13435.07</v>
      </c>
      <c r="L543" s="29"/>
      <c r="M543" s="24">
        <f t="shared" si="169"/>
        <v>0</v>
      </c>
      <c r="N543" s="30"/>
      <c r="O543" s="23">
        <f t="shared" si="170"/>
        <v>0</v>
      </c>
      <c r="P543" s="22"/>
      <c r="Q543" s="22">
        <f t="shared" si="164"/>
        <v>0</v>
      </c>
      <c r="R543" s="25"/>
      <c r="S543" s="25">
        <f t="shared" si="165"/>
        <v>0</v>
      </c>
      <c r="T543" s="25">
        <v>256</v>
      </c>
      <c r="U543" s="25">
        <f t="shared" si="156"/>
        <v>8627.2000000000007</v>
      </c>
      <c r="V543" s="23"/>
      <c r="W543" s="23">
        <f t="shared" si="157"/>
        <v>0</v>
      </c>
      <c r="X543" s="23"/>
      <c r="Y543" s="23">
        <f t="shared" si="158"/>
        <v>0</v>
      </c>
      <c r="Z543" s="23"/>
      <c r="AA543" s="23">
        <f t="shared" si="159"/>
        <v>0</v>
      </c>
      <c r="AB543" s="23"/>
      <c r="AC543" s="23">
        <f t="shared" si="160"/>
        <v>0</v>
      </c>
      <c r="AD543" s="23"/>
      <c r="AE543" s="23">
        <f t="shared" si="161"/>
        <v>0</v>
      </c>
      <c r="AF543" s="26">
        <v>280</v>
      </c>
      <c r="AG543" s="26">
        <f t="shared" si="163"/>
        <v>9570.4</v>
      </c>
      <c r="AH543" s="23"/>
      <c r="AI543" s="23">
        <f t="shared" si="162"/>
        <v>0</v>
      </c>
      <c r="AJ543" s="23"/>
      <c r="AK543" s="23">
        <f t="shared" si="152"/>
        <v>0</v>
      </c>
      <c r="AL543" s="26"/>
      <c r="AM543" s="26">
        <f t="shared" si="153"/>
        <v>0</v>
      </c>
      <c r="AN543" s="12">
        <f t="shared" si="154"/>
        <v>1961</v>
      </c>
      <c r="AO543" s="22">
        <f t="shared" si="155"/>
        <v>63830.12</v>
      </c>
    </row>
    <row r="544" spans="1:41" s="31" customFormat="1" x14ac:dyDescent="0.5">
      <c r="A544" s="19">
        <v>540</v>
      </c>
      <c r="B544" s="27" t="s">
        <v>937</v>
      </c>
      <c r="C544" s="28" t="s">
        <v>728</v>
      </c>
      <c r="D544" s="16">
        <v>650</v>
      </c>
      <c r="E544" s="16">
        <v>12</v>
      </c>
      <c r="F544" s="22"/>
      <c r="G544" s="22">
        <f t="shared" si="166"/>
        <v>0</v>
      </c>
      <c r="H544" s="22"/>
      <c r="I544" s="23">
        <f t="shared" si="167"/>
        <v>0</v>
      </c>
      <c r="J544" s="22"/>
      <c r="K544" s="22">
        <f t="shared" si="168"/>
        <v>0</v>
      </c>
      <c r="L544" s="22"/>
      <c r="M544" s="24">
        <f t="shared" si="169"/>
        <v>0</v>
      </c>
      <c r="N544" s="23"/>
      <c r="O544" s="23">
        <f t="shared" si="170"/>
        <v>0</v>
      </c>
      <c r="P544" s="22">
        <v>224</v>
      </c>
      <c r="Q544" s="22">
        <f t="shared" si="164"/>
        <v>9408</v>
      </c>
      <c r="R544" s="25"/>
      <c r="S544" s="25">
        <f t="shared" si="165"/>
        <v>0</v>
      </c>
      <c r="T544" s="25"/>
      <c r="U544" s="25">
        <f t="shared" si="156"/>
        <v>0</v>
      </c>
      <c r="V544" s="23"/>
      <c r="W544" s="23">
        <f t="shared" si="157"/>
        <v>0</v>
      </c>
      <c r="X544" s="23"/>
      <c r="Y544" s="23">
        <f t="shared" si="158"/>
        <v>0</v>
      </c>
      <c r="Z544" s="23"/>
      <c r="AA544" s="23">
        <f t="shared" si="159"/>
        <v>0</v>
      </c>
      <c r="AB544" s="23"/>
      <c r="AC544" s="23">
        <f t="shared" si="160"/>
        <v>0</v>
      </c>
      <c r="AD544" s="23"/>
      <c r="AE544" s="23">
        <f t="shared" si="161"/>
        <v>0</v>
      </c>
      <c r="AF544" s="26"/>
      <c r="AG544" s="26">
        <f t="shared" si="163"/>
        <v>0</v>
      </c>
      <c r="AH544" s="23"/>
      <c r="AI544" s="23">
        <f t="shared" si="162"/>
        <v>0</v>
      </c>
      <c r="AJ544" s="23">
        <v>324</v>
      </c>
      <c r="AK544" s="23">
        <f t="shared" si="152"/>
        <v>11647.800000000001</v>
      </c>
      <c r="AL544" s="23">
        <v>541</v>
      </c>
      <c r="AM544" s="26">
        <f t="shared" si="153"/>
        <v>19838.47</v>
      </c>
      <c r="AN544" s="12">
        <f t="shared" si="154"/>
        <v>1089</v>
      </c>
      <c r="AO544" s="22">
        <f t="shared" si="155"/>
        <v>40894.270000000004</v>
      </c>
    </row>
    <row r="545" spans="1:41" s="31" customFormat="1" x14ac:dyDescent="0.5">
      <c r="A545" s="19">
        <v>541</v>
      </c>
      <c r="B545" s="27" t="s">
        <v>938</v>
      </c>
      <c r="C545" s="28" t="s">
        <v>939</v>
      </c>
      <c r="D545" s="16">
        <v>665</v>
      </c>
      <c r="E545" s="16">
        <v>12</v>
      </c>
      <c r="F545" s="22"/>
      <c r="G545" s="22">
        <f t="shared" si="166"/>
        <v>0</v>
      </c>
      <c r="H545" s="22">
        <v>560</v>
      </c>
      <c r="I545" s="23">
        <f t="shared" si="167"/>
        <v>18149.599999999999</v>
      </c>
      <c r="J545" s="22"/>
      <c r="K545" s="22">
        <f t="shared" si="168"/>
        <v>0</v>
      </c>
      <c r="L545" s="22"/>
      <c r="M545" s="24">
        <f t="shared" si="169"/>
        <v>0</v>
      </c>
      <c r="N545" s="23"/>
      <c r="O545" s="23">
        <f t="shared" si="170"/>
        <v>0</v>
      </c>
      <c r="P545" s="22"/>
      <c r="Q545" s="22">
        <f t="shared" si="164"/>
        <v>0</v>
      </c>
      <c r="R545" s="25">
        <v>609</v>
      </c>
      <c r="S545" s="25">
        <f t="shared" si="165"/>
        <v>23568.300000000003</v>
      </c>
      <c r="T545" s="25">
        <v>404</v>
      </c>
      <c r="U545" s="25">
        <f t="shared" si="156"/>
        <v>13614.800000000001</v>
      </c>
      <c r="V545" s="23">
        <v>453</v>
      </c>
      <c r="W545" s="23">
        <f t="shared" si="157"/>
        <v>14858.399999999998</v>
      </c>
      <c r="X545" s="23">
        <v>350</v>
      </c>
      <c r="Y545" s="23">
        <f t="shared" si="158"/>
        <v>12302.5</v>
      </c>
      <c r="Z545" s="23"/>
      <c r="AA545" s="23">
        <f t="shared" si="159"/>
        <v>0</v>
      </c>
      <c r="AB545" s="23"/>
      <c r="AC545" s="23">
        <f t="shared" si="160"/>
        <v>0</v>
      </c>
      <c r="AD545" s="23"/>
      <c r="AE545" s="23">
        <f t="shared" si="161"/>
        <v>0</v>
      </c>
      <c r="AF545" s="26"/>
      <c r="AG545" s="26">
        <f t="shared" si="163"/>
        <v>0</v>
      </c>
      <c r="AH545" s="23"/>
      <c r="AI545" s="23">
        <f t="shared" si="162"/>
        <v>0</v>
      </c>
      <c r="AJ545" s="23"/>
      <c r="AK545" s="23">
        <f t="shared" si="152"/>
        <v>0</v>
      </c>
      <c r="AL545" s="23"/>
      <c r="AM545" s="26">
        <f t="shared" si="153"/>
        <v>0</v>
      </c>
      <c r="AN545" s="12">
        <f t="shared" si="154"/>
        <v>2376</v>
      </c>
      <c r="AO545" s="22">
        <f t="shared" si="155"/>
        <v>82493.600000000006</v>
      </c>
    </row>
    <row r="546" spans="1:41" s="31" customFormat="1" x14ac:dyDescent="0.5">
      <c r="A546" s="19">
        <v>542</v>
      </c>
      <c r="B546" s="20" t="s">
        <v>940</v>
      </c>
      <c r="C546" s="21" t="s">
        <v>941</v>
      </c>
      <c r="D546" s="16">
        <v>687</v>
      </c>
      <c r="E546" s="16">
        <v>12</v>
      </c>
      <c r="F546" s="22">
        <v>420</v>
      </c>
      <c r="G546" s="22">
        <f t="shared" si="166"/>
        <v>13070.4</v>
      </c>
      <c r="H546" s="22"/>
      <c r="I546" s="23">
        <f t="shared" si="167"/>
        <v>0</v>
      </c>
      <c r="J546" s="22"/>
      <c r="K546" s="22">
        <f t="shared" si="168"/>
        <v>0</v>
      </c>
      <c r="L546" s="22"/>
      <c r="M546" s="24">
        <f t="shared" si="169"/>
        <v>0</v>
      </c>
      <c r="N546" s="23"/>
      <c r="O546" s="23">
        <f t="shared" si="170"/>
        <v>0</v>
      </c>
      <c r="P546" s="22">
        <v>271</v>
      </c>
      <c r="Q546" s="22">
        <f t="shared" si="164"/>
        <v>11382</v>
      </c>
      <c r="R546" s="25"/>
      <c r="S546" s="25">
        <f t="shared" si="165"/>
        <v>0</v>
      </c>
      <c r="T546" s="25">
        <v>783</v>
      </c>
      <c r="U546" s="25">
        <f t="shared" si="156"/>
        <v>26387.100000000002</v>
      </c>
      <c r="V546" s="23">
        <v>387</v>
      </c>
      <c r="W546" s="23">
        <f t="shared" si="157"/>
        <v>12693.599999999999</v>
      </c>
      <c r="X546" s="23"/>
      <c r="Y546" s="23">
        <f t="shared" si="158"/>
        <v>0</v>
      </c>
      <c r="Z546" s="23"/>
      <c r="AA546" s="23">
        <f t="shared" si="159"/>
        <v>0</v>
      </c>
      <c r="AB546" s="23"/>
      <c r="AC546" s="23">
        <f t="shared" si="160"/>
        <v>0</v>
      </c>
      <c r="AD546" s="23">
        <v>506</v>
      </c>
      <c r="AE546" s="23">
        <f t="shared" si="161"/>
        <v>17730.239999999998</v>
      </c>
      <c r="AF546" s="26"/>
      <c r="AG546" s="26">
        <f t="shared" si="163"/>
        <v>0</v>
      </c>
      <c r="AH546" s="23"/>
      <c r="AI546" s="23">
        <f t="shared" si="162"/>
        <v>0</v>
      </c>
      <c r="AJ546" s="23"/>
      <c r="AK546" s="23">
        <f t="shared" si="152"/>
        <v>0</v>
      </c>
      <c r="AL546" s="26"/>
      <c r="AM546" s="26">
        <f t="shared" si="153"/>
        <v>0</v>
      </c>
      <c r="AN546" s="12">
        <f t="shared" si="154"/>
        <v>2367</v>
      </c>
      <c r="AO546" s="22">
        <f t="shared" si="155"/>
        <v>81263.34</v>
      </c>
    </row>
    <row r="547" spans="1:41" x14ac:dyDescent="0.5">
      <c r="A547" s="19">
        <v>543</v>
      </c>
      <c r="B547" s="27" t="s">
        <v>942</v>
      </c>
      <c r="C547" s="28" t="s">
        <v>376</v>
      </c>
      <c r="D547" s="16">
        <v>692</v>
      </c>
      <c r="E547" s="16">
        <v>12</v>
      </c>
      <c r="F547" s="22"/>
      <c r="G547" s="22">
        <f t="shared" si="166"/>
        <v>0</v>
      </c>
      <c r="H547" s="22"/>
      <c r="I547" s="23">
        <f t="shared" si="167"/>
        <v>0</v>
      </c>
      <c r="J547" s="22"/>
      <c r="K547" s="22">
        <f t="shared" si="168"/>
        <v>0</v>
      </c>
      <c r="L547" s="22"/>
      <c r="M547" s="24">
        <f t="shared" si="169"/>
        <v>0</v>
      </c>
      <c r="N547" s="23"/>
      <c r="O547" s="23">
        <f t="shared" si="170"/>
        <v>0</v>
      </c>
      <c r="P547" s="22">
        <v>214</v>
      </c>
      <c r="Q547" s="22">
        <f t="shared" si="164"/>
        <v>8988</v>
      </c>
      <c r="R547" s="25"/>
      <c r="S547" s="25">
        <f t="shared" si="165"/>
        <v>0</v>
      </c>
      <c r="T547" s="25"/>
      <c r="U547" s="25">
        <f t="shared" si="156"/>
        <v>0</v>
      </c>
      <c r="V547" s="23"/>
      <c r="W547" s="23">
        <f t="shared" si="157"/>
        <v>0</v>
      </c>
      <c r="X547" s="23"/>
      <c r="Y547" s="23">
        <f t="shared" si="158"/>
        <v>0</v>
      </c>
      <c r="Z547" s="23"/>
      <c r="AA547" s="23">
        <f t="shared" si="159"/>
        <v>0</v>
      </c>
      <c r="AB547" s="23"/>
      <c r="AC547" s="23">
        <f t="shared" si="160"/>
        <v>0</v>
      </c>
      <c r="AD547" s="23"/>
      <c r="AE547" s="23">
        <f t="shared" si="161"/>
        <v>0</v>
      </c>
      <c r="AF547" s="26"/>
      <c r="AG547" s="26">
        <f t="shared" si="163"/>
        <v>0</v>
      </c>
      <c r="AH547" s="23"/>
      <c r="AI547" s="23">
        <f t="shared" si="162"/>
        <v>0</v>
      </c>
      <c r="AJ547" s="23"/>
      <c r="AK547" s="23">
        <f t="shared" si="152"/>
        <v>0</v>
      </c>
      <c r="AL547" s="23"/>
      <c r="AM547" s="26">
        <f t="shared" si="153"/>
        <v>0</v>
      </c>
      <c r="AN547" s="12">
        <f t="shared" si="154"/>
        <v>214</v>
      </c>
      <c r="AO547" s="22">
        <f t="shared" si="155"/>
        <v>8988</v>
      </c>
    </row>
    <row r="548" spans="1:41" s="31" customFormat="1" x14ac:dyDescent="0.5">
      <c r="A548" s="19">
        <v>544</v>
      </c>
      <c r="B548" s="20" t="s">
        <v>943</v>
      </c>
      <c r="C548" s="21" t="s">
        <v>944</v>
      </c>
      <c r="D548" s="16">
        <v>760</v>
      </c>
      <c r="E548" s="16">
        <v>12</v>
      </c>
      <c r="F548" s="22"/>
      <c r="G548" s="22">
        <f t="shared" si="166"/>
        <v>0</v>
      </c>
      <c r="H548" s="22"/>
      <c r="I548" s="23">
        <f t="shared" si="167"/>
        <v>0</v>
      </c>
      <c r="J548" s="22">
        <v>146</v>
      </c>
      <c r="K548" s="22">
        <f t="shared" si="168"/>
        <v>4819.46</v>
      </c>
      <c r="L548" s="22"/>
      <c r="M548" s="24">
        <f t="shared" si="169"/>
        <v>0</v>
      </c>
      <c r="N548" s="23"/>
      <c r="O548" s="23">
        <f t="shared" si="170"/>
        <v>0</v>
      </c>
      <c r="P548" s="22">
        <v>636</v>
      </c>
      <c r="Q548" s="22">
        <f t="shared" si="164"/>
        <v>26712</v>
      </c>
      <c r="R548" s="25">
        <v>609</v>
      </c>
      <c r="S548" s="25">
        <f t="shared" si="165"/>
        <v>23568.300000000003</v>
      </c>
      <c r="T548" s="25">
        <v>667</v>
      </c>
      <c r="U548" s="25">
        <f t="shared" si="156"/>
        <v>22477.9</v>
      </c>
      <c r="V548" s="23"/>
      <c r="W548" s="23">
        <f t="shared" si="157"/>
        <v>0</v>
      </c>
      <c r="X548" s="23">
        <v>563</v>
      </c>
      <c r="Y548" s="23">
        <f t="shared" si="158"/>
        <v>19789.45</v>
      </c>
      <c r="Z548" s="23">
        <v>667</v>
      </c>
      <c r="AA548" s="23">
        <f t="shared" si="159"/>
        <v>23118.219999999998</v>
      </c>
      <c r="AB548" s="23"/>
      <c r="AC548" s="23">
        <f t="shared" si="160"/>
        <v>0</v>
      </c>
      <c r="AD548" s="23">
        <v>473</v>
      </c>
      <c r="AE548" s="23">
        <f t="shared" si="161"/>
        <v>16573.919999999998</v>
      </c>
      <c r="AF548" s="26">
        <v>619</v>
      </c>
      <c r="AG548" s="26">
        <f t="shared" si="163"/>
        <v>21157.42</v>
      </c>
      <c r="AH548" s="23">
        <v>457</v>
      </c>
      <c r="AI548" s="23">
        <f t="shared" si="162"/>
        <v>15218.099999999999</v>
      </c>
      <c r="AJ548" s="23">
        <v>540</v>
      </c>
      <c r="AK548" s="23">
        <f t="shared" si="152"/>
        <v>19413</v>
      </c>
      <c r="AL548" s="26">
        <v>864</v>
      </c>
      <c r="AM548" s="26">
        <f t="shared" si="153"/>
        <v>31682.880000000001</v>
      </c>
      <c r="AN548" s="12">
        <f t="shared" si="154"/>
        <v>6241</v>
      </c>
      <c r="AO548" s="22">
        <f t="shared" si="155"/>
        <v>224530.65</v>
      </c>
    </row>
    <row r="549" spans="1:41" x14ac:dyDescent="0.5">
      <c r="A549" s="19">
        <v>545</v>
      </c>
      <c r="B549" s="20" t="s">
        <v>945</v>
      </c>
      <c r="C549" s="21" t="s">
        <v>946</v>
      </c>
      <c r="D549" s="16">
        <v>773</v>
      </c>
      <c r="E549" s="16">
        <v>12</v>
      </c>
      <c r="F549" s="22">
        <v>1183</v>
      </c>
      <c r="G549" s="22">
        <f t="shared" si="166"/>
        <v>36814.959999999999</v>
      </c>
      <c r="H549" s="22">
        <v>896</v>
      </c>
      <c r="I549" s="23">
        <f t="shared" si="167"/>
        <v>29039.359999999997</v>
      </c>
      <c r="J549" s="22">
        <v>436</v>
      </c>
      <c r="K549" s="22">
        <f t="shared" si="168"/>
        <v>14392.359999999999</v>
      </c>
      <c r="L549" s="22"/>
      <c r="M549" s="24">
        <f t="shared" si="169"/>
        <v>0</v>
      </c>
      <c r="N549" s="23"/>
      <c r="O549" s="23">
        <f t="shared" si="170"/>
        <v>0</v>
      </c>
      <c r="P549" s="22">
        <v>217</v>
      </c>
      <c r="Q549" s="22">
        <f t="shared" si="164"/>
        <v>9114</v>
      </c>
      <c r="R549" s="25"/>
      <c r="S549" s="25">
        <f t="shared" si="165"/>
        <v>0</v>
      </c>
      <c r="T549" s="25"/>
      <c r="U549" s="25">
        <f t="shared" si="156"/>
        <v>0</v>
      </c>
      <c r="V549" s="23"/>
      <c r="W549" s="23">
        <f t="shared" si="157"/>
        <v>0</v>
      </c>
      <c r="X549" s="23"/>
      <c r="Y549" s="23">
        <f t="shared" si="158"/>
        <v>0</v>
      </c>
      <c r="Z549" s="23"/>
      <c r="AA549" s="23">
        <f t="shared" si="159"/>
        <v>0</v>
      </c>
      <c r="AB549" s="23"/>
      <c r="AC549" s="23">
        <f t="shared" si="160"/>
        <v>0</v>
      </c>
      <c r="AD549" s="23"/>
      <c r="AE549" s="23">
        <f t="shared" si="161"/>
        <v>0</v>
      </c>
      <c r="AF549" s="26">
        <v>616</v>
      </c>
      <c r="AG549" s="26">
        <f t="shared" si="163"/>
        <v>21054.880000000001</v>
      </c>
      <c r="AH549" s="23">
        <v>1109</v>
      </c>
      <c r="AI549" s="23">
        <f t="shared" si="162"/>
        <v>36929.699999999997</v>
      </c>
      <c r="AJ549" s="23"/>
      <c r="AK549" s="23">
        <f t="shared" si="152"/>
        <v>0</v>
      </c>
      <c r="AL549" s="26">
        <v>432</v>
      </c>
      <c r="AM549" s="26">
        <f t="shared" si="153"/>
        <v>15841.44</v>
      </c>
      <c r="AN549" s="12">
        <f t="shared" si="154"/>
        <v>4889</v>
      </c>
      <c r="AO549" s="22">
        <f t="shared" si="155"/>
        <v>163186.70000000001</v>
      </c>
    </row>
    <row r="550" spans="1:41" x14ac:dyDescent="0.5">
      <c r="A550" s="19">
        <v>546</v>
      </c>
      <c r="B550" s="20" t="s">
        <v>947</v>
      </c>
      <c r="C550" s="21" t="s">
        <v>948</v>
      </c>
      <c r="D550" s="16">
        <v>828</v>
      </c>
      <c r="E550" s="16">
        <v>12</v>
      </c>
      <c r="F550" s="22">
        <v>305</v>
      </c>
      <c r="G550" s="22">
        <f t="shared" si="166"/>
        <v>9491.6</v>
      </c>
      <c r="H550" s="22"/>
      <c r="I550" s="23">
        <f t="shared" si="167"/>
        <v>0</v>
      </c>
      <c r="J550" s="22"/>
      <c r="K550" s="22">
        <f t="shared" si="168"/>
        <v>0</v>
      </c>
      <c r="L550" s="22"/>
      <c r="M550" s="24">
        <f t="shared" si="169"/>
        <v>0</v>
      </c>
      <c r="N550" s="23"/>
      <c r="O550" s="23">
        <f t="shared" si="170"/>
        <v>0</v>
      </c>
      <c r="P550" s="22"/>
      <c r="Q550" s="22">
        <f t="shared" si="164"/>
        <v>0</v>
      </c>
      <c r="R550" s="25">
        <v>241</v>
      </c>
      <c r="S550" s="25">
        <f t="shared" si="165"/>
        <v>9326.7000000000007</v>
      </c>
      <c r="T550" s="25"/>
      <c r="U550" s="25">
        <f t="shared" si="156"/>
        <v>0</v>
      </c>
      <c r="V550" s="23"/>
      <c r="W550" s="23">
        <f t="shared" si="157"/>
        <v>0</v>
      </c>
      <c r="X550" s="23">
        <v>362</v>
      </c>
      <c r="Y550" s="23">
        <f t="shared" si="158"/>
        <v>12724.3</v>
      </c>
      <c r="Z550" s="23"/>
      <c r="AA550" s="23">
        <f t="shared" si="159"/>
        <v>0</v>
      </c>
      <c r="AB550" s="23">
        <v>389</v>
      </c>
      <c r="AC550" s="23">
        <f t="shared" si="160"/>
        <v>14023.449999999999</v>
      </c>
      <c r="AD550" s="23">
        <v>471</v>
      </c>
      <c r="AE550" s="23">
        <f t="shared" si="161"/>
        <v>16503.84</v>
      </c>
      <c r="AF550" s="26">
        <v>425</v>
      </c>
      <c r="AG550" s="26">
        <f t="shared" si="163"/>
        <v>14526.5</v>
      </c>
      <c r="AH550" s="23">
        <v>501</v>
      </c>
      <c r="AI550" s="23">
        <f t="shared" si="162"/>
        <v>16683.3</v>
      </c>
      <c r="AJ550" s="23">
        <v>668</v>
      </c>
      <c r="AK550" s="23">
        <f t="shared" si="152"/>
        <v>24014.600000000002</v>
      </c>
      <c r="AL550" s="26">
        <v>602</v>
      </c>
      <c r="AM550" s="26">
        <f t="shared" si="153"/>
        <v>22075.34</v>
      </c>
      <c r="AN550" s="12">
        <f t="shared" si="154"/>
        <v>3964</v>
      </c>
      <c r="AO550" s="22">
        <f t="shared" si="155"/>
        <v>139369.63</v>
      </c>
    </row>
    <row r="551" spans="1:41" s="31" customFormat="1" x14ac:dyDescent="0.5">
      <c r="A551" s="19">
        <v>547</v>
      </c>
      <c r="B551" s="20" t="s">
        <v>949</v>
      </c>
      <c r="C551" s="21" t="s">
        <v>950</v>
      </c>
      <c r="D551" s="16">
        <v>906</v>
      </c>
      <c r="E551" s="16">
        <v>12</v>
      </c>
      <c r="F551" s="22">
        <v>1727</v>
      </c>
      <c r="G551" s="22">
        <f t="shared" si="166"/>
        <v>53744.240000000005</v>
      </c>
      <c r="H551" s="22">
        <v>617</v>
      </c>
      <c r="I551" s="23">
        <f t="shared" si="167"/>
        <v>19996.969999999998</v>
      </c>
      <c r="J551" s="22">
        <v>577</v>
      </c>
      <c r="K551" s="22">
        <f t="shared" si="168"/>
        <v>19046.77</v>
      </c>
      <c r="L551" s="22"/>
      <c r="M551" s="24">
        <f t="shared" si="169"/>
        <v>0</v>
      </c>
      <c r="N551" s="23">
        <v>521</v>
      </c>
      <c r="O551" s="23">
        <f t="shared" si="170"/>
        <v>19928.25</v>
      </c>
      <c r="P551" s="22">
        <v>533</v>
      </c>
      <c r="Q551" s="22">
        <f t="shared" si="164"/>
        <v>22386</v>
      </c>
      <c r="R551" s="25">
        <v>749</v>
      </c>
      <c r="S551" s="25">
        <f t="shared" si="165"/>
        <v>28986.300000000003</v>
      </c>
      <c r="T551" s="25">
        <v>675</v>
      </c>
      <c r="U551" s="25">
        <f t="shared" si="156"/>
        <v>22747.500000000004</v>
      </c>
      <c r="V551" s="23">
        <v>574</v>
      </c>
      <c r="W551" s="23">
        <f t="shared" si="157"/>
        <v>18827.199999999997</v>
      </c>
      <c r="X551" s="23">
        <v>789</v>
      </c>
      <c r="Y551" s="23">
        <f t="shared" si="158"/>
        <v>27733.35</v>
      </c>
      <c r="Z551" s="23">
        <v>966</v>
      </c>
      <c r="AA551" s="23">
        <f t="shared" si="159"/>
        <v>33481.56</v>
      </c>
      <c r="AB551" s="23">
        <v>928</v>
      </c>
      <c r="AC551" s="23">
        <f t="shared" si="160"/>
        <v>33454.399999999994</v>
      </c>
      <c r="AD551" s="23">
        <v>857</v>
      </c>
      <c r="AE551" s="23">
        <f t="shared" si="161"/>
        <v>30029.279999999999</v>
      </c>
      <c r="AF551" s="26">
        <v>1396</v>
      </c>
      <c r="AG551" s="26">
        <f t="shared" si="163"/>
        <v>47715.28</v>
      </c>
      <c r="AH551" s="23">
        <v>1200</v>
      </c>
      <c r="AI551" s="23">
        <f t="shared" si="162"/>
        <v>39960</v>
      </c>
      <c r="AJ551" s="23">
        <v>1298</v>
      </c>
      <c r="AK551" s="23">
        <f t="shared" si="152"/>
        <v>46663.100000000006</v>
      </c>
      <c r="AL551" s="26">
        <v>1617</v>
      </c>
      <c r="AM551" s="26">
        <f t="shared" si="153"/>
        <v>59295.39</v>
      </c>
      <c r="AN551" s="12">
        <f t="shared" si="154"/>
        <v>15024</v>
      </c>
      <c r="AO551" s="22">
        <f t="shared" si="155"/>
        <v>523995.59000000008</v>
      </c>
    </row>
    <row r="552" spans="1:41" x14ac:dyDescent="0.5">
      <c r="A552" s="19">
        <v>548</v>
      </c>
      <c r="B552" s="20" t="s">
        <v>951</v>
      </c>
      <c r="C552" s="21" t="s">
        <v>952</v>
      </c>
      <c r="D552" s="16">
        <v>909</v>
      </c>
      <c r="E552" s="16">
        <v>12</v>
      </c>
      <c r="F552" s="22">
        <v>463</v>
      </c>
      <c r="G552" s="22">
        <f t="shared" si="166"/>
        <v>14408.560000000001</v>
      </c>
      <c r="H552" s="22">
        <v>319</v>
      </c>
      <c r="I552" s="23">
        <f t="shared" si="167"/>
        <v>10338.789999999999</v>
      </c>
      <c r="J552" s="22">
        <v>270</v>
      </c>
      <c r="K552" s="22">
        <f t="shared" si="168"/>
        <v>8912.6999999999989</v>
      </c>
      <c r="L552" s="22"/>
      <c r="M552" s="24">
        <f t="shared" si="169"/>
        <v>0</v>
      </c>
      <c r="N552" s="23"/>
      <c r="O552" s="23">
        <f t="shared" si="170"/>
        <v>0</v>
      </c>
      <c r="P552" s="22">
        <v>476</v>
      </c>
      <c r="Q552" s="22">
        <f t="shared" si="164"/>
        <v>19992</v>
      </c>
      <c r="R552" s="25">
        <v>310</v>
      </c>
      <c r="S552" s="25">
        <f t="shared" si="165"/>
        <v>11997</v>
      </c>
      <c r="T552" s="25">
        <v>571</v>
      </c>
      <c r="U552" s="25">
        <f t="shared" si="156"/>
        <v>19242.7</v>
      </c>
      <c r="V552" s="39">
        <v>577</v>
      </c>
      <c r="W552" s="23">
        <f t="shared" si="157"/>
        <v>18925.599999999999</v>
      </c>
      <c r="X552" s="39">
        <v>614</v>
      </c>
      <c r="Y552" s="23">
        <f t="shared" si="158"/>
        <v>21582.1</v>
      </c>
      <c r="Z552" s="39">
        <v>478</v>
      </c>
      <c r="AA552" s="23">
        <f t="shared" si="159"/>
        <v>16567.48</v>
      </c>
      <c r="AB552" s="39"/>
      <c r="AC552" s="23">
        <f t="shared" si="160"/>
        <v>0</v>
      </c>
      <c r="AD552" s="39">
        <v>544</v>
      </c>
      <c r="AE552" s="23">
        <f t="shared" si="161"/>
        <v>19061.759999999998</v>
      </c>
      <c r="AF552" s="42">
        <v>589</v>
      </c>
      <c r="AG552" s="26">
        <f t="shared" si="163"/>
        <v>20132.02</v>
      </c>
      <c r="AH552" s="39">
        <v>416</v>
      </c>
      <c r="AI552" s="23">
        <f t="shared" si="162"/>
        <v>13852.8</v>
      </c>
      <c r="AJ552" s="39">
        <v>501</v>
      </c>
      <c r="AK552" s="23">
        <f t="shared" si="152"/>
        <v>18010.95</v>
      </c>
      <c r="AL552" s="42"/>
      <c r="AM552" s="26">
        <f t="shared" si="153"/>
        <v>0</v>
      </c>
      <c r="AN552" s="12">
        <f t="shared" si="154"/>
        <v>6128</v>
      </c>
      <c r="AO552" s="22">
        <f t="shared" si="155"/>
        <v>213024.46</v>
      </c>
    </row>
    <row r="553" spans="1:41" x14ac:dyDescent="0.5">
      <c r="A553" s="19">
        <v>549</v>
      </c>
      <c r="B553" s="20" t="s">
        <v>953</v>
      </c>
      <c r="C553" s="33" t="s">
        <v>954</v>
      </c>
      <c r="D553" s="34">
        <v>915</v>
      </c>
      <c r="E553" s="34">
        <v>12</v>
      </c>
      <c r="F553" s="35"/>
      <c r="G553" s="22">
        <f t="shared" si="166"/>
        <v>0</v>
      </c>
      <c r="H553" s="35"/>
      <c r="I553" s="23">
        <f t="shared" si="167"/>
        <v>0</v>
      </c>
      <c r="J553" s="35"/>
      <c r="K553" s="22">
        <f t="shared" si="168"/>
        <v>0</v>
      </c>
      <c r="L553" s="35"/>
      <c r="M553" s="24">
        <f t="shared" si="169"/>
        <v>0</v>
      </c>
      <c r="N553" s="39"/>
      <c r="O553" s="23">
        <f t="shared" si="170"/>
        <v>0</v>
      </c>
      <c r="P553" s="35">
        <v>167</v>
      </c>
      <c r="Q553" s="22">
        <f t="shared" si="164"/>
        <v>7014</v>
      </c>
      <c r="R553" s="38">
        <v>198</v>
      </c>
      <c r="S553" s="25">
        <f t="shared" si="165"/>
        <v>7662.6</v>
      </c>
      <c r="T553" s="38"/>
      <c r="U553" s="25">
        <f t="shared" si="156"/>
        <v>0</v>
      </c>
      <c r="V553" s="39">
        <v>208</v>
      </c>
      <c r="W553" s="23">
        <f t="shared" si="157"/>
        <v>6822.4</v>
      </c>
      <c r="X553" s="39">
        <v>220</v>
      </c>
      <c r="Y553" s="23">
        <f t="shared" si="158"/>
        <v>7733</v>
      </c>
      <c r="Z553" s="39"/>
      <c r="AA553" s="23">
        <f t="shared" si="159"/>
        <v>0</v>
      </c>
      <c r="AB553" s="39"/>
      <c r="AC553" s="23">
        <f t="shared" si="160"/>
        <v>0</v>
      </c>
      <c r="AD553" s="39">
        <v>462</v>
      </c>
      <c r="AE553" s="23">
        <f t="shared" si="161"/>
        <v>16188.48</v>
      </c>
      <c r="AF553" s="42"/>
      <c r="AG553" s="26">
        <f t="shared" si="163"/>
        <v>0</v>
      </c>
      <c r="AH553" s="39">
        <v>376</v>
      </c>
      <c r="AI553" s="23">
        <f t="shared" si="162"/>
        <v>12520.8</v>
      </c>
      <c r="AJ553" s="39"/>
      <c r="AK553" s="23">
        <f t="shared" si="152"/>
        <v>0</v>
      </c>
      <c r="AL553" s="42">
        <v>460</v>
      </c>
      <c r="AM553" s="26">
        <f t="shared" si="153"/>
        <v>16868.2</v>
      </c>
      <c r="AN553" s="12">
        <f t="shared" si="154"/>
        <v>2091</v>
      </c>
      <c r="AO553" s="22">
        <f t="shared" si="155"/>
        <v>74809.48</v>
      </c>
    </row>
    <row r="554" spans="1:41" s="31" customFormat="1" x14ac:dyDescent="0.5">
      <c r="A554" s="19">
        <v>550</v>
      </c>
      <c r="B554" s="27" t="s">
        <v>115</v>
      </c>
      <c r="C554" s="28" t="s">
        <v>472</v>
      </c>
      <c r="D554" s="16">
        <v>976</v>
      </c>
      <c r="E554" s="16">
        <v>12</v>
      </c>
      <c r="F554" s="22"/>
      <c r="G554" s="22">
        <f t="shared" si="166"/>
        <v>0</v>
      </c>
      <c r="H554" s="22"/>
      <c r="I554" s="23">
        <f t="shared" si="167"/>
        <v>0</v>
      </c>
      <c r="J554" s="22"/>
      <c r="K554" s="22">
        <f t="shared" si="168"/>
        <v>0</v>
      </c>
      <c r="L554" s="22"/>
      <c r="M554" s="24">
        <f t="shared" si="169"/>
        <v>0</v>
      </c>
      <c r="N554" s="23"/>
      <c r="O554" s="23">
        <f t="shared" si="170"/>
        <v>0</v>
      </c>
      <c r="P554" s="22"/>
      <c r="Q554" s="22">
        <f t="shared" si="164"/>
        <v>0</v>
      </c>
      <c r="R554" s="25"/>
      <c r="S554" s="25">
        <f t="shared" si="165"/>
        <v>0</v>
      </c>
      <c r="T554" s="25"/>
      <c r="U554" s="25">
        <f t="shared" si="156"/>
        <v>0</v>
      </c>
      <c r="V554" s="23"/>
      <c r="W554" s="23">
        <f t="shared" si="157"/>
        <v>0</v>
      </c>
      <c r="X554" s="23"/>
      <c r="Y554" s="23">
        <f t="shared" si="158"/>
        <v>0</v>
      </c>
      <c r="Z554" s="23"/>
      <c r="AA554" s="23">
        <f t="shared" si="159"/>
        <v>0</v>
      </c>
      <c r="AB554" s="23"/>
      <c r="AC554" s="23">
        <f t="shared" si="160"/>
        <v>0</v>
      </c>
      <c r="AD554" s="23"/>
      <c r="AE554" s="23">
        <f t="shared" si="161"/>
        <v>0</v>
      </c>
      <c r="AF554" s="26"/>
      <c r="AG554" s="26">
        <f t="shared" si="163"/>
        <v>0</v>
      </c>
      <c r="AH554" s="23"/>
      <c r="AI554" s="23">
        <f t="shared" si="162"/>
        <v>0</v>
      </c>
      <c r="AJ554" s="23"/>
      <c r="AK554" s="23">
        <f t="shared" si="152"/>
        <v>0</v>
      </c>
      <c r="AL554" s="23"/>
      <c r="AM554" s="26">
        <f t="shared" si="153"/>
        <v>0</v>
      </c>
      <c r="AN554" s="12">
        <f t="shared" si="154"/>
        <v>0</v>
      </c>
      <c r="AO554" s="22">
        <f t="shared" si="155"/>
        <v>0</v>
      </c>
    </row>
    <row r="555" spans="1:41" x14ac:dyDescent="0.5">
      <c r="A555" s="19">
        <v>551</v>
      </c>
      <c r="B555" s="20" t="s">
        <v>955</v>
      </c>
      <c r="C555" s="21" t="s">
        <v>956</v>
      </c>
      <c r="D555" s="16">
        <v>998</v>
      </c>
      <c r="E555" s="16">
        <v>12</v>
      </c>
      <c r="F555" s="22"/>
      <c r="G555" s="22">
        <f t="shared" si="166"/>
        <v>0</v>
      </c>
      <c r="H555" s="22"/>
      <c r="I555" s="23">
        <f t="shared" si="167"/>
        <v>0</v>
      </c>
      <c r="J555" s="22"/>
      <c r="K555" s="22">
        <f t="shared" si="168"/>
        <v>0</v>
      </c>
      <c r="L555" s="22"/>
      <c r="M555" s="24">
        <f t="shared" si="169"/>
        <v>0</v>
      </c>
      <c r="N555" s="23"/>
      <c r="O555" s="23">
        <f t="shared" si="170"/>
        <v>0</v>
      </c>
      <c r="P555" s="22"/>
      <c r="Q555" s="22">
        <f t="shared" si="164"/>
        <v>0</v>
      </c>
      <c r="R555" s="25">
        <v>284</v>
      </c>
      <c r="S555" s="25">
        <f t="shared" si="165"/>
        <v>10990.800000000001</v>
      </c>
      <c r="T555" s="25"/>
      <c r="U555" s="25">
        <f t="shared" si="156"/>
        <v>0</v>
      </c>
      <c r="V555" s="39">
        <v>273</v>
      </c>
      <c r="W555" s="23">
        <f t="shared" si="157"/>
        <v>8954.4</v>
      </c>
      <c r="X555" s="39"/>
      <c r="Y555" s="23">
        <f t="shared" si="158"/>
        <v>0</v>
      </c>
      <c r="Z555" s="39"/>
      <c r="AA555" s="23">
        <f t="shared" si="159"/>
        <v>0</v>
      </c>
      <c r="AB555" s="39"/>
      <c r="AC555" s="23">
        <f t="shared" si="160"/>
        <v>0</v>
      </c>
      <c r="AD555" s="39"/>
      <c r="AE555" s="23">
        <f t="shared" si="161"/>
        <v>0</v>
      </c>
      <c r="AF555" s="42"/>
      <c r="AG555" s="26">
        <f t="shared" si="163"/>
        <v>0</v>
      </c>
      <c r="AH555" s="39"/>
      <c r="AI555" s="23">
        <f t="shared" si="162"/>
        <v>0</v>
      </c>
      <c r="AJ555" s="39"/>
      <c r="AK555" s="23">
        <f t="shared" si="152"/>
        <v>0</v>
      </c>
      <c r="AL555" s="42"/>
      <c r="AM555" s="26">
        <f t="shared" si="153"/>
        <v>0</v>
      </c>
      <c r="AN555" s="12">
        <f t="shared" si="154"/>
        <v>557</v>
      </c>
      <c r="AO555" s="22">
        <f t="shared" si="155"/>
        <v>19945.2</v>
      </c>
    </row>
    <row r="556" spans="1:41" x14ac:dyDescent="0.5">
      <c r="A556" s="19">
        <v>552</v>
      </c>
      <c r="B556" s="20" t="s">
        <v>957</v>
      </c>
      <c r="C556" s="33" t="s">
        <v>958</v>
      </c>
      <c r="D556" s="34">
        <v>1004</v>
      </c>
      <c r="E556" s="34">
        <v>12</v>
      </c>
      <c r="F556" s="35">
        <v>1874</v>
      </c>
      <c r="G556" s="22">
        <f t="shared" si="166"/>
        <v>58318.880000000005</v>
      </c>
      <c r="H556" s="35">
        <v>1327</v>
      </c>
      <c r="I556" s="23">
        <f t="shared" si="167"/>
        <v>43008.069999999992</v>
      </c>
      <c r="J556" s="35">
        <v>459</v>
      </c>
      <c r="K556" s="22">
        <f t="shared" si="168"/>
        <v>15151.589999999998</v>
      </c>
      <c r="L556" s="35">
        <v>356</v>
      </c>
      <c r="M556" s="24">
        <f t="shared" si="169"/>
        <v>12502.72</v>
      </c>
      <c r="N556" s="39">
        <v>494</v>
      </c>
      <c r="O556" s="23">
        <f t="shared" si="170"/>
        <v>18895.5</v>
      </c>
      <c r="P556" s="35">
        <v>1245</v>
      </c>
      <c r="Q556" s="22">
        <f t="shared" si="164"/>
        <v>52290</v>
      </c>
      <c r="R556" s="38">
        <v>1181</v>
      </c>
      <c r="S556" s="25">
        <f t="shared" si="165"/>
        <v>45704.700000000004</v>
      </c>
      <c r="T556" s="38">
        <v>492</v>
      </c>
      <c r="U556" s="25">
        <f t="shared" si="156"/>
        <v>16580.400000000001</v>
      </c>
      <c r="V556" s="39">
        <v>1579</v>
      </c>
      <c r="W556" s="23">
        <f t="shared" si="157"/>
        <v>51791.199999999997</v>
      </c>
      <c r="X556" s="39">
        <v>1219</v>
      </c>
      <c r="Y556" s="23">
        <f t="shared" si="158"/>
        <v>42847.85</v>
      </c>
      <c r="Z556" s="39">
        <v>769</v>
      </c>
      <c r="AA556" s="23">
        <f t="shared" si="159"/>
        <v>26653.539999999997</v>
      </c>
      <c r="AB556" s="39">
        <v>1514</v>
      </c>
      <c r="AC556" s="23">
        <f t="shared" si="160"/>
        <v>54579.7</v>
      </c>
      <c r="AD556" s="39">
        <v>2039</v>
      </c>
      <c r="AE556" s="23">
        <f t="shared" si="161"/>
        <v>71446.559999999998</v>
      </c>
      <c r="AF556" s="42">
        <v>1198</v>
      </c>
      <c r="AG556" s="26">
        <f t="shared" si="163"/>
        <v>40947.64</v>
      </c>
      <c r="AH556" s="39">
        <v>1110</v>
      </c>
      <c r="AI556" s="23">
        <f t="shared" si="162"/>
        <v>36963</v>
      </c>
      <c r="AJ556" s="39"/>
      <c r="AK556" s="23">
        <f t="shared" si="152"/>
        <v>0</v>
      </c>
      <c r="AL556" s="42"/>
      <c r="AM556" s="26">
        <f t="shared" si="153"/>
        <v>0</v>
      </c>
      <c r="AN556" s="12">
        <f t="shared" si="154"/>
        <v>16856</v>
      </c>
      <c r="AO556" s="22">
        <f t="shared" si="155"/>
        <v>587681.35</v>
      </c>
    </row>
    <row r="557" spans="1:41" x14ac:dyDescent="0.5">
      <c r="A557" s="19">
        <v>553</v>
      </c>
      <c r="B557" s="20" t="s">
        <v>959</v>
      </c>
      <c r="C557" s="21" t="s">
        <v>960</v>
      </c>
      <c r="D557" s="16">
        <v>1005</v>
      </c>
      <c r="E557" s="16">
        <v>12</v>
      </c>
      <c r="F557" s="22">
        <v>2267</v>
      </c>
      <c r="G557" s="22">
        <f t="shared" si="166"/>
        <v>70549.040000000008</v>
      </c>
      <c r="H557" s="22">
        <v>1245</v>
      </c>
      <c r="I557" s="23">
        <f t="shared" si="167"/>
        <v>40350.449999999997</v>
      </c>
      <c r="J557" s="22"/>
      <c r="K557" s="22">
        <f t="shared" si="168"/>
        <v>0</v>
      </c>
      <c r="L557" s="22">
        <v>352</v>
      </c>
      <c r="M557" s="24">
        <f t="shared" si="169"/>
        <v>12362.24</v>
      </c>
      <c r="N557" s="23"/>
      <c r="O557" s="23">
        <f t="shared" si="170"/>
        <v>0</v>
      </c>
      <c r="P557" s="22">
        <v>901</v>
      </c>
      <c r="Q557" s="22">
        <f t="shared" si="164"/>
        <v>37842</v>
      </c>
      <c r="R557" s="25">
        <v>663</v>
      </c>
      <c r="S557" s="25">
        <f t="shared" si="165"/>
        <v>25658.100000000002</v>
      </c>
      <c r="T557" s="25">
        <v>1476</v>
      </c>
      <c r="U557" s="25">
        <f t="shared" si="156"/>
        <v>49741.200000000004</v>
      </c>
      <c r="V557" s="23">
        <v>2977</v>
      </c>
      <c r="W557" s="23">
        <f t="shared" si="157"/>
        <v>97645.599999999991</v>
      </c>
      <c r="X557" s="23">
        <v>869</v>
      </c>
      <c r="Y557" s="23">
        <f t="shared" si="158"/>
        <v>30545.35</v>
      </c>
      <c r="Z557" s="23">
        <v>2858</v>
      </c>
      <c r="AA557" s="23">
        <f t="shared" si="159"/>
        <v>99058.279999999984</v>
      </c>
      <c r="AB557" s="23">
        <v>684</v>
      </c>
      <c r="AC557" s="23">
        <f t="shared" si="160"/>
        <v>24658.199999999997</v>
      </c>
      <c r="AD557" s="23">
        <v>1623</v>
      </c>
      <c r="AE557" s="23">
        <f t="shared" si="161"/>
        <v>56869.919999999998</v>
      </c>
      <c r="AF557" s="26">
        <v>1579</v>
      </c>
      <c r="AG557" s="26">
        <f t="shared" si="163"/>
        <v>53970.22</v>
      </c>
      <c r="AH557" s="23">
        <v>1441</v>
      </c>
      <c r="AI557" s="23">
        <f t="shared" si="162"/>
        <v>47985.299999999996</v>
      </c>
      <c r="AJ557" s="23">
        <v>1698</v>
      </c>
      <c r="AK557" s="23">
        <f t="shared" si="152"/>
        <v>61043.100000000006</v>
      </c>
      <c r="AL557" s="26">
        <v>2823</v>
      </c>
      <c r="AM557" s="26">
        <f t="shared" si="153"/>
        <v>103519.41</v>
      </c>
      <c r="AN557" s="12">
        <f t="shared" si="154"/>
        <v>23456</v>
      </c>
      <c r="AO557" s="22">
        <f t="shared" si="155"/>
        <v>811798.41</v>
      </c>
    </row>
    <row r="558" spans="1:41" x14ac:dyDescent="0.5">
      <c r="A558" s="19">
        <v>554</v>
      </c>
      <c r="B558" s="27" t="s">
        <v>961</v>
      </c>
      <c r="C558" s="28" t="s">
        <v>831</v>
      </c>
      <c r="D558" s="16">
        <v>1018</v>
      </c>
      <c r="E558" s="16">
        <v>12</v>
      </c>
      <c r="F558" s="22"/>
      <c r="G558" s="22">
        <f t="shared" si="166"/>
        <v>0</v>
      </c>
      <c r="H558" s="22"/>
      <c r="I558" s="23">
        <f t="shared" si="167"/>
        <v>0</v>
      </c>
      <c r="J558" s="22"/>
      <c r="K558" s="22">
        <f t="shared" si="168"/>
        <v>0</v>
      </c>
      <c r="L558" s="22"/>
      <c r="M558" s="24">
        <f t="shared" si="169"/>
        <v>0</v>
      </c>
      <c r="N558" s="23"/>
      <c r="O558" s="23">
        <f t="shared" si="170"/>
        <v>0</v>
      </c>
      <c r="P558" s="22"/>
      <c r="Q558" s="22">
        <f t="shared" si="164"/>
        <v>0</v>
      </c>
      <c r="R558" s="25"/>
      <c r="S558" s="25">
        <f t="shared" si="165"/>
        <v>0</v>
      </c>
      <c r="T558" s="25"/>
      <c r="U558" s="25">
        <f t="shared" si="156"/>
        <v>0</v>
      </c>
      <c r="V558" s="23"/>
      <c r="W558" s="23">
        <f t="shared" si="157"/>
        <v>0</v>
      </c>
      <c r="X558" s="23"/>
      <c r="Y558" s="23">
        <f t="shared" si="158"/>
        <v>0</v>
      </c>
      <c r="Z558" s="23"/>
      <c r="AA558" s="23">
        <f t="shared" si="159"/>
        <v>0</v>
      </c>
      <c r="AB558" s="23"/>
      <c r="AC558" s="23">
        <f t="shared" si="160"/>
        <v>0</v>
      </c>
      <c r="AD558" s="23"/>
      <c r="AE558" s="23">
        <f t="shared" si="161"/>
        <v>0</v>
      </c>
      <c r="AF558" s="26"/>
      <c r="AG558" s="26">
        <f t="shared" si="163"/>
        <v>0</v>
      </c>
      <c r="AH558" s="23"/>
      <c r="AI558" s="23">
        <f t="shared" si="162"/>
        <v>0</v>
      </c>
      <c r="AJ558" s="23"/>
      <c r="AK558" s="23">
        <f t="shared" si="152"/>
        <v>0</v>
      </c>
      <c r="AL558" s="23"/>
      <c r="AM558" s="26">
        <f t="shared" si="153"/>
        <v>0</v>
      </c>
      <c r="AN558" s="12">
        <f t="shared" si="154"/>
        <v>0</v>
      </c>
      <c r="AO558" s="22">
        <f t="shared" si="155"/>
        <v>0</v>
      </c>
    </row>
    <row r="559" spans="1:41" x14ac:dyDescent="0.5">
      <c r="A559" s="19">
        <v>555</v>
      </c>
      <c r="B559" s="20" t="s">
        <v>962</v>
      </c>
      <c r="C559" s="21" t="s">
        <v>736</v>
      </c>
      <c r="D559" s="16">
        <v>1058</v>
      </c>
      <c r="E559" s="16">
        <v>12</v>
      </c>
      <c r="F559" s="22">
        <v>445</v>
      </c>
      <c r="G559" s="22">
        <f t="shared" si="166"/>
        <v>13848.4</v>
      </c>
      <c r="H559" s="22"/>
      <c r="I559" s="23">
        <f t="shared" si="167"/>
        <v>0</v>
      </c>
      <c r="J559" s="22"/>
      <c r="K559" s="22">
        <f t="shared" si="168"/>
        <v>0</v>
      </c>
      <c r="L559" s="22"/>
      <c r="M559" s="24">
        <f t="shared" si="169"/>
        <v>0</v>
      </c>
      <c r="N559" s="23"/>
      <c r="O559" s="23">
        <f t="shared" si="170"/>
        <v>0</v>
      </c>
      <c r="P559" s="22"/>
      <c r="Q559" s="22">
        <f t="shared" si="164"/>
        <v>0</v>
      </c>
      <c r="R559" s="25">
        <v>490</v>
      </c>
      <c r="S559" s="25">
        <f t="shared" si="165"/>
        <v>18963</v>
      </c>
      <c r="T559" s="25">
        <v>585</v>
      </c>
      <c r="U559" s="25">
        <f t="shared" si="156"/>
        <v>19714.5</v>
      </c>
      <c r="V559" s="23">
        <v>192</v>
      </c>
      <c r="W559" s="23">
        <f t="shared" si="157"/>
        <v>6297.5999999999995</v>
      </c>
      <c r="X559" s="23"/>
      <c r="Y559" s="23">
        <f t="shared" si="158"/>
        <v>0</v>
      </c>
      <c r="Z559" s="23">
        <v>421</v>
      </c>
      <c r="AA559" s="23">
        <f t="shared" si="159"/>
        <v>14591.859999999999</v>
      </c>
      <c r="AB559" s="23">
        <v>483</v>
      </c>
      <c r="AC559" s="23">
        <f t="shared" si="160"/>
        <v>17412.149999999998</v>
      </c>
      <c r="AD559" s="23">
        <v>457</v>
      </c>
      <c r="AE559" s="23">
        <f t="shared" si="161"/>
        <v>16013.279999999999</v>
      </c>
      <c r="AF559" s="26">
        <v>597</v>
      </c>
      <c r="AG559" s="26">
        <f t="shared" si="163"/>
        <v>20405.46</v>
      </c>
      <c r="AH559" s="23">
        <v>586</v>
      </c>
      <c r="AI559" s="23">
        <f t="shared" si="162"/>
        <v>19513.8</v>
      </c>
      <c r="AJ559" s="23">
        <v>550</v>
      </c>
      <c r="AK559" s="23">
        <f t="shared" si="152"/>
        <v>19772.5</v>
      </c>
      <c r="AL559" s="26">
        <v>646</v>
      </c>
      <c r="AM559" s="26">
        <f t="shared" si="153"/>
        <v>23688.82</v>
      </c>
      <c r="AN559" s="12">
        <f t="shared" si="154"/>
        <v>5452</v>
      </c>
      <c r="AO559" s="22">
        <f t="shared" si="155"/>
        <v>190221.37</v>
      </c>
    </row>
    <row r="560" spans="1:41" x14ac:dyDescent="0.5">
      <c r="A560" s="19">
        <v>556</v>
      </c>
      <c r="B560" s="20" t="s">
        <v>963</v>
      </c>
      <c r="C560" s="21" t="s">
        <v>964</v>
      </c>
      <c r="D560" s="16">
        <v>1068</v>
      </c>
      <c r="E560" s="16">
        <v>12</v>
      </c>
      <c r="F560" s="22">
        <v>1014</v>
      </c>
      <c r="G560" s="22">
        <f t="shared" si="166"/>
        <v>31555.68</v>
      </c>
      <c r="H560" s="22"/>
      <c r="I560" s="23">
        <f t="shared" si="167"/>
        <v>0</v>
      </c>
      <c r="J560" s="22"/>
      <c r="K560" s="22">
        <f t="shared" si="168"/>
        <v>0</v>
      </c>
      <c r="L560" s="22"/>
      <c r="M560" s="24">
        <f t="shared" si="169"/>
        <v>0</v>
      </c>
      <c r="N560" s="23">
        <v>585</v>
      </c>
      <c r="O560" s="23">
        <f t="shared" si="170"/>
        <v>22376.25</v>
      </c>
      <c r="P560" s="22">
        <v>764</v>
      </c>
      <c r="Q560" s="22">
        <f t="shared" si="164"/>
        <v>32088</v>
      </c>
      <c r="R560" s="25">
        <v>556</v>
      </c>
      <c r="S560" s="25">
        <f t="shared" si="165"/>
        <v>21517.200000000001</v>
      </c>
      <c r="T560" s="25">
        <v>860</v>
      </c>
      <c r="U560" s="25">
        <f>T560*33.7</f>
        <v>28982.000000000004</v>
      </c>
      <c r="V560" s="23">
        <v>791</v>
      </c>
      <c r="W560" s="23">
        <f t="shared" si="157"/>
        <v>25944.799999999999</v>
      </c>
      <c r="X560" s="23">
        <v>1103</v>
      </c>
      <c r="Y560" s="23">
        <f t="shared" si="158"/>
        <v>38770.449999999997</v>
      </c>
      <c r="Z560" s="23">
        <v>828</v>
      </c>
      <c r="AA560" s="23">
        <f t="shared" si="159"/>
        <v>28698.479999999996</v>
      </c>
      <c r="AB560" s="23">
        <v>767</v>
      </c>
      <c r="AC560" s="23">
        <f t="shared" si="160"/>
        <v>27650.35</v>
      </c>
      <c r="AD560" s="23">
        <v>989</v>
      </c>
      <c r="AE560" s="23">
        <f t="shared" si="161"/>
        <v>34654.559999999998</v>
      </c>
      <c r="AF560" s="26">
        <v>827</v>
      </c>
      <c r="AG560" s="26">
        <f t="shared" si="163"/>
        <v>28266.86</v>
      </c>
      <c r="AH560" s="23">
        <v>788</v>
      </c>
      <c r="AI560" s="23">
        <f t="shared" si="162"/>
        <v>26240.399999999998</v>
      </c>
      <c r="AJ560" s="23">
        <v>835</v>
      </c>
      <c r="AK560" s="23">
        <f t="shared" si="152"/>
        <v>30018.250000000004</v>
      </c>
      <c r="AL560" s="26">
        <v>809</v>
      </c>
      <c r="AM560" s="26">
        <f t="shared" si="153"/>
        <v>29666.030000000002</v>
      </c>
      <c r="AN560" s="12">
        <f t="shared" si="154"/>
        <v>11516</v>
      </c>
      <c r="AO560" s="22">
        <f t="shared" si="155"/>
        <v>406429.31000000006</v>
      </c>
    </row>
    <row r="561" spans="1:41" s="31" customFormat="1" x14ac:dyDescent="0.5">
      <c r="A561" s="19">
        <v>557</v>
      </c>
      <c r="B561" s="20" t="s">
        <v>965</v>
      </c>
      <c r="C561" s="21" t="s">
        <v>966</v>
      </c>
      <c r="D561" s="16">
        <v>1076</v>
      </c>
      <c r="E561" s="16">
        <v>12</v>
      </c>
      <c r="F561" s="22">
        <v>1199</v>
      </c>
      <c r="G561" s="22">
        <f t="shared" si="166"/>
        <v>37312.880000000005</v>
      </c>
      <c r="H561" s="22">
        <v>826</v>
      </c>
      <c r="I561" s="23">
        <f t="shared" si="167"/>
        <v>26770.659999999996</v>
      </c>
      <c r="J561" s="22">
        <v>608</v>
      </c>
      <c r="K561" s="22">
        <f t="shared" si="168"/>
        <v>20070.079999999998</v>
      </c>
      <c r="L561" s="22">
        <v>437</v>
      </c>
      <c r="M561" s="24">
        <f t="shared" si="169"/>
        <v>15347.439999999999</v>
      </c>
      <c r="N561" s="23">
        <v>305</v>
      </c>
      <c r="O561" s="23">
        <f t="shared" si="170"/>
        <v>11666.25</v>
      </c>
      <c r="P561" s="22">
        <v>387</v>
      </c>
      <c r="Q561" s="22">
        <f t="shared" si="164"/>
        <v>16254</v>
      </c>
      <c r="R561" s="25"/>
      <c r="S561" s="25">
        <f t="shared" si="165"/>
        <v>0</v>
      </c>
      <c r="T561" s="25">
        <v>690</v>
      </c>
      <c r="U561" s="25">
        <f>T561*33.7</f>
        <v>23253.000000000004</v>
      </c>
      <c r="V561" s="23">
        <v>535</v>
      </c>
      <c r="W561" s="23">
        <f t="shared" si="157"/>
        <v>17548</v>
      </c>
      <c r="X561" s="23">
        <v>639</v>
      </c>
      <c r="Y561" s="23">
        <f t="shared" si="158"/>
        <v>22460.85</v>
      </c>
      <c r="Z561" s="23">
        <v>502</v>
      </c>
      <c r="AA561" s="23">
        <f t="shared" si="159"/>
        <v>17399.32</v>
      </c>
      <c r="AB561" s="23">
        <v>531</v>
      </c>
      <c r="AC561" s="23">
        <f t="shared" si="160"/>
        <v>19142.55</v>
      </c>
      <c r="AD561" s="23">
        <v>724</v>
      </c>
      <c r="AE561" s="23">
        <f t="shared" si="161"/>
        <v>25368.959999999999</v>
      </c>
      <c r="AF561" s="26">
        <v>1026</v>
      </c>
      <c r="AG561" s="26">
        <f t="shared" si="163"/>
        <v>35068.68</v>
      </c>
      <c r="AH561" s="23">
        <v>1000</v>
      </c>
      <c r="AI561" s="23">
        <f t="shared" si="162"/>
        <v>33300</v>
      </c>
      <c r="AJ561" s="23">
        <v>1138</v>
      </c>
      <c r="AK561" s="23">
        <f t="shared" si="152"/>
        <v>40911.100000000006</v>
      </c>
      <c r="AL561" s="26">
        <v>988</v>
      </c>
      <c r="AM561" s="26">
        <f t="shared" si="153"/>
        <v>36229.96</v>
      </c>
      <c r="AN561" s="12">
        <f t="shared" si="154"/>
        <v>11535</v>
      </c>
      <c r="AO561" s="22">
        <f t="shared" si="155"/>
        <v>398103.73000000004</v>
      </c>
    </row>
    <row r="562" spans="1:41" s="31" customFormat="1" x14ac:dyDescent="0.5">
      <c r="A562" s="19">
        <v>558</v>
      </c>
      <c r="B562" s="20" t="s">
        <v>967</v>
      </c>
      <c r="C562" s="21" t="s">
        <v>968</v>
      </c>
      <c r="D562" s="16">
        <v>1120</v>
      </c>
      <c r="E562" s="16">
        <v>12</v>
      </c>
      <c r="F562" s="22"/>
      <c r="G562" s="22">
        <f t="shared" si="166"/>
        <v>0</v>
      </c>
      <c r="H562" s="22"/>
      <c r="I562" s="23">
        <f t="shared" si="167"/>
        <v>0</v>
      </c>
      <c r="J562" s="22"/>
      <c r="K562" s="22">
        <f t="shared" si="168"/>
        <v>0</v>
      </c>
      <c r="L562" s="22"/>
      <c r="M562" s="24">
        <f t="shared" si="169"/>
        <v>0</v>
      </c>
      <c r="N562" s="23"/>
      <c r="O562" s="23">
        <f t="shared" si="170"/>
        <v>0</v>
      </c>
      <c r="P562" s="22"/>
      <c r="Q562" s="22">
        <f t="shared" si="164"/>
        <v>0</v>
      </c>
      <c r="R562" s="25"/>
      <c r="S562" s="25">
        <f t="shared" si="165"/>
        <v>0</v>
      </c>
      <c r="T562" s="25"/>
      <c r="U562" s="25">
        <f>T562*33.7</f>
        <v>0</v>
      </c>
      <c r="V562" s="23"/>
      <c r="W562" s="23">
        <f t="shared" si="157"/>
        <v>0</v>
      </c>
      <c r="X562" s="23"/>
      <c r="Y562" s="23">
        <f t="shared" si="158"/>
        <v>0</v>
      </c>
      <c r="Z562" s="23"/>
      <c r="AA562" s="23">
        <f t="shared" si="159"/>
        <v>0</v>
      </c>
      <c r="AB562" s="23"/>
      <c r="AC562" s="23">
        <f t="shared" si="160"/>
        <v>0</v>
      </c>
      <c r="AD562" s="23"/>
      <c r="AE562" s="23">
        <f t="shared" si="161"/>
        <v>0</v>
      </c>
      <c r="AF562" s="26"/>
      <c r="AG562" s="26">
        <f t="shared" si="163"/>
        <v>0</v>
      </c>
      <c r="AH562" s="23">
        <v>1067</v>
      </c>
      <c r="AI562" s="23">
        <f t="shared" si="162"/>
        <v>35531.1</v>
      </c>
      <c r="AJ562" s="23">
        <v>1612</v>
      </c>
      <c r="AK562" s="23">
        <f t="shared" si="152"/>
        <v>57951.4</v>
      </c>
      <c r="AL562" s="26">
        <v>2033</v>
      </c>
      <c r="AM562" s="26">
        <f t="shared" si="153"/>
        <v>74550.11</v>
      </c>
      <c r="AN562" s="12">
        <f t="shared" si="154"/>
        <v>4712</v>
      </c>
      <c r="AO562" s="22">
        <f t="shared" si="155"/>
        <v>168032.61</v>
      </c>
    </row>
    <row r="563" spans="1:41" x14ac:dyDescent="0.5">
      <c r="A563" s="19"/>
      <c r="B563" s="43" t="s">
        <v>17</v>
      </c>
      <c r="C563" s="44"/>
      <c r="D563" s="45"/>
      <c r="E563" s="45"/>
      <c r="F563" s="46">
        <f>SUM(F5:F562)</f>
        <v>327067</v>
      </c>
      <c r="G563" s="46">
        <f t="shared" ref="G563:AO563" si="171">SUM(G5:G562)</f>
        <v>10178325.039999995</v>
      </c>
      <c r="H563" s="46">
        <f t="shared" si="171"/>
        <v>171978</v>
      </c>
      <c r="I563" s="46">
        <f t="shared" si="171"/>
        <v>5573806.9800000051</v>
      </c>
      <c r="J563" s="46">
        <f t="shared" si="171"/>
        <v>127454</v>
      </c>
      <c r="K563" s="46">
        <f t="shared" si="171"/>
        <v>4207256.54</v>
      </c>
      <c r="L563" s="46">
        <f t="shared" si="171"/>
        <v>93277</v>
      </c>
      <c r="M563" s="46">
        <f t="shared" si="171"/>
        <v>3275888.24</v>
      </c>
      <c r="N563" s="46">
        <f t="shared" si="171"/>
        <v>143231</v>
      </c>
      <c r="O563" s="46">
        <f t="shared" si="171"/>
        <v>5478585.75</v>
      </c>
      <c r="P563" s="46">
        <f t="shared" si="171"/>
        <v>267264</v>
      </c>
      <c r="Q563" s="46">
        <f t="shared" si="171"/>
        <v>11225088</v>
      </c>
      <c r="R563" s="46">
        <f t="shared" si="171"/>
        <v>275761</v>
      </c>
      <c r="S563" s="46">
        <f t="shared" si="171"/>
        <v>10671950.700000003</v>
      </c>
      <c r="T563" s="46">
        <f t="shared" si="171"/>
        <v>317366</v>
      </c>
      <c r="U563" s="46">
        <f t="shared" si="171"/>
        <v>10695234.200000007</v>
      </c>
      <c r="V563" s="46">
        <f t="shared" si="171"/>
        <v>332009</v>
      </c>
      <c r="W563" s="46">
        <f t="shared" si="171"/>
        <v>10889895.199999996</v>
      </c>
      <c r="X563" s="46">
        <f t="shared" si="171"/>
        <v>338645</v>
      </c>
      <c r="Y563" s="46">
        <f t="shared" si="171"/>
        <v>11903371.75</v>
      </c>
      <c r="Z563" s="46">
        <f t="shared" si="171"/>
        <v>280814</v>
      </c>
      <c r="AA563" s="46">
        <f t="shared" si="171"/>
        <v>9733013.2399999984</v>
      </c>
      <c r="AB563" s="46">
        <f t="shared" si="171"/>
        <v>209059</v>
      </c>
      <c r="AC563" s="46">
        <f t="shared" si="171"/>
        <v>7536576.9500000002</v>
      </c>
      <c r="AD563" s="46">
        <f t="shared" si="171"/>
        <v>346674</v>
      </c>
      <c r="AE563" s="46">
        <f t="shared" si="171"/>
        <v>12147456.959999999</v>
      </c>
      <c r="AF563" s="46">
        <f t="shared" si="171"/>
        <v>375228</v>
      </c>
      <c r="AG563" s="46">
        <f t="shared" si="171"/>
        <v>12825293.040000005</v>
      </c>
      <c r="AH563" s="46">
        <f t="shared" si="171"/>
        <v>337920</v>
      </c>
      <c r="AI563" s="46">
        <f t="shared" si="171"/>
        <v>11252736.000000004</v>
      </c>
      <c r="AJ563" s="46">
        <f t="shared" si="171"/>
        <v>389004</v>
      </c>
      <c r="AK563" s="46">
        <f t="shared" si="171"/>
        <v>13984693.800000016</v>
      </c>
      <c r="AL563" s="46">
        <f t="shared" si="171"/>
        <v>406272</v>
      </c>
      <c r="AM563" s="46">
        <f t="shared" si="171"/>
        <v>14897994.239999996</v>
      </c>
      <c r="AN563" s="47">
        <f t="shared" si="154"/>
        <v>4739023</v>
      </c>
      <c r="AO563" s="46">
        <f t="shared" si="155"/>
        <v>166477166.63000003</v>
      </c>
    </row>
    <row r="564" spans="1:41" s="31" customFormat="1" x14ac:dyDescent="0.5">
      <c r="A564" s="48"/>
      <c r="J564" s="49"/>
    </row>
  </sheetData>
  <mergeCells count="42">
    <mergeCell ref="B563:C563"/>
    <mergeCell ref="AH3:AI3"/>
    <mergeCell ref="AJ3:AK3"/>
    <mergeCell ref="AL3:AM3"/>
    <mergeCell ref="V3:W3"/>
    <mergeCell ref="X3:Y3"/>
    <mergeCell ref="Z3:AA3"/>
    <mergeCell ref="AB3:AC3"/>
    <mergeCell ref="AD3:AE3"/>
    <mergeCell ref="AF3:AG3"/>
    <mergeCell ref="AN2:AN3"/>
    <mergeCell ref="AO2:AO3"/>
    <mergeCell ref="F3:G3"/>
    <mergeCell ref="H3:I3"/>
    <mergeCell ref="J3:K3"/>
    <mergeCell ref="L3:M3"/>
    <mergeCell ref="N3:O3"/>
    <mergeCell ref="P3:Q3"/>
    <mergeCell ref="R3:S3"/>
    <mergeCell ref="T3:U3"/>
    <mergeCell ref="AF2:AG2"/>
    <mergeCell ref="AH2:AI2"/>
    <mergeCell ref="AJ2:AK2"/>
    <mergeCell ref="AL2:AM2"/>
    <mergeCell ref="T2:U2"/>
    <mergeCell ref="V2:W2"/>
    <mergeCell ref="X2:Y2"/>
    <mergeCell ref="Z2:AA2"/>
    <mergeCell ref="AB2:AC2"/>
    <mergeCell ref="AD2:AE2"/>
    <mergeCell ref="H2:I2"/>
    <mergeCell ref="J2:K2"/>
    <mergeCell ref="L2:M2"/>
    <mergeCell ref="N2:O2"/>
    <mergeCell ref="P2:Q2"/>
    <mergeCell ref="R2:S2"/>
    <mergeCell ref="A2:A4"/>
    <mergeCell ref="B2:C4"/>
    <mergeCell ref="D2:D4"/>
    <mergeCell ref="E2:E4"/>
    <mergeCell ref="F2:G2"/>
    <mergeCell ref="A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DC37-6376-4B78-9206-6E0384E07B44}">
  <dimension ref="A1:BT377"/>
  <sheetViews>
    <sheetView tabSelected="1" workbookViewId="0">
      <selection activeCell="AS18" sqref="AS18"/>
    </sheetView>
  </sheetViews>
  <sheetFormatPr defaultColWidth="9" defaultRowHeight="23.25" x14ac:dyDescent="0.5"/>
  <cols>
    <col min="1" max="1" width="5.625" style="31" customWidth="1"/>
    <col min="2" max="2" width="18.25" style="31" customWidth="1"/>
    <col min="3" max="3" width="24.875" style="31" customWidth="1"/>
    <col min="4" max="4" width="10.625" style="31" customWidth="1"/>
    <col min="5" max="5" width="14.125" style="31" customWidth="1"/>
    <col min="6" max="6" width="10.625" style="31" customWidth="1"/>
    <col min="7" max="7" width="12.375" style="31" customWidth="1"/>
    <col min="8" max="8" width="10.625" style="31" customWidth="1"/>
    <col min="9" max="9" width="13.375" style="31" customWidth="1"/>
    <col min="10" max="10" width="12.625" style="31" customWidth="1"/>
    <col min="11" max="11" width="13.125" style="31" customWidth="1"/>
    <col min="12" max="12" width="10.625" style="1" customWidth="1"/>
    <col min="13" max="13" width="14.75" style="1" customWidth="1"/>
    <col min="14" max="14" width="10.625" style="31" customWidth="1"/>
    <col min="15" max="15" width="12.375" style="31" customWidth="1"/>
    <col min="16" max="16" width="10.625" style="31" customWidth="1"/>
    <col min="17" max="17" width="12.75" style="31" customWidth="1"/>
    <col min="18" max="18" width="10.625" style="31" customWidth="1"/>
    <col min="19" max="19" width="12.875" style="31" customWidth="1"/>
    <col min="20" max="20" width="10.625" style="31" customWidth="1"/>
    <col min="21" max="21" width="14.375" style="31" customWidth="1"/>
    <col min="22" max="22" width="12.375" style="31" customWidth="1"/>
    <col min="23" max="23" width="14.375" style="31" customWidth="1"/>
    <col min="24" max="24" width="10.625" style="31" customWidth="1"/>
    <col min="25" max="25" width="14.75" style="31" customWidth="1"/>
    <col min="26" max="26" width="11.125" style="31" customWidth="1"/>
    <col min="27" max="27" width="13.625" style="31" customWidth="1"/>
    <col min="28" max="28" width="12.625" style="31" customWidth="1"/>
    <col min="29" max="29" width="14" style="31" customWidth="1"/>
    <col min="30" max="30" width="10.625" style="31" customWidth="1"/>
    <col min="31" max="31" width="13.875" style="31" customWidth="1"/>
    <col min="32" max="32" width="11.25" style="31" customWidth="1"/>
    <col min="33" max="33" width="14.75" style="31" customWidth="1"/>
    <col min="34" max="34" width="11.625" style="31" customWidth="1"/>
    <col min="35" max="35" width="14.375" style="31" customWidth="1"/>
    <col min="36" max="36" width="10.625" style="31" customWidth="1"/>
    <col min="37" max="37" width="12.375" style="31" customWidth="1"/>
    <col min="38" max="38" width="12.375" style="114" customWidth="1"/>
    <col min="39" max="39" width="14.75" style="114" customWidth="1"/>
    <col min="40" max="16384" width="9" style="31"/>
  </cols>
  <sheetData>
    <row r="1" spans="1:39" x14ac:dyDescent="0.5">
      <c r="A1" s="90" t="s">
        <v>969</v>
      </c>
      <c r="B1" s="90"/>
      <c r="D1" s="51"/>
      <c r="E1" s="51"/>
      <c r="F1" s="52"/>
      <c r="G1" s="51"/>
      <c r="H1" s="52"/>
      <c r="I1" s="51"/>
      <c r="J1" s="52"/>
      <c r="K1" s="52"/>
      <c r="L1" s="52"/>
      <c r="M1" s="52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3"/>
      <c r="AE1" s="51"/>
      <c r="AF1" s="51"/>
      <c r="AG1" s="53"/>
      <c r="AH1" s="53"/>
      <c r="AI1" s="51"/>
      <c r="AJ1" s="53"/>
      <c r="AK1" s="51" t="s">
        <v>970</v>
      </c>
      <c r="AL1" s="53"/>
      <c r="AM1" s="30"/>
    </row>
    <row r="2" spans="1:39" x14ac:dyDescent="0.5">
      <c r="A2" s="54" t="s">
        <v>971</v>
      </c>
      <c r="B2" s="55" t="s">
        <v>972</v>
      </c>
      <c r="C2" s="56"/>
      <c r="D2" s="57" t="s">
        <v>973</v>
      </c>
      <c r="E2" s="58"/>
      <c r="F2" s="57" t="s">
        <v>5</v>
      </c>
      <c r="G2" s="58"/>
      <c r="H2" s="59" t="s">
        <v>5</v>
      </c>
      <c r="I2" s="60"/>
      <c r="J2" s="61" t="s">
        <v>6</v>
      </c>
      <c r="K2" s="62"/>
      <c r="L2" s="61" t="s">
        <v>7</v>
      </c>
      <c r="M2" s="63"/>
      <c r="N2" s="59" t="s">
        <v>8</v>
      </c>
      <c r="O2" s="60"/>
      <c r="P2" s="59" t="s">
        <v>8</v>
      </c>
      <c r="Q2" s="64"/>
      <c r="R2" s="59" t="s">
        <v>9</v>
      </c>
      <c r="S2" s="60"/>
      <c r="T2" s="59" t="s">
        <v>9</v>
      </c>
      <c r="U2" s="60"/>
      <c r="V2" s="59" t="s">
        <v>10</v>
      </c>
      <c r="W2" s="60"/>
      <c r="X2" s="65" t="s">
        <v>11</v>
      </c>
      <c r="Y2" s="64"/>
      <c r="Z2" s="64" t="s">
        <v>13</v>
      </c>
      <c r="AA2" s="60"/>
      <c r="AB2" s="57" t="s">
        <v>13</v>
      </c>
      <c r="AC2" s="66"/>
      <c r="AD2" s="67" t="s">
        <v>14</v>
      </c>
      <c r="AE2" s="68"/>
      <c r="AF2" s="69" t="s">
        <v>14</v>
      </c>
      <c r="AG2" s="70"/>
      <c r="AH2" s="57" t="s">
        <v>16</v>
      </c>
      <c r="AI2" s="58"/>
      <c r="AJ2" s="69" t="s">
        <v>16</v>
      </c>
      <c r="AK2" s="71"/>
      <c r="AL2" s="110" t="s">
        <v>17</v>
      </c>
      <c r="AM2" s="124" t="s">
        <v>1550</v>
      </c>
    </row>
    <row r="3" spans="1:39" x14ac:dyDescent="0.5">
      <c r="A3" s="72"/>
      <c r="B3" s="73"/>
      <c r="C3" s="74"/>
      <c r="D3" s="57" t="s">
        <v>974</v>
      </c>
      <c r="E3" s="58"/>
      <c r="F3" s="59" t="s">
        <v>975</v>
      </c>
      <c r="G3" s="60"/>
      <c r="H3" s="59" t="s">
        <v>976</v>
      </c>
      <c r="I3" s="60"/>
      <c r="J3" s="61" t="s">
        <v>977</v>
      </c>
      <c r="K3" s="62"/>
      <c r="L3" s="61" t="s">
        <v>22</v>
      </c>
      <c r="M3" s="62"/>
      <c r="N3" s="59" t="s">
        <v>19</v>
      </c>
      <c r="O3" s="60"/>
      <c r="P3" s="59" t="s">
        <v>23</v>
      </c>
      <c r="Q3" s="64"/>
      <c r="R3" s="59" t="s">
        <v>24</v>
      </c>
      <c r="S3" s="60"/>
      <c r="T3" s="59" t="s">
        <v>25</v>
      </c>
      <c r="U3" s="60"/>
      <c r="V3" s="59" t="s">
        <v>26</v>
      </c>
      <c r="W3" s="60"/>
      <c r="X3" s="65" t="s">
        <v>24</v>
      </c>
      <c r="Y3" s="60"/>
      <c r="Z3" s="59" t="s">
        <v>27</v>
      </c>
      <c r="AA3" s="60"/>
      <c r="AB3" s="57" t="s">
        <v>28</v>
      </c>
      <c r="AC3" s="58"/>
      <c r="AD3" s="67" t="s">
        <v>978</v>
      </c>
      <c r="AE3" s="75"/>
      <c r="AF3" s="69" t="s">
        <v>29</v>
      </c>
      <c r="AG3" s="70"/>
      <c r="AH3" s="57" t="s">
        <v>30</v>
      </c>
      <c r="AI3" s="58"/>
      <c r="AJ3" s="69" t="s">
        <v>29</v>
      </c>
      <c r="AK3" s="70"/>
      <c r="AL3" s="111"/>
      <c r="AM3" s="125"/>
    </row>
    <row r="4" spans="1:39" x14ac:dyDescent="0.5">
      <c r="A4" s="76"/>
      <c r="B4" s="77"/>
      <c r="C4" s="78"/>
      <c r="D4" s="79" t="s">
        <v>31</v>
      </c>
      <c r="E4" s="79" t="s">
        <v>32</v>
      </c>
      <c r="F4" s="80" t="s">
        <v>31</v>
      </c>
      <c r="G4" s="79" t="s">
        <v>32</v>
      </c>
      <c r="H4" s="80" t="s">
        <v>31</v>
      </c>
      <c r="I4" s="79" t="s">
        <v>32</v>
      </c>
      <c r="J4" s="80" t="s">
        <v>31</v>
      </c>
      <c r="K4" s="80" t="s">
        <v>32</v>
      </c>
      <c r="L4" s="80" t="s">
        <v>31</v>
      </c>
      <c r="M4" s="80" t="s">
        <v>32</v>
      </c>
      <c r="N4" s="79" t="s">
        <v>31</v>
      </c>
      <c r="O4" s="80" t="s">
        <v>32</v>
      </c>
      <c r="P4" s="79" t="s">
        <v>31</v>
      </c>
      <c r="Q4" s="80" t="s">
        <v>32</v>
      </c>
      <c r="R4" s="79" t="s">
        <v>31</v>
      </c>
      <c r="S4" s="80" t="s">
        <v>32</v>
      </c>
      <c r="T4" s="79" t="s">
        <v>31</v>
      </c>
      <c r="U4" s="80" t="s">
        <v>32</v>
      </c>
      <c r="V4" s="81" t="s">
        <v>31</v>
      </c>
      <c r="W4" s="80" t="s">
        <v>32</v>
      </c>
      <c r="X4" s="79" t="s">
        <v>31</v>
      </c>
      <c r="Y4" s="80" t="s">
        <v>32</v>
      </c>
      <c r="Z4" s="79" t="s">
        <v>31</v>
      </c>
      <c r="AA4" s="79" t="s">
        <v>32</v>
      </c>
      <c r="AB4" s="79" t="s">
        <v>31</v>
      </c>
      <c r="AC4" s="79" t="s">
        <v>32</v>
      </c>
      <c r="AD4" s="82" t="s">
        <v>31</v>
      </c>
      <c r="AE4" s="79" t="s">
        <v>32</v>
      </c>
      <c r="AF4" s="79" t="s">
        <v>31</v>
      </c>
      <c r="AG4" s="82" t="s">
        <v>32</v>
      </c>
      <c r="AH4" s="82" t="s">
        <v>31</v>
      </c>
      <c r="AI4" s="79" t="s">
        <v>32</v>
      </c>
      <c r="AJ4" s="82" t="s">
        <v>31</v>
      </c>
      <c r="AK4" s="79" t="s">
        <v>32</v>
      </c>
      <c r="AL4" s="112" t="s">
        <v>34</v>
      </c>
      <c r="AM4" s="126" t="s">
        <v>35</v>
      </c>
    </row>
    <row r="5" spans="1:39" x14ac:dyDescent="0.5">
      <c r="A5" s="16">
        <v>1</v>
      </c>
      <c r="B5" s="83" t="s">
        <v>979</v>
      </c>
      <c r="C5" s="84" t="s">
        <v>980</v>
      </c>
      <c r="D5" s="85">
        <v>2378</v>
      </c>
      <c r="E5" s="85">
        <f>D5*31.12</f>
        <v>74003.360000000001</v>
      </c>
      <c r="F5" s="86"/>
      <c r="G5" s="85">
        <f>F5*32.41</f>
        <v>0</v>
      </c>
      <c r="H5" s="86">
        <v>1068</v>
      </c>
      <c r="I5" s="85">
        <f>H5*33.01</f>
        <v>35254.68</v>
      </c>
      <c r="J5" s="86"/>
      <c r="K5" s="86">
        <f>J5*35.12</f>
        <v>0</v>
      </c>
      <c r="L5" s="86"/>
      <c r="M5" s="86">
        <f>L5*38.25</f>
        <v>0</v>
      </c>
      <c r="N5" s="85"/>
      <c r="O5" s="86">
        <f>N5*42</f>
        <v>0</v>
      </c>
      <c r="P5" s="85"/>
      <c r="Q5" s="86">
        <f>P5*38.7</f>
        <v>0</v>
      </c>
      <c r="R5" s="85">
        <v>2536</v>
      </c>
      <c r="S5" s="86">
        <f>R5*33.7</f>
        <v>85463.200000000012</v>
      </c>
      <c r="T5" s="85">
        <v>1625</v>
      </c>
      <c r="U5" s="86">
        <f>T5*32.8</f>
        <v>53299.999999999993</v>
      </c>
      <c r="V5" s="87">
        <v>2064</v>
      </c>
      <c r="W5" s="86">
        <f>V5*35.15</f>
        <v>72549.599999999991</v>
      </c>
      <c r="X5" s="85">
        <v>2220</v>
      </c>
      <c r="Y5" s="86">
        <f>X5*34.66</f>
        <v>76945.2</v>
      </c>
      <c r="Z5" s="85">
        <v>1868</v>
      </c>
      <c r="AA5" s="85">
        <f>Z5*36.05</f>
        <v>67341.399999999994</v>
      </c>
      <c r="AB5" s="88">
        <v>2104</v>
      </c>
      <c r="AC5" s="85">
        <f>AB5*35.04</f>
        <v>73724.160000000003</v>
      </c>
      <c r="AD5" s="89">
        <v>2855</v>
      </c>
      <c r="AE5" s="85">
        <f>AD5*34.18</f>
        <v>97583.9</v>
      </c>
      <c r="AF5" s="85">
        <v>2111</v>
      </c>
      <c r="AG5" s="89">
        <f>AF5*33.3</f>
        <v>70296.299999999988</v>
      </c>
      <c r="AH5" s="89">
        <v>2398</v>
      </c>
      <c r="AI5" s="85">
        <f>AH5*35.95</f>
        <v>86208.1</v>
      </c>
      <c r="AJ5" s="89">
        <v>2623</v>
      </c>
      <c r="AK5" s="85">
        <f>AJ5*36.67</f>
        <v>96185.41</v>
      </c>
      <c r="AL5" s="113">
        <f>D5+F5+H5+J5+L5+N5+P5+R5+T5+V5+X5+Z5+AB5+AD5+AF5+AH5+AJ5</f>
        <v>25850</v>
      </c>
      <c r="AM5" s="23">
        <f>E5+G5+I5+K5+M5+O5+Q5+S5+U5+W5+Y5+AA5+AC5+AE5+AG5+AI5+AK5</f>
        <v>888855.31</v>
      </c>
    </row>
    <row r="6" spans="1:39" s="114" customFormat="1" x14ac:dyDescent="0.5">
      <c r="A6" s="16">
        <v>2</v>
      </c>
      <c r="B6" s="83" t="s">
        <v>981</v>
      </c>
      <c r="C6" s="84" t="s">
        <v>980</v>
      </c>
      <c r="D6" s="85"/>
      <c r="E6" s="85">
        <f t="shared" ref="E6:E70" si="0">D6*31.12</f>
        <v>0</v>
      </c>
      <c r="F6" s="86"/>
      <c r="G6" s="85">
        <f t="shared" ref="G6:G70" si="1">F6*32.41</f>
        <v>0</v>
      </c>
      <c r="H6" s="86"/>
      <c r="I6" s="85">
        <f t="shared" ref="I6:I70" si="2">H6*33.01</f>
        <v>0</v>
      </c>
      <c r="J6" s="86"/>
      <c r="K6" s="86">
        <f t="shared" ref="K6:K70" si="3">J6*35.12</f>
        <v>0</v>
      </c>
      <c r="L6" s="86"/>
      <c r="M6" s="86">
        <f t="shared" ref="M6:M70" si="4">L6*38.25</f>
        <v>0</v>
      </c>
      <c r="N6" s="85"/>
      <c r="O6" s="86">
        <f t="shared" ref="O6:O70" si="5">N6*42</f>
        <v>0</v>
      </c>
      <c r="P6" s="85"/>
      <c r="Q6" s="86">
        <f t="shared" ref="Q6:Q70" si="6">P6*38.7</f>
        <v>0</v>
      </c>
      <c r="R6" s="85"/>
      <c r="S6" s="86">
        <f t="shared" ref="S6:S70" si="7">R6*33.7</f>
        <v>0</v>
      </c>
      <c r="T6" s="85"/>
      <c r="U6" s="86">
        <f t="shared" ref="U6:U69" si="8">T6*32.8</f>
        <v>0</v>
      </c>
      <c r="V6" s="87"/>
      <c r="W6" s="86">
        <f t="shared" ref="W6:W69" si="9">V6*35.15</f>
        <v>0</v>
      </c>
      <c r="X6" s="85"/>
      <c r="Y6" s="86">
        <f t="shared" ref="Y6:Y69" si="10">X6*34.66</f>
        <v>0</v>
      </c>
      <c r="Z6" s="85"/>
      <c r="AA6" s="85">
        <f t="shared" ref="AA6:AA69" si="11">Z6*36.05</f>
        <v>0</v>
      </c>
      <c r="AB6" s="88"/>
      <c r="AC6" s="85">
        <f t="shared" ref="AC6:AC69" si="12">AB6*35.04</f>
        <v>0</v>
      </c>
      <c r="AD6" s="89"/>
      <c r="AE6" s="85">
        <f t="shared" ref="AE6:AE69" si="13">AD6*34.18</f>
        <v>0</v>
      </c>
      <c r="AF6" s="85"/>
      <c r="AG6" s="89">
        <f t="shared" ref="AG6:AG69" si="14">AF6*33.3</f>
        <v>0</v>
      </c>
      <c r="AH6" s="89"/>
      <c r="AI6" s="85">
        <f t="shared" ref="AI6:AI69" si="15">AH6*35.95</f>
        <v>0</v>
      </c>
      <c r="AJ6" s="89"/>
      <c r="AK6" s="85">
        <f t="shared" ref="AK6:AK69" si="16">AJ6*36.67</f>
        <v>0</v>
      </c>
      <c r="AL6" s="113">
        <f t="shared" ref="AL6:AL68" si="17">D6+F6+H6+J6+L6+N6+P6+R6+T6+V6+X6+Z6+AB6+AD6+AF6+AH6+AJ6</f>
        <v>0</v>
      </c>
      <c r="AM6" s="23">
        <f t="shared" ref="AM6:AM68" si="18">E6+G6+I6+K6+M6+O6+Q6+S6+U6+W6+Y6+AA6+AC6+AE6+AG6+AI6+AK6</f>
        <v>0</v>
      </c>
    </row>
    <row r="7" spans="1:39" s="114" customFormat="1" x14ac:dyDescent="0.5">
      <c r="A7" s="16">
        <v>3</v>
      </c>
      <c r="B7" s="83" t="s">
        <v>982</v>
      </c>
      <c r="C7" s="84" t="s">
        <v>983</v>
      </c>
      <c r="D7" s="85"/>
      <c r="E7" s="85">
        <f t="shared" si="0"/>
        <v>0</v>
      </c>
      <c r="F7" s="86"/>
      <c r="G7" s="85">
        <f t="shared" si="1"/>
        <v>0</v>
      </c>
      <c r="H7" s="86"/>
      <c r="I7" s="85">
        <f t="shared" si="2"/>
        <v>0</v>
      </c>
      <c r="J7" s="86"/>
      <c r="K7" s="86">
        <f t="shared" si="3"/>
        <v>0</v>
      </c>
      <c r="L7" s="86"/>
      <c r="M7" s="86">
        <f t="shared" si="4"/>
        <v>0</v>
      </c>
      <c r="N7" s="85"/>
      <c r="O7" s="86">
        <f t="shared" si="5"/>
        <v>0</v>
      </c>
      <c r="P7" s="85"/>
      <c r="Q7" s="86">
        <f t="shared" si="6"/>
        <v>0</v>
      </c>
      <c r="R7" s="85"/>
      <c r="S7" s="86">
        <f t="shared" si="7"/>
        <v>0</v>
      </c>
      <c r="T7" s="85"/>
      <c r="U7" s="86">
        <f t="shared" si="8"/>
        <v>0</v>
      </c>
      <c r="V7" s="87"/>
      <c r="W7" s="86">
        <f t="shared" si="9"/>
        <v>0</v>
      </c>
      <c r="X7" s="85"/>
      <c r="Y7" s="86">
        <f t="shared" si="10"/>
        <v>0</v>
      </c>
      <c r="Z7" s="85"/>
      <c r="AA7" s="85">
        <f t="shared" si="11"/>
        <v>0</v>
      </c>
      <c r="AB7" s="88"/>
      <c r="AC7" s="85">
        <f t="shared" si="12"/>
        <v>0</v>
      </c>
      <c r="AD7" s="89"/>
      <c r="AE7" s="85">
        <f t="shared" si="13"/>
        <v>0</v>
      </c>
      <c r="AF7" s="85"/>
      <c r="AG7" s="89">
        <f t="shared" si="14"/>
        <v>0</v>
      </c>
      <c r="AH7" s="89"/>
      <c r="AI7" s="85">
        <f t="shared" si="15"/>
        <v>0</v>
      </c>
      <c r="AJ7" s="89"/>
      <c r="AK7" s="85">
        <f t="shared" si="16"/>
        <v>0</v>
      </c>
      <c r="AL7" s="113">
        <f t="shared" si="17"/>
        <v>0</v>
      </c>
      <c r="AM7" s="23">
        <f t="shared" si="18"/>
        <v>0</v>
      </c>
    </row>
    <row r="8" spans="1:39" x14ac:dyDescent="0.5">
      <c r="A8" s="16">
        <v>4</v>
      </c>
      <c r="B8" s="83" t="s">
        <v>984</v>
      </c>
      <c r="C8" s="84" t="s">
        <v>985</v>
      </c>
      <c r="D8" s="85">
        <v>238</v>
      </c>
      <c r="E8" s="85">
        <f t="shared" si="0"/>
        <v>7406.56</v>
      </c>
      <c r="F8" s="86"/>
      <c r="G8" s="85">
        <f t="shared" si="1"/>
        <v>0</v>
      </c>
      <c r="H8" s="86"/>
      <c r="I8" s="85">
        <f t="shared" si="2"/>
        <v>0</v>
      </c>
      <c r="J8" s="86"/>
      <c r="K8" s="86">
        <f t="shared" si="3"/>
        <v>0</v>
      </c>
      <c r="L8" s="86"/>
      <c r="M8" s="86">
        <f t="shared" si="4"/>
        <v>0</v>
      </c>
      <c r="N8" s="85"/>
      <c r="O8" s="86">
        <f t="shared" si="5"/>
        <v>0</v>
      </c>
      <c r="P8" s="85"/>
      <c r="Q8" s="86">
        <f t="shared" si="6"/>
        <v>0</v>
      </c>
      <c r="R8" s="85">
        <v>233</v>
      </c>
      <c r="S8" s="86">
        <f t="shared" si="7"/>
        <v>7852.1</v>
      </c>
      <c r="T8" s="85">
        <v>665</v>
      </c>
      <c r="U8" s="86">
        <f t="shared" si="8"/>
        <v>21811.999999999996</v>
      </c>
      <c r="V8" s="87">
        <v>1079</v>
      </c>
      <c r="W8" s="86">
        <f t="shared" si="9"/>
        <v>37926.85</v>
      </c>
      <c r="X8" s="85">
        <v>752</v>
      </c>
      <c r="Y8" s="86">
        <f t="shared" si="10"/>
        <v>26064.319999999996</v>
      </c>
      <c r="Z8" s="85">
        <v>489</v>
      </c>
      <c r="AA8" s="85">
        <f t="shared" si="11"/>
        <v>17628.449999999997</v>
      </c>
      <c r="AB8" s="88">
        <v>633</v>
      </c>
      <c r="AC8" s="85">
        <f t="shared" si="12"/>
        <v>22180.32</v>
      </c>
      <c r="AD8" s="89">
        <v>905</v>
      </c>
      <c r="AE8" s="85">
        <f t="shared" si="13"/>
        <v>30932.9</v>
      </c>
      <c r="AF8" s="85">
        <v>912</v>
      </c>
      <c r="AG8" s="89">
        <f t="shared" si="14"/>
        <v>30369.599999999999</v>
      </c>
      <c r="AH8" s="89"/>
      <c r="AI8" s="85">
        <f t="shared" si="15"/>
        <v>0</v>
      </c>
      <c r="AJ8" s="89">
        <v>795</v>
      </c>
      <c r="AK8" s="85">
        <f t="shared" si="16"/>
        <v>29152.65</v>
      </c>
      <c r="AL8" s="113">
        <f t="shared" si="17"/>
        <v>6701</v>
      </c>
      <c r="AM8" s="23">
        <f t="shared" si="18"/>
        <v>231325.74999999997</v>
      </c>
    </row>
    <row r="9" spans="1:39" s="114" customFormat="1" x14ac:dyDescent="0.5">
      <c r="A9" s="16">
        <v>5</v>
      </c>
      <c r="B9" s="83" t="s">
        <v>986</v>
      </c>
      <c r="C9" s="84" t="s">
        <v>987</v>
      </c>
      <c r="D9" s="85"/>
      <c r="E9" s="85">
        <f t="shared" si="0"/>
        <v>0</v>
      </c>
      <c r="F9" s="86"/>
      <c r="G9" s="85">
        <f t="shared" si="1"/>
        <v>0</v>
      </c>
      <c r="H9" s="86"/>
      <c r="I9" s="85">
        <f t="shared" si="2"/>
        <v>0</v>
      </c>
      <c r="J9" s="86"/>
      <c r="K9" s="86">
        <f t="shared" si="3"/>
        <v>0</v>
      </c>
      <c r="L9" s="94"/>
      <c r="M9" s="86">
        <f t="shared" si="4"/>
        <v>0</v>
      </c>
      <c r="N9" s="85"/>
      <c r="O9" s="86">
        <f t="shared" si="5"/>
        <v>0</v>
      </c>
      <c r="P9" s="85"/>
      <c r="Q9" s="86">
        <f t="shared" si="6"/>
        <v>0</v>
      </c>
      <c r="R9" s="85"/>
      <c r="S9" s="86">
        <f t="shared" si="7"/>
        <v>0</v>
      </c>
      <c r="T9" s="85"/>
      <c r="U9" s="86">
        <f t="shared" si="8"/>
        <v>0</v>
      </c>
      <c r="V9" s="87"/>
      <c r="W9" s="86">
        <f t="shared" si="9"/>
        <v>0</v>
      </c>
      <c r="X9" s="85"/>
      <c r="Y9" s="86">
        <f t="shared" si="10"/>
        <v>0</v>
      </c>
      <c r="Z9" s="85"/>
      <c r="AA9" s="85">
        <f t="shared" si="11"/>
        <v>0</v>
      </c>
      <c r="AB9" s="88"/>
      <c r="AC9" s="85">
        <f t="shared" si="12"/>
        <v>0</v>
      </c>
      <c r="AD9" s="89"/>
      <c r="AE9" s="85">
        <f t="shared" si="13"/>
        <v>0</v>
      </c>
      <c r="AF9" s="85"/>
      <c r="AG9" s="89">
        <f t="shared" si="14"/>
        <v>0</v>
      </c>
      <c r="AH9" s="89"/>
      <c r="AI9" s="85">
        <f t="shared" si="15"/>
        <v>0</v>
      </c>
      <c r="AJ9" s="89"/>
      <c r="AK9" s="85">
        <f t="shared" si="16"/>
        <v>0</v>
      </c>
      <c r="AL9" s="113">
        <f t="shared" si="17"/>
        <v>0</v>
      </c>
      <c r="AM9" s="23">
        <f t="shared" si="18"/>
        <v>0</v>
      </c>
    </row>
    <row r="10" spans="1:39" s="114" customFormat="1" x14ac:dyDescent="0.5">
      <c r="A10" s="16">
        <v>6</v>
      </c>
      <c r="B10" s="83" t="s">
        <v>988</v>
      </c>
      <c r="C10" s="84" t="s">
        <v>989</v>
      </c>
      <c r="D10" s="85"/>
      <c r="E10" s="85">
        <f t="shared" si="0"/>
        <v>0</v>
      </c>
      <c r="F10" s="86"/>
      <c r="G10" s="85">
        <f t="shared" si="1"/>
        <v>0</v>
      </c>
      <c r="H10" s="86"/>
      <c r="I10" s="85">
        <f t="shared" si="2"/>
        <v>0</v>
      </c>
      <c r="J10" s="86"/>
      <c r="K10" s="86">
        <f t="shared" si="3"/>
        <v>0</v>
      </c>
      <c r="L10" s="94"/>
      <c r="M10" s="86">
        <f t="shared" si="4"/>
        <v>0</v>
      </c>
      <c r="N10" s="85"/>
      <c r="O10" s="86">
        <f t="shared" si="5"/>
        <v>0</v>
      </c>
      <c r="P10" s="93"/>
      <c r="Q10" s="86">
        <f t="shared" si="6"/>
        <v>0</v>
      </c>
      <c r="R10" s="85"/>
      <c r="S10" s="86">
        <f t="shared" si="7"/>
        <v>0</v>
      </c>
      <c r="T10" s="85"/>
      <c r="U10" s="86">
        <f t="shared" si="8"/>
        <v>0</v>
      </c>
      <c r="V10" s="87"/>
      <c r="W10" s="86">
        <f t="shared" si="9"/>
        <v>0</v>
      </c>
      <c r="X10" s="85"/>
      <c r="Y10" s="86">
        <f t="shared" si="10"/>
        <v>0</v>
      </c>
      <c r="Z10" s="85"/>
      <c r="AA10" s="85">
        <f t="shared" si="11"/>
        <v>0</v>
      </c>
      <c r="AB10" s="88"/>
      <c r="AC10" s="85">
        <f t="shared" si="12"/>
        <v>0</v>
      </c>
      <c r="AD10" s="89"/>
      <c r="AE10" s="85">
        <f t="shared" si="13"/>
        <v>0</v>
      </c>
      <c r="AF10" s="85"/>
      <c r="AG10" s="89">
        <f t="shared" si="14"/>
        <v>0</v>
      </c>
      <c r="AH10" s="89"/>
      <c r="AI10" s="85">
        <f t="shared" si="15"/>
        <v>0</v>
      </c>
      <c r="AJ10" s="89"/>
      <c r="AK10" s="85">
        <f t="shared" si="16"/>
        <v>0</v>
      </c>
      <c r="AL10" s="113">
        <f t="shared" si="17"/>
        <v>0</v>
      </c>
      <c r="AM10" s="23">
        <f t="shared" si="18"/>
        <v>0</v>
      </c>
    </row>
    <row r="11" spans="1:39" s="114" customFormat="1" x14ac:dyDescent="0.5">
      <c r="A11" s="16">
        <v>7</v>
      </c>
      <c r="B11" s="83" t="s">
        <v>990</v>
      </c>
      <c r="C11" s="84" t="s">
        <v>991</v>
      </c>
      <c r="D11" s="85"/>
      <c r="E11" s="85">
        <f t="shared" si="0"/>
        <v>0</v>
      </c>
      <c r="F11" s="86"/>
      <c r="G11" s="85">
        <f t="shared" si="1"/>
        <v>0</v>
      </c>
      <c r="H11" s="86"/>
      <c r="I11" s="85">
        <f t="shared" si="2"/>
        <v>0</v>
      </c>
      <c r="J11" s="86"/>
      <c r="K11" s="86">
        <f t="shared" si="3"/>
        <v>0</v>
      </c>
      <c r="L11" s="86"/>
      <c r="M11" s="86">
        <f t="shared" si="4"/>
        <v>0</v>
      </c>
      <c r="N11" s="85">
        <v>153</v>
      </c>
      <c r="O11" s="86">
        <f t="shared" si="5"/>
        <v>6426</v>
      </c>
      <c r="P11" s="85"/>
      <c r="Q11" s="86">
        <f t="shared" si="6"/>
        <v>0</v>
      </c>
      <c r="R11" s="85"/>
      <c r="S11" s="86">
        <f t="shared" si="7"/>
        <v>0</v>
      </c>
      <c r="T11" s="85"/>
      <c r="U11" s="86">
        <f t="shared" si="8"/>
        <v>0</v>
      </c>
      <c r="V11" s="87"/>
      <c r="W11" s="86">
        <f t="shared" si="9"/>
        <v>0</v>
      </c>
      <c r="X11" s="85"/>
      <c r="Y11" s="86">
        <f t="shared" si="10"/>
        <v>0</v>
      </c>
      <c r="Z11" s="85"/>
      <c r="AA11" s="85">
        <f t="shared" si="11"/>
        <v>0</v>
      </c>
      <c r="AB11" s="88"/>
      <c r="AC11" s="85">
        <f t="shared" si="12"/>
        <v>0</v>
      </c>
      <c r="AD11" s="89"/>
      <c r="AE11" s="85">
        <f t="shared" si="13"/>
        <v>0</v>
      </c>
      <c r="AF11" s="85"/>
      <c r="AG11" s="89">
        <f t="shared" si="14"/>
        <v>0</v>
      </c>
      <c r="AH11" s="89"/>
      <c r="AI11" s="85">
        <f t="shared" si="15"/>
        <v>0</v>
      </c>
      <c r="AJ11" s="89"/>
      <c r="AK11" s="85">
        <f t="shared" si="16"/>
        <v>0</v>
      </c>
      <c r="AL11" s="113">
        <f t="shared" si="17"/>
        <v>153</v>
      </c>
      <c r="AM11" s="23">
        <f t="shared" si="18"/>
        <v>6426</v>
      </c>
    </row>
    <row r="12" spans="1:39" s="114" customFormat="1" x14ac:dyDescent="0.5">
      <c r="A12" s="16">
        <v>8</v>
      </c>
      <c r="B12" s="83" t="s">
        <v>992</v>
      </c>
      <c r="C12" s="84" t="s">
        <v>993</v>
      </c>
      <c r="D12" s="85"/>
      <c r="E12" s="85">
        <f t="shared" si="0"/>
        <v>0</v>
      </c>
      <c r="F12" s="86"/>
      <c r="G12" s="85">
        <f t="shared" si="1"/>
        <v>0</v>
      </c>
      <c r="H12" s="86"/>
      <c r="I12" s="85">
        <f t="shared" si="2"/>
        <v>0</v>
      </c>
      <c r="J12" s="86"/>
      <c r="K12" s="86">
        <f t="shared" si="3"/>
        <v>0</v>
      </c>
      <c r="L12" s="86"/>
      <c r="M12" s="86">
        <f t="shared" si="4"/>
        <v>0</v>
      </c>
      <c r="N12" s="85"/>
      <c r="O12" s="86">
        <f t="shared" si="5"/>
        <v>0</v>
      </c>
      <c r="P12" s="85"/>
      <c r="Q12" s="86">
        <f t="shared" si="6"/>
        <v>0</v>
      </c>
      <c r="R12" s="85"/>
      <c r="S12" s="86">
        <f t="shared" si="7"/>
        <v>0</v>
      </c>
      <c r="T12" s="85"/>
      <c r="U12" s="86">
        <f t="shared" si="8"/>
        <v>0</v>
      </c>
      <c r="V12" s="87"/>
      <c r="W12" s="86">
        <f t="shared" si="9"/>
        <v>0</v>
      </c>
      <c r="X12" s="85"/>
      <c r="Y12" s="86">
        <f t="shared" si="10"/>
        <v>0</v>
      </c>
      <c r="Z12" s="85"/>
      <c r="AA12" s="85">
        <f t="shared" si="11"/>
        <v>0</v>
      </c>
      <c r="AB12" s="88"/>
      <c r="AC12" s="85">
        <f t="shared" si="12"/>
        <v>0</v>
      </c>
      <c r="AD12" s="89"/>
      <c r="AE12" s="85">
        <f t="shared" si="13"/>
        <v>0</v>
      </c>
      <c r="AF12" s="85"/>
      <c r="AG12" s="89">
        <f t="shared" si="14"/>
        <v>0</v>
      </c>
      <c r="AH12" s="89"/>
      <c r="AI12" s="85">
        <f t="shared" si="15"/>
        <v>0</v>
      </c>
      <c r="AJ12" s="89"/>
      <c r="AK12" s="85">
        <f t="shared" si="16"/>
        <v>0</v>
      </c>
      <c r="AL12" s="113">
        <f t="shared" si="17"/>
        <v>0</v>
      </c>
      <c r="AM12" s="23">
        <f t="shared" si="18"/>
        <v>0</v>
      </c>
    </row>
    <row r="13" spans="1:39" x14ac:dyDescent="0.5">
      <c r="A13" s="16">
        <v>9</v>
      </c>
      <c r="B13" s="83" t="s">
        <v>994</v>
      </c>
      <c r="C13" s="84" t="s">
        <v>995</v>
      </c>
      <c r="D13" s="85">
        <v>588</v>
      </c>
      <c r="E13" s="85">
        <f t="shared" si="0"/>
        <v>18298.560000000001</v>
      </c>
      <c r="F13" s="86">
        <v>289</v>
      </c>
      <c r="G13" s="85">
        <f t="shared" si="1"/>
        <v>9366.49</v>
      </c>
      <c r="H13" s="86">
        <v>405</v>
      </c>
      <c r="I13" s="85">
        <f t="shared" si="2"/>
        <v>13369.05</v>
      </c>
      <c r="J13" s="86">
        <v>295</v>
      </c>
      <c r="K13" s="86">
        <f t="shared" si="3"/>
        <v>10360.4</v>
      </c>
      <c r="L13" s="86">
        <v>200</v>
      </c>
      <c r="M13" s="86">
        <f t="shared" si="4"/>
        <v>7650</v>
      </c>
      <c r="N13" s="85">
        <v>274</v>
      </c>
      <c r="O13" s="86">
        <f t="shared" si="5"/>
        <v>11508</v>
      </c>
      <c r="P13" s="85">
        <v>267</v>
      </c>
      <c r="Q13" s="86">
        <f t="shared" si="6"/>
        <v>10332.900000000001</v>
      </c>
      <c r="R13" s="85">
        <v>523</v>
      </c>
      <c r="S13" s="86">
        <f t="shared" si="7"/>
        <v>17625.100000000002</v>
      </c>
      <c r="T13" s="85">
        <v>445</v>
      </c>
      <c r="U13" s="86">
        <f t="shared" si="8"/>
        <v>14595.999999999998</v>
      </c>
      <c r="V13" s="87">
        <v>624</v>
      </c>
      <c r="W13" s="86">
        <f t="shared" si="9"/>
        <v>21933.599999999999</v>
      </c>
      <c r="X13" s="85">
        <v>485</v>
      </c>
      <c r="Y13" s="86">
        <f t="shared" si="10"/>
        <v>16810.099999999999</v>
      </c>
      <c r="Z13" s="85">
        <v>341</v>
      </c>
      <c r="AA13" s="85">
        <f t="shared" si="11"/>
        <v>12293.05</v>
      </c>
      <c r="AB13" s="88">
        <v>290</v>
      </c>
      <c r="AC13" s="85">
        <f t="shared" si="12"/>
        <v>10161.6</v>
      </c>
      <c r="AD13" s="89">
        <v>408</v>
      </c>
      <c r="AE13" s="85">
        <f t="shared" si="13"/>
        <v>13945.44</v>
      </c>
      <c r="AF13" s="85">
        <v>395</v>
      </c>
      <c r="AG13" s="89">
        <f t="shared" si="14"/>
        <v>13153.499999999998</v>
      </c>
      <c r="AH13" s="89">
        <v>391</v>
      </c>
      <c r="AI13" s="85">
        <f t="shared" si="15"/>
        <v>14056.45</v>
      </c>
      <c r="AJ13" s="89"/>
      <c r="AK13" s="85">
        <f t="shared" si="16"/>
        <v>0</v>
      </c>
      <c r="AL13" s="113">
        <f t="shared" si="17"/>
        <v>6220</v>
      </c>
      <c r="AM13" s="23">
        <f t="shared" si="18"/>
        <v>215460.24000000002</v>
      </c>
    </row>
    <row r="14" spans="1:39" x14ac:dyDescent="0.5">
      <c r="A14" s="16">
        <v>10</v>
      </c>
      <c r="B14" s="83" t="s">
        <v>996</v>
      </c>
      <c r="C14" s="84" t="s">
        <v>997</v>
      </c>
      <c r="D14" s="85">
        <v>491</v>
      </c>
      <c r="E14" s="85">
        <f t="shared" si="0"/>
        <v>15279.92</v>
      </c>
      <c r="F14" s="86">
        <v>299</v>
      </c>
      <c r="G14" s="85">
        <f t="shared" si="1"/>
        <v>9690.5899999999983</v>
      </c>
      <c r="H14" s="86"/>
      <c r="I14" s="85">
        <f t="shared" si="2"/>
        <v>0</v>
      </c>
      <c r="J14" s="86">
        <v>323</v>
      </c>
      <c r="K14" s="86">
        <f t="shared" si="3"/>
        <v>11343.759999999998</v>
      </c>
      <c r="L14" s="86"/>
      <c r="M14" s="86">
        <f t="shared" si="4"/>
        <v>0</v>
      </c>
      <c r="N14" s="85">
        <v>569</v>
      </c>
      <c r="O14" s="86">
        <f t="shared" si="5"/>
        <v>23898</v>
      </c>
      <c r="P14" s="85"/>
      <c r="Q14" s="86">
        <f t="shared" si="6"/>
        <v>0</v>
      </c>
      <c r="R14" s="85">
        <v>769</v>
      </c>
      <c r="S14" s="86">
        <f t="shared" si="7"/>
        <v>25915.300000000003</v>
      </c>
      <c r="T14" s="85">
        <v>442</v>
      </c>
      <c r="U14" s="86">
        <f t="shared" si="8"/>
        <v>14497.599999999999</v>
      </c>
      <c r="V14" s="87">
        <v>452</v>
      </c>
      <c r="W14" s="86">
        <f t="shared" si="9"/>
        <v>15887.8</v>
      </c>
      <c r="X14" s="85">
        <v>390</v>
      </c>
      <c r="Y14" s="86">
        <f t="shared" si="10"/>
        <v>13517.399999999998</v>
      </c>
      <c r="Z14" s="85">
        <v>380</v>
      </c>
      <c r="AA14" s="85">
        <f t="shared" si="11"/>
        <v>13698.999999999998</v>
      </c>
      <c r="AB14" s="88">
        <v>372</v>
      </c>
      <c r="AC14" s="85">
        <f t="shared" si="12"/>
        <v>13034.88</v>
      </c>
      <c r="AD14" s="89">
        <v>486</v>
      </c>
      <c r="AE14" s="85">
        <f t="shared" si="13"/>
        <v>16611.48</v>
      </c>
      <c r="AF14" s="85">
        <v>538</v>
      </c>
      <c r="AG14" s="89">
        <f t="shared" si="14"/>
        <v>17915.399999999998</v>
      </c>
      <c r="AH14" s="89">
        <v>539</v>
      </c>
      <c r="AI14" s="85">
        <f t="shared" si="15"/>
        <v>19377.050000000003</v>
      </c>
      <c r="AJ14" s="89">
        <v>694</v>
      </c>
      <c r="AK14" s="85">
        <f t="shared" si="16"/>
        <v>25448.98</v>
      </c>
      <c r="AL14" s="113">
        <f t="shared" si="17"/>
        <v>6744</v>
      </c>
      <c r="AM14" s="23">
        <f t="shared" si="18"/>
        <v>236117.16</v>
      </c>
    </row>
    <row r="15" spans="1:39" x14ac:dyDescent="0.5">
      <c r="A15" s="16">
        <v>11</v>
      </c>
      <c r="B15" s="83" t="s">
        <v>448</v>
      </c>
      <c r="C15" s="84" t="s">
        <v>998</v>
      </c>
      <c r="D15" s="85">
        <v>608</v>
      </c>
      <c r="E15" s="85">
        <f t="shared" si="0"/>
        <v>18920.96</v>
      </c>
      <c r="F15" s="86"/>
      <c r="G15" s="85">
        <f t="shared" si="1"/>
        <v>0</v>
      </c>
      <c r="H15" s="86"/>
      <c r="I15" s="85">
        <f t="shared" si="2"/>
        <v>0</v>
      </c>
      <c r="J15" s="86"/>
      <c r="K15" s="86">
        <f t="shared" si="3"/>
        <v>0</v>
      </c>
      <c r="L15" s="86"/>
      <c r="M15" s="86">
        <f t="shared" si="4"/>
        <v>0</v>
      </c>
      <c r="N15" s="85"/>
      <c r="O15" s="86">
        <f t="shared" si="5"/>
        <v>0</v>
      </c>
      <c r="P15" s="85"/>
      <c r="Q15" s="86">
        <f t="shared" si="6"/>
        <v>0</v>
      </c>
      <c r="R15" s="85">
        <v>1250</v>
      </c>
      <c r="S15" s="86">
        <f t="shared" si="7"/>
        <v>42125</v>
      </c>
      <c r="T15" s="85">
        <v>839</v>
      </c>
      <c r="U15" s="86">
        <f t="shared" si="8"/>
        <v>27519.199999999997</v>
      </c>
      <c r="V15" s="87">
        <v>1119</v>
      </c>
      <c r="W15" s="86">
        <f t="shared" si="9"/>
        <v>39332.85</v>
      </c>
      <c r="X15" s="85">
        <v>986</v>
      </c>
      <c r="Y15" s="86">
        <f t="shared" si="10"/>
        <v>34174.759999999995</v>
      </c>
      <c r="Z15" s="85">
        <v>869</v>
      </c>
      <c r="AA15" s="85">
        <f t="shared" si="11"/>
        <v>31327.449999999997</v>
      </c>
      <c r="AB15" s="88">
        <v>858</v>
      </c>
      <c r="AC15" s="85">
        <f t="shared" si="12"/>
        <v>30064.32</v>
      </c>
      <c r="AD15" s="89">
        <v>1045</v>
      </c>
      <c r="AE15" s="85">
        <f t="shared" si="13"/>
        <v>35718.1</v>
      </c>
      <c r="AF15" s="85">
        <v>727</v>
      </c>
      <c r="AG15" s="89">
        <f t="shared" si="14"/>
        <v>24209.1</v>
      </c>
      <c r="AH15" s="89">
        <v>838</v>
      </c>
      <c r="AI15" s="85">
        <f t="shared" si="15"/>
        <v>30126.100000000002</v>
      </c>
      <c r="AJ15" s="89">
        <v>770</v>
      </c>
      <c r="AK15" s="85">
        <f t="shared" si="16"/>
        <v>28235.9</v>
      </c>
      <c r="AL15" s="113">
        <f t="shared" si="17"/>
        <v>9909</v>
      </c>
      <c r="AM15" s="23">
        <f t="shared" si="18"/>
        <v>341753.74000000005</v>
      </c>
    </row>
    <row r="16" spans="1:39" s="114" customFormat="1" x14ac:dyDescent="0.5">
      <c r="A16" s="16">
        <v>12</v>
      </c>
      <c r="B16" s="83" t="s">
        <v>999</v>
      </c>
      <c r="C16" s="84" t="s">
        <v>1000</v>
      </c>
      <c r="D16" s="85"/>
      <c r="E16" s="85">
        <f t="shared" si="0"/>
        <v>0</v>
      </c>
      <c r="F16" s="86"/>
      <c r="G16" s="85">
        <f t="shared" si="1"/>
        <v>0</v>
      </c>
      <c r="H16" s="86"/>
      <c r="I16" s="85">
        <f t="shared" si="2"/>
        <v>0</v>
      </c>
      <c r="J16" s="86"/>
      <c r="K16" s="86">
        <f t="shared" si="3"/>
        <v>0</v>
      </c>
      <c r="L16" s="86"/>
      <c r="M16" s="86">
        <f t="shared" si="4"/>
        <v>0</v>
      </c>
      <c r="N16" s="85"/>
      <c r="O16" s="86">
        <f t="shared" si="5"/>
        <v>0</v>
      </c>
      <c r="P16" s="85"/>
      <c r="Q16" s="86">
        <f t="shared" si="6"/>
        <v>0</v>
      </c>
      <c r="R16" s="85">
        <v>737</v>
      </c>
      <c r="S16" s="86">
        <f t="shared" si="7"/>
        <v>24836.9</v>
      </c>
      <c r="T16" s="85"/>
      <c r="U16" s="86">
        <f t="shared" si="8"/>
        <v>0</v>
      </c>
      <c r="V16" s="87"/>
      <c r="W16" s="86">
        <f t="shared" si="9"/>
        <v>0</v>
      </c>
      <c r="X16" s="85"/>
      <c r="Y16" s="86">
        <f t="shared" si="10"/>
        <v>0</v>
      </c>
      <c r="Z16" s="85"/>
      <c r="AA16" s="85">
        <f t="shared" si="11"/>
        <v>0</v>
      </c>
      <c r="AB16" s="88"/>
      <c r="AC16" s="85">
        <f t="shared" si="12"/>
        <v>0</v>
      </c>
      <c r="AD16" s="89"/>
      <c r="AE16" s="85">
        <f t="shared" si="13"/>
        <v>0</v>
      </c>
      <c r="AF16" s="85"/>
      <c r="AG16" s="89">
        <f t="shared" si="14"/>
        <v>0</v>
      </c>
      <c r="AH16" s="89"/>
      <c r="AI16" s="85">
        <f t="shared" si="15"/>
        <v>0</v>
      </c>
      <c r="AJ16" s="89"/>
      <c r="AK16" s="85">
        <f t="shared" si="16"/>
        <v>0</v>
      </c>
      <c r="AL16" s="113">
        <f t="shared" si="17"/>
        <v>737</v>
      </c>
      <c r="AM16" s="23">
        <f t="shared" si="18"/>
        <v>24836.9</v>
      </c>
    </row>
    <row r="17" spans="1:39" x14ac:dyDescent="0.5">
      <c r="A17" s="16">
        <v>13</v>
      </c>
      <c r="B17" s="83" t="s">
        <v>1001</v>
      </c>
      <c r="C17" s="84" t="s">
        <v>1002</v>
      </c>
      <c r="D17" s="85"/>
      <c r="E17" s="85">
        <f t="shared" si="0"/>
        <v>0</v>
      </c>
      <c r="F17" s="86"/>
      <c r="G17" s="85">
        <f t="shared" si="1"/>
        <v>0</v>
      </c>
      <c r="H17" s="86"/>
      <c r="I17" s="85">
        <f t="shared" si="2"/>
        <v>0</v>
      </c>
      <c r="J17" s="86"/>
      <c r="K17" s="86">
        <f t="shared" si="3"/>
        <v>0</v>
      </c>
      <c r="L17" s="86"/>
      <c r="M17" s="86">
        <f t="shared" si="4"/>
        <v>0</v>
      </c>
      <c r="N17" s="85"/>
      <c r="O17" s="86">
        <f t="shared" si="5"/>
        <v>0</v>
      </c>
      <c r="P17" s="85"/>
      <c r="Q17" s="86">
        <f t="shared" si="6"/>
        <v>0</v>
      </c>
      <c r="R17" s="85"/>
      <c r="S17" s="86">
        <f t="shared" si="7"/>
        <v>0</v>
      </c>
      <c r="T17" s="85"/>
      <c r="U17" s="86">
        <f t="shared" si="8"/>
        <v>0</v>
      </c>
      <c r="V17" s="87"/>
      <c r="W17" s="86">
        <f t="shared" si="9"/>
        <v>0</v>
      </c>
      <c r="X17" s="85"/>
      <c r="Y17" s="86">
        <f t="shared" si="10"/>
        <v>0</v>
      </c>
      <c r="Z17" s="85"/>
      <c r="AA17" s="85">
        <f t="shared" si="11"/>
        <v>0</v>
      </c>
      <c r="AB17" s="88"/>
      <c r="AC17" s="85">
        <f t="shared" si="12"/>
        <v>0</v>
      </c>
      <c r="AD17" s="89"/>
      <c r="AE17" s="85">
        <f t="shared" si="13"/>
        <v>0</v>
      </c>
      <c r="AF17" s="85"/>
      <c r="AG17" s="89">
        <f t="shared" si="14"/>
        <v>0</v>
      </c>
      <c r="AH17" s="89"/>
      <c r="AI17" s="85">
        <f t="shared" si="15"/>
        <v>0</v>
      </c>
      <c r="AJ17" s="89">
        <v>1025</v>
      </c>
      <c r="AK17" s="85">
        <f t="shared" si="16"/>
        <v>37586.75</v>
      </c>
      <c r="AL17" s="113">
        <f t="shared" si="17"/>
        <v>1025</v>
      </c>
      <c r="AM17" s="23">
        <f t="shared" si="18"/>
        <v>37586.75</v>
      </c>
    </row>
    <row r="18" spans="1:39" s="114" customFormat="1" x14ac:dyDescent="0.5">
      <c r="A18" s="16">
        <v>14</v>
      </c>
      <c r="B18" s="83" t="s">
        <v>1003</v>
      </c>
      <c r="C18" s="84" t="s">
        <v>1004</v>
      </c>
      <c r="D18" s="85"/>
      <c r="E18" s="85">
        <f t="shared" si="0"/>
        <v>0</v>
      </c>
      <c r="F18" s="86"/>
      <c r="G18" s="85">
        <f t="shared" si="1"/>
        <v>0</v>
      </c>
      <c r="H18" s="86"/>
      <c r="I18" s="85">
        <f t="shared" si="2"/>
        <v>0</v>
      </c>
      <c r="J18" s="86">
        <v>154</v>
      </c>
      <c r="K18" s="86">
        <f t="shared" si="3"/>
        <v>5408.48</v>
      </c>
      <c r="L18" s="86"/>
      <c r="M18" s="86">
        <f t="shared" si="4"/>
        <v>0</v>
      </c>
      <c r="N18" s="85"/>
      <c r="O18" s="86">
        <f t="shared" si="5"/>
        <v>0</v>
      </c>
      <c r="P18" s="85"/>
      <c r="Q18" s="86">
        <f t="shared" si="6"/>
        <v>0</v>
      </c>
      <c r="R18" s="85"/>
      <c r="S18" s="86">
        <f t="shared" si="7"/>
        <v>0</v>
      </c>
      <c r="T18" s="85"/>
      <c r="U18" s="86">
        <f t="shared" si="8"/>
        <v>0</v>
      </c>
      <c r="V18" s="87"/>
      <c r="W18" s="86">
        <f t="shared" si="9"/>
        <v>0</v>
      </c>
      <c r="X18" s="85"/>
      <c r="Y18" s="86">
        <f t="shared" si="10"/>
        <v>0</v>
      </c>
      <c r="Z18" s="85"/>
      <c r="AA18" s="85">
        <f t="shared" si="11"/>
        <v>0</v>
      </c>
      <c r="AB18" s="88"/>
      <c r="AC18" s="85">
        <f t="shared" si="12"/>
        <v>0</v>
      </c>
      <c r="AD18" s="89"/>
      <c r="AE18" s="85">
        <f t="shared" si="13"/>
        <v>0</v>
      </c>
      <c r="AF18" s="85"/>
      <c r="AG18" s="89">
        <f t="shared" si="14"/>
        <v>0</v>
      </c>
      <c r="AH18" s="89"/>
      <c r="AI18" s="85">
        <f t="shared" si="15"/>
        <v>0</v>
      </c>
      <c r="AJ18" s="89"/>
      <c r="AK18" s="85">
        <f t="shared" si="16"/>
        <v>0</v>
      </c>
      <c r="AL18" s="113">
        <f t="shared" si="17"/>
        <v>154</v>
      </c>
      <c r="AM18" s="23">
        <f t="shared" si="18"/>
        <v>5408.48</v>
      </c>
    </row>
    <row r="19" spans="1:39" x14ac:dyDescent="0.5">
      <c r="A19" s="16">
        <v>15</v>
      </c>
      <c r="B19" s="83" t="s">
        <v>1005</v>
      </c>
      <c r="C19" s="84" t="s">
        <v>1006</v>
      </c>
      <c r="D19" s="85">
        <v>240</v>
      </c>
      <c r="E19" s="85">
        <f t="shared" si="0"/>
        <v>7468.8</v>
      </c>
      <c r="F19" s="86">
        <v>270</v>
      </c>
      <c r="G19" s="85">
        <f t="shared" si="1"/>
        <v>8750.6999999999989</v>
      </c>
      <c r="H19" s="86">
        <v>219</v>
      </c>
      <c r="I19" s="85">
        <f t="shared" si="2"/>
        <v>7229.19</v>
      </c>
      <c r="J19" s="86">
        <v>225</v>
      </c>
      <c r="K19" s="86">
        <f t="shared" si="3"/>
        <v>7901.9999999999991</v>
      </c>
      <c r="L19" s="86">
        <v>194</v>
      </c>
      <c r="M19" s="86">
        <f t="shared" si="4"/>
        <v>7420.5</v>
      </c>
      <c r="N19" s="85">
        <v>309</v>
      </c>
      <c r="O19" s="86">
        <f t="shared" si="5"/>
        <v>12978</v>
      </c>
      <c r="P19" s="85"/>
      <c r="Q19" s="86">
        <f t="shared" si="6"/>
        <v>0</v>
      </c>
      <c r="R19" s="85">
        <v>371</v>
      </c>
      <c r="S19" s="86">
        <f t="shared" si="7"/>
        <v>12502.7</v>
      </c>
      <c r="T19" s="85">
        <v>391</v>
      </c>
      <c r="U19" s="86">
        <f t="shared" si="8"/>
        <v>12824.8</v>
      </c>
      <c r="V19" s="87">
        <v>403</v>
      </c>
      <c r="W19" s="86">
        <f t="shared" si="9"/>
        <v>14165.449999999999</v>
      </c>
      <c r="X19" s="85">
        <v>252</v>
      </c>
      <c r="Y19" s="86">
        <f t="shared" si="10"/>
        <v>8734.32</v>
      </c>
      <c r="Z19" s="85">
        <v>408</v>
      </c>
      <c r="AA19" s="85">
        <f t="shared" si="11"/>
        <v>14708.4</v>
      </c>
      <c r="AB19" s="88">
        <v>393</v>
      </c>
      <c r="AC19" s="85">
        <f t="shared" si="12"/>
        <v>13770.72</v>
      </c>
      <c r="AD19" s="89">
        <v>299</v>
      </c>
      <c r="AE19" s="85">
        <f t="shared" si="13"/>
        <v>10219.82</v>
      </c>
      <c r="AF19" s="85">
        <v>341</v>
      </c>
      <c r="AG19" s="89">
        <f t="shared" si="14"/>
        <v>11355.3</v>
      </c>
      <c r="AH19" s="89">
        <v>301</v>
      </c>
      <c r="AI19" s="85">
        <f t="shared" si="15"/>
        <v>10820.95</v>
      </c>
      <c r="AJ19" s="89">
        <v>382</v>
      </c>
      <c r="AK19" s="85">
        <f t="shared" si="16"/>
        <v>14007.94</v>
      </c>
      <c r="AL19" s="113">
        <f t="shared" si="17"/>
        <v>4998</v>
      </c>
      <c r="AM19" s="23">
        <f t="shared" si="18"/>
        <v>174859.59</v>
      </c>
    </row>
    <row r="20" spans="1:39" x14ac:dyDescent="0.5">
      <c r="A20" s="16">
        <v>16</v>
      </c>
      <c r="B20" s="83" t="s">
        <v>1007</v>
      </c>
      <c r="C20" s="84" t="s">
        <v>1008</v>
      </c>
      <c r="D20" s="85">
        <v>326</v>
      </c>
      <c r="E20" s="85">
        <f t="shared" si="0"/>
        <v>10145.120000000001</v>
      </c>
      <c r="F20" s="86">
        <v>148</v>
      </c>
      <c r="G20" s="85">
        <f t="shared" si="1"/>
        <v>4796.6799999999994</v>
      </c>
      <c r="H20" s="86">
        <v>148</v>
      </c>
      <c r="I20" s="85">
        <f t="shared" si="2"/>
        <v>4885.4799999999996</v>
      </c>
      <c r="J20" s="86"/>
      <c r="K20" s="86">
        <f t="shared" si="3"/>
        <v>0</v>
      </c>
      <c r="L20" s="86"/>
      <c r="M20" s="86">
        <f t="shared" si="4"/>
        <v>0</v>
      </c>
      <c r="N20" s="85">
        <v>182</v>
      </c>
      <c r="O20" s="86">
        <f t="shared" si="5"/>
        <v>7644</v>
      </c>
      <c r="P20" s="85"/>
      <c r="Q20" s="86">
        <f t="shared" si="6"/>
        <v>0</v>
      </c>
      <c r="R20" s="85">
        <v>337</v>
      </c>
      <c r="S20" s="86">
        <f t="shared" si="7"/>
        <v>11356.900000000001</v>
      </c>
      <c r="T20" s="85">
        <v>208</v>
      </c>
      <c r="U20" s="86">
        <f t="shared" si="8"/>
        <v>6822.4</v>
      </c>
      <c r="V20" s="87"/>
      <c r="W20" s="86">
        <f t="shared" si="9"/>
        <v>0</v>
      </c>
      <c r="X20" s="85">
        <v>293</v>
      </c>
      <c r="Y20" s="86">
        <f t="shared" si="10"/>
        <v>10155.379999999999</v>
      </c>
      <c r="Z20" s="85"/>
      <c r="AA20" s="85">
        <f t="shared" si="11"/>
        <v>0</v>
      </c>
      <c r="AB20" s="88">
        <v>233</v>
      </c>
      <c r="AC20" s="85">
        <f t="shared" si="12"/>
        <v>8164.32</v>
      </c>
      <c r="AD20" s="89">
        <v>361</v>
      </c>
      <c r="AE20" s="85">
        <f t="shared" si="13"/>
        <v>12338.98</v>
      </c>
      <c r="AF20" s="85">
        <v>214</v>
      </c>
      <c r="AG20" s="89">
        <f t="shared" si="14"/>
        <v>7126.2</v>
      </c>
      <c r="AH20" s="89">
        <v>205</v>
      </c>
      <c r="AI20" s="85">
        <f t="shared" si="15"/>
        <v>7369.7500000000009</v>
      </c>
      <c r="AJ20" s="89">
        <v>333</v>
      </c>
      <c r="AK20" s="85">
        <f t="shared" si="16"/>
        <v>12211.11</v>
      </c>
      <c r="AL20" s="113">
        <f t="shared" si="17"/>
        <v>2988</v>
      </c>
      <c r="AM20" s="23">
        <f t="shared" si="18"/>
        <v>103016.31999999999</v>
      </c>
    </row>
    <row r="21" spans="1:39" s="114" customFormat="1" x14ac:dyDescent="0.5">
      <c r="A21" s="16">
        <v>17</v>
      </c>
      <c r="B21" s="83" t="s">
        <v>1009</v>
      </c>
      <c r="C21" s="84" t="s">
        <v>1010</v>
      </c>
      <c r="D21" s="85"/>
      <c r="E21" s="85">
        <f t="shared" si="0"/>
        <v>0</v>
      </c>
      <c r="F21" s="86"/>
      <c r="G21" s="85">
        <f t="shared" si="1"/>
        <v>0</v>
      </c>
      <c r="H21" s="86"/>
      <c r="I21" s="85">
        <f t="shared" si="2"/>
        <v>0</v>
      </c>
      <c r="J21" s="86"/>
      <c r="K21" s="86">
        <f t="shared" si="3"/>
        <v>0</v>
      </c>
      <c r="L21" s="86"/>
      <c r="M21" s="86">
        <f t="shared" si="4"/>
        <v>0</v>
      </c>
      <c r="N21" s="85"/>
      <c r="O21" s="86">
        <f t="shared" si="5"/>
        <v>0</v>
      </c>
      <c r="P21" s="85"/>
      <c r="Q21" s="86">
        <f t="shared" si="6"/>
        <v>0</v>
      </c>
      <c r="R21" s="85"/>
      <c r="S21" s="86">
        <f t="shared" si="7"/>
        <v>0</v>
      </c>
      <c r="T21" s="85"/>
      <c r="U21" s="86">
        <f t="shared" si="8"/>
        <v>0</v>
      </c>
      <c r="V21" s="87"/>
      <c r="W21" s="86">
        <f t="shared" si="9"/>
        <v>0</v>
      </c>
      <c r="X21" s="85"/>
      <c r="Y21" s="86">
        <f t="shared" si="10"/>
        <v>0</v>
      </c>
      <c r="Z21" s="85"/>
      <c r="AA21" s="85">
        <f t="shared" si="11"/>
        <v>0</v>
      </c>
      <c r="AB21" s="88"/>
      <c r="AC21" s="85">
        <f t="shared" si="12"/>
        <v>0</v>
      </c>
      <c r="AD21" s="89"/>
      <c r="AE21" s="85">
        <f t="shared" si="13"/>
        <v>0</v>
      </c>
      <c r="AF21" s="85"/>
      <c r="AG21" s="89">
        <f t="shared" si="14"/>
        <v>0</v>
      </c>
      <c r="AH21" s="89"/>
      <c r="AI21" s="85">
        <f t="shared" si="15"/>
        <v>0</v>
      </c>
      <c r="AJ21" s="89"/>
      <c r="AK21" s="85">
        <f t="shared" si="16"/>
        <v>0</v>
      </c>
      <c r="AL21" s="113">
        <f t="shared" si="17"/>
        <v>0</v>
      </c>
      <c r="AM21" s="23">
        <f t="shared" si="18"/>
        <v>0</v>
      </c>
    </row>
    <row r="22" spans="1:39" s="114" customFormat="1" x14ac:dyDescent="0.5">
      <c r="A22" s="16">
        <v>18</v>
      </c>
      <c r="B22" s="83" t="s">
        <v>1011</v>
      </c>
      <c r="C22" s="84" t="s">
        <v>1012</v>
      </c>
      <c r="D22" s="85"/>
      <c r="E22" s="85">
        <f t="shared" si="0"/>
        <v>0</v>
      </c>
      <c r="F22" s="86"/>
      <c r="G22" s="85">
        <f t="shared" si="1"/>
        <v>0</v>
      </c>
      <c r="H22" s="86"/>
      <c r="I22" s="85">
        <f t="shared" si="2"/>
        <v>0</v>
      </c>
      <c r="J22" s="86"/>
      <c r="K22" s="86">
        <f t="shared" si="3"/>
        <v>0</v>
      </c>
      <c r="L22" s="86"/>
      <c r="M22" s="86">
        <f t="shared" si="4"/>
        <v>0</v>
      </c>
      <c r="N22" s="85"/>
      <c r="O22" s="86">
        <f t="shared" si="5"/>
        <v>0</v>
      </c>
      <c r="P22" s="85"/>
      <c r="Q22" s="86">
        <f t="shared" si="6"/>
        <v>0</v>
      </c>
      <c r="R22" s="85"/>
      <c r="S22" s="86">
        <f t="shared" si="7"/>
        <v>0</v>
      </c>
      <c r="T22" s="85"/>
      <c r="U22" s="86">
        <f t="shared" si="8"/>
        <v>0</v>
      </c>
      <c r="V22" s="87"/>
      <c r="W22" s="86">
        <f t="shared" si="9"/>
        <v>0</v>
      </c>
      <c r="X22" s="85"/>
      <c r="Y22" s="86">
        <f t="shared" si="10"/>
        <v>0</v>
      </c>
      <c r="Z22" s="85"/>
      <c r="AA22" s="85">
        <f t="shared" si="11"/>
        <v>0</v>
      </c>
      <c r="AB22" s="88"/>
      <c r="AC22" s="85">
        <f t="shared" si="12"/>
        <v>0</v>
      </c>
      <c r="AD22" s="89"/>
      <c r="AE22" s="85">
        <f t="shared" si="13"/>
        <v>0</v>
      </c>
      <c r="AF22" s="85"/>
      <c r="AG22" s="89">
        <f t="shared" si="14"/>
        <v>0</v>
      </c>
      <c r="AH22" s="89"/>
      <c r="AI22" s="85">
        <f t="shared" si="15"/>
        <v>0</v>
      </c>
      <c r="AJ22" s="89"/>
      <c r="AK22" s="85">
        <f t="shared" si="16"/>
        <v>0</v>
      </c>
      <c r="AL22" s="113">
        <f t="shared" si="17"/>
        <v>0</v>
      </c>
      <c r="AM22" s="23">
        <f t="shared" si="18"/>
        <v>0</v>
      </c>
    </row>
    <row r="23" spans="1:39" s="114" customFormat="1" x14ac:dyDescent="0.5">
      <c r="A23" s="16">
        <v>19</v>
      </c>
      <c r="B23" s="83" t="s">
        <v>1013</v>
      </c>
      <c r="C23" s="84" t="s">
        <v>1014</v>
      </c>
      <c r="D23" s="85"/>
      <c r="E23" s="85">
        <f t="shared" si="0"/>
        <v>0</v>
      </c>
      <c r="F23" s="86"/>
      <c r="G23" s="85">
        <f t="shared" si="1"/>
        <v>0</v>
      </c>
      <c r="H23" s="86"/>
      <c r="I23" s="85">
        <f t="shared" si="2"/>
        <v>0</v>
      </c>
      <c r="J23" s="86"/>
      <c r="K23" s="86">
        <f t="shared" si="3"/>
        <v>0</v>
      </c>
      <c r="L23" s="86"/>
      <c r="M23" s="86">
        <f t="shared" si="4"/>
        <v>0</v>
      </c>
      <c r="N23" s="85"/>
      <c r="O23" s="86">
        <f t="shared" si="5"/>
        <v>0</v>
      </c>
      <c r="P23" s="85"/>
      <c r="Q23" s="86">
        <f t="shared" si="6"/>
        <v>0</v>
      </c>
      <c r="R23" s="85"/>
      <c r="S23" s="86">
        <f t="shared" si="7"/>
        <v>0</v>
      </c>
      <c r="T23" s="85"/>
      <c r="U23" s="86">
        <f t="shared" si="8"/>
        <v>0</v>
      </c>
      <c r="V23" s="87"/>
      <c r="W23" s="86">
        <f t="shared" si="9"/>
        <v>0</v>
      </c>
      <c r="X23" s="85"/>
      <c r="Y23" s="86">
        <f t="shared" si="10"/>
        <v>0</v>
      </c>
      <c r="Z23" s="85"/>
      <c r="AA23" s="85">
        <f t="shared" si="11"/>
        <v>0</v>
      </c>
      <c r="AB23" s="88"/>
      <c r="AC23" s="85">
        <f t="shared" si="12"/>
        <v>0</v>
      </c>
      <c r="AD23" s="89"/>
      <c r="AE23" s="85">
        <f t="shared" si="13"/>
        <v>0</v>
      </c>
      <c r="AF23" s="85"/>
      <c r="AG23" s="89">
        <f t="shared" si="14"/>
        <v>0</v>
      </c>
      <c r="AH23" s="89"/>
      <c r="AI23" s="85">
        <f t="shared" si="15"/>
        <v>0</v>
      </c>
      <c r="AJ23" s="89"/>
      <c r="AK23" s="85">
        <f t="shared" si="16"/>
        <v>0</v>
      </c>
      <c r="AL23" s="113">
        <f t="shared" si="17"/>
        <v>0</v>
      </c>
      <c r="AM23" s="23">
        <f t="shared" si="18"/>
        <v>0</v>
      </c>
    </row>
    <row r="24" spans="1:39" x14ac:dyDescent="0.5">
      <c r="A24" s="16">
        <v>20</v>
      </c>
      <c r="B24" s="83" t="s">
        <v>1015</v>
      </c>
      <c r="C24" s="84" t="s">
        <v>1016</v>
      </c>
      <c r="D24" s="85">
        <v>524</v>
      </c>
      <c r="E24" s="85">
        <f t="shared" si="0"/>
        <v>16306.880000000001</v>
      </c>
      <c r="F24" s="86"/>
      <c r="G24" s="85">
        <f t="shared" si="1"/>
        <v>0</v>
      </c>
      <c r="H24" s="86"/>
      <c r="I24" s="85">
        <f t="shared" si="2"/>
        <v>0</v>
      </c>
      <c r="J24" s="86"/>
      <c r="K24" s="86">
        <f t="shared" si="3"/>
        <v>0</v>
      </c>
      <c r="L24" s="86"/>
      <c r="M24" s="86">
        <f t="shared" si="4"/>
        <v>0</v>
      </c>
      <c r="N24" s="85">
        <v>1547</v>
      </c>
      <c r="O24" s="86">
        <f t="shared" si="5"/>
        <v>64974</v>
      </c>
      <c r="P24" s="85">
        <v>1112</v>
      </c>
      <c r="Q24" s="86">
        <f t="shared" si="6"/>
        <v>43034.400000000001</v>
      </c>
      <c r="R24" s="85">
        <v>1143</v>
      </c>
      <c r="S24" s="86">
        <f t="shared" si="7"/>
        <v>38519.100000000006</v>
      </c>
      <c r="T24" s="85">
        <v>372</v>
      </c>
      <c r="U24" s="86">
        <f t="shared" si="8"/>
        <v>12201.599999999999</v>
      </c>
      <c r="V24" s="87">
        <v>994</v>
      </c>
      <c r="W24" s="86">
        <f t="shared" si="9"/>
        <v>34939.1</v>
      </c>
      <c r="X24" s="85">
        <v>1069</v>
      </c>
      <c r="Y24" s="86">
        <f t="shared" si="10"/>
        <v>37051.539999999994</v>
      </c>
      <c r="Z24" s="85">
        <v>908</v>
      </c>
      <c r="AA24" s="85">
        <f t="shared" si="11"/>
        <v>32733.399999999998</v>
      </c>
      <c r="AB24" s="88">
        <v>1231</v>
      </c>
      <c r="AC24" s="85">
        <f t="shared" si="12"/>
        <v>43134.239999999998</v>
      </c>
      <c r="AD24" s="89">
        <v>1392</v>
      </c>
      <c r="AE24" s="85">
        <f t="shared" si="13"/>
        <v>47578.559999999998</v>
      </c>
      <c r="AF24" s="85">
        <v>1256</v>
      </c>
      <c r="AG24" s="89">
        <f t="shared" si="14"/>
        <v>41824.799999999996</v>
      </c>
      <c r="AH24" s="89">
        <v>488</v>
      </c>
      <c r="AI24" s="85">
        <f t="shared" si="15"/>
        <v>17543.600000000002</v>
      </c>
      <c r="AJ24" s="89">
        <v>830</v>
      </c>
      <c r="AK24" s="85">
        <f t="shared" si="16"/>
        <v>30436.100000000002</v>
      </c>
      <c r="AL24" s="113">
        <f t="shared" si="17"/>
        <v>12866</v>
      </c>
      <c r="AM24" s="23">
        <f t="shared" si="18"/>
        <v>460277.31999999995</v>
      </c>
    </row>
    <row r="25" spans="1:39" s="114" customFormat="1" x14ac:dyDescent="0.5">
      <c r="A25" s="16">
        <v>21</v>
      </c>
      <c r="B25" s="83" t="s">
        <v>1017</v>
      </c>
      <c r="C25" s="84" t="s">
        <v>1014</v>
      </c>
      <c r="D25" s="85"/>
      <c r="E25" s="85">
        <f t="shared" si="0"/>
        <v>0</v>
      </c>
      <c r="F25" s="86"/>
      <c r="G25" s="85">
        <f t="shared" si="1"/>
        <v>0</v>
      </c>
      <c r="H25" s="86"/>
      <c r="I25" s="85">
        <f t="shared" si="2"/>
        <v>0</v>
      </c>
      <c r="J25" s="86"/>
      <c r="K25" s="86">
        <f t="shared" si="3"/>
        <v>0</v>
      </c>
      <c r="L25" s="86"/>
      <c r="M25" s="86">
        <f t="shared" si="4"/>
        <v>0</v>
      </c>
      <c r="N25" s="85"/>
      <c r="O25" s="86">
        <f t="shared" si="5"/>
        <v>0</v>
      </c>
      <c r="P25" s="85"/>
      <c r="Q25" s="86">
        <f t="shared" si="6"/>
        <v>0</v>
      </c>
      <c r="R25" s="85"/>
      <c r="S25" s="86">
        <f t="shared" si="7"/>
        <v>0</v>
      </c>
      <c r="T25" s="85"/>
      <c r="U25" s="86">
        <f t="shared" si="8"/>
        <v>0</v>
      </c>
      <c r="V25" s="87"/>
      <c r="W25" s="86">
        <f t="shared" si="9"/>
        <v>0</v>
      </c>
      <c r="X25" s="85"/>
      <c r="Y25" s="86">
        <f t="shared" si="10"/>
        <v>0</v>
      </c>
      <c r="Z25" s="85"/>
      <c r="AA25" s="85">
        <f t="shared" si="11"/>
        <v>0</v>
      </c>
      <c r="AB25" s="88"/>
      <c r="AC25" s="85">
        <f t="shared" si="12"/>
        <v>0</v>
      </c>
      <c r="AD25" s="89"/>
      <c r="AE25" s="85">
        <f t="shared" si="13"/>
        <v>0</v>
      </c>
      <c r="AF25" s="85"/>
      <c r="AG25" s="89">
        <f t="shared" si="14"/>
        <v>0</v>
      </c>
      <c r="AH25" s="89"/>
      <c r="AI25" s="85">
        <f t="shared" si="15"/>
        <v>0</v>
      </c>
      <c r="AJ25" s="89"/>
      <c r="AK25" s="85">
        <f t="shared" si="16"/>
        <v>0</v>
      </c>
      <c r="AL25" s="113">
        <f t="shared" si="17"/>
        <v>0</v>
      </c>
      <c r="AM25" s="23">
        <f t="shared" si="18"/>
        <v>0</v>
      </c>
    </row>
    <row r="26" spans="1:39" s="114" customFormat="1" x14ac:dyDescent="0.5">
      <c r="A26" s="16">
        <v>22</v>
      </c>
      <c r="B26" s="83" t="s">
        <v>1018</v>
      </c>
      <c r="C26" s="84" t="s">
        <v>1014</v>
      </c>
      <c r="D26" s="85"/>
      <c r="E26" s="85">
        <f t="shared" si="0"/>
        <v>0</v>
      </c>
      <c r="F26" s="86"/>
      <c r="G26" s="85">
        <f t="shared" si="1"/>
        <v>0</v>
      </c>
      <c r="H26" s="86"/>
      <c r="I26" s="85">
        <f t="shared" si="2"/>
        <v>0</v>
      </c>
      <c r="J26" s="86"/>
      <c r="K26" s="86">
        <f t="shared" si="3"/>
        <v>0</v>
      </c>
      <c r="L26" s="86"/>
      <c r="M26" s="86">
        <f t="shared" si="4"/>
        <v>0</v>
      </c>
      <c r="N26" s="85"/>
      <c r="O26" s="86">
        <f t="shared" si="5"/>
        <v>0</v>
      </c>
      <c r="P26" s="85"/>
      <c r="Q26" s="86">
        <f t="shared" si="6"/>
        <v>0</v>
      </c>
      <c r="R26" s="85"/>
      <c r="S26" s="86">
        <f t="shared" si="7"/>
        <v>0</v>
      </c>
      <c r="T26" s="85"/>
      <c r="U26" s="86">
        <f t="shared" si="8"/>
        <v>0</v>
      </c>
      <c r="V26" s="87"/>
      <c r="W26" s="86">
        <f t="shared" si="9"/>
        <v>0</v>
      </c>
      <c r="X26" s="85"/>
      <c r="Y26" s="86">
        <f t="shared" si="10"/>
        <v>0</v>
      </c>
      <c r="Z26" s="85"/>
      <c r="AA26" s="85">
        <f t="shared" si="11"/>
        <v>0</v>
      </c>
      <c r="AB26" s="88"/>
      <c r="AC26" s="85">
        <f t="shared" si="12"/>
        <v>0</v>
      </c>
      <c r="AD26" s="89"/>
      <c r="AE26" s="85">
        <f t="shared" si="13"/>
        <v>0</v>
      </c>
      <c r="AF26" s="85"/>
      <c r="AG26" s="89">
        <f t="shared" si="14"/>
        <v>0</v>
      </c>
      <c r="AH26" s="89"/>
      <c r="AI26" s="85">
        <f t="shared" si="15"/>
        <v>0</v>
      </c>
      <c r="AJ26" s="89"/>
      <c r="AK26" s="85">
        <f t="shared" si="16"/>
        <v>0</v>
      </c>
      <c r="AL26" s="113">
        <f t="shared" si="17"/>
        <v>0</v>
      </c>
      <c r="AM26" s="23">
        <f t="shared" si="18"/>
        <v>0</v>
      </c>
    </row>
    <row r="27" spans="1:39" s="114" customFormat="1" x14ac:dyDescent="0.5">
      <c r="A27" s="16">
        <v>23</v>
      </c>
      <c r="B27" s="83" t="s">
        <v>1019</v>
      </c>
      <c r="C27" s="84" t="s">
        <v>407</v>
      </c>
      <c r="D27" s="85"/>
      <c r="E27" s="85">
        <f t="shared" si="0"/>
        <v>0</v>
      </c>
      <c r="F27" s="86"/>
      <c r="G27" s="85">
        <f t="shared" si="1"/>
        <v>0</v>
      </c>
      <c r="H27" s="86"/>
      <c r="I27" s="85">
        <f t="shared" si="2"/>
        <v>0</v>
      </c>
      <c r="J27" s="86"/>
      <c r="K27" s="86">
        <f t="shared" si="3"/>
        <v>0</v>
      </c>
      <c r="L27" s="86"/>
      <c r="M27" s="86">
        <f t="shared" si="4"/>
        <v>0</v>
      </c>
      <c r="N27" s="85"/>
      <c r="O27" s="86">
        <f t="shared" si="5"/>
        <v>0</v>
      </c>
      <c r="P27" s="85"/>
      <c r="Q27" s="86">
        <f t="shared" si="6"/>
        <v>0</v>
      </c>
      <c r="R27" s="85"/>
      <c r="S27" s="86">
        <f t="shared" si="7"/>
        <v>0</v>
      </c>
      <c r="T27" s="85"/>
      <c r="U27" s="86">
        <f t="shared" si="8"/>
        <v>0</v>
      </c>
      <c r="V27" s="87"/>
      <c r="W27" s="86">
        <f t="shared" si="9"/>
        <v>0</v>
      </c>
      <c r="X27" s="85"/>
      <c r="Y27" s="86">
        <f t="shared" si="10"/>
        <v>0</v>
      </c>
      <c r="Z27" s="85"/>
      <c r="AA27" s="85">
        <f t="shared" si="11"/>
        <v>0</v>
      </c>
      <c r="AB27" s="88"/>
      <c r="AC27" s="85">
        <f t="shared" si="12"/>
        <v>0</v>
      </c>
      <c r="AD27" s="89"/>
      <c r="AE27" s="85">
        <f t="shared" si="13"/>
        <v>0</v>
      </c>
      <c r="AF27" s="85"/>
      <c r="AG27" s="89">
        <f t="shared" si="14"/>
        <v>0</v>
      </c>
      <c r="AH27" s="89"/>
      <c r="AI27" s="85">
        <f t="shared" si="15"/>
        <v>0</v>
      </c>
      <c r="AJ27" s="89"/>
      <c r="AK27" s="85">
        <f t="shared" si="16"/>
        <v>0</v>
      </c>
      <c r="AL27" s="113">
        <f t="shared" si="17"/>
        <v>0</v>
      </c>
      <c r="AM27" s="23">
        <f t="shared" si="18"/>
        <v>0</v>
      </c>
    </row>
    <row r="28" spans="1:39" s="114" customFormat="1" x14ac:dyDescent="0.5">
      <c r="A28" s="16">
        <v>24</v>
      </c>
      <c r="B28" s="83" t="s">
        <v>1020</v>
      </c>
      <c r="C28" s="84" t="s">
        <v>1014</v>
      </c>
      <c r="D28" s="85"/>
      <c r="E28" s="85">
        <f t="shared" si="0"/>
        <v>0</v>
      </c>
      <c r="F28" s="86"/>
      <c r="G28" s="85">
        <f t="shared" si="1"/>
        <v>0</v>
      </c>
      <c r="H28" s="86"/>
      <c r="I28" s="85">
        <f t="shared" si="2"/>
        <v>0</v>
      </c>
      <c r="J28" s="86"/>
      <c r="K28" s="86">
        <f t="shared" si="3"/>
        <v>0</v>
      </c>
      <c r="L28" s="86"/>
      <c r="M28" s="86">
        <f t="shared" si="4"/>
        <v>0</v>
      </c>
      <c r="N28" s="85"/>
      <c r="O28" s="86">
        <f t="shared" si="5"/>
        <v>0</v>
      </c>
      <c r="P28" s="85"/>
      <c r="Q28" s="86">
        <f t="shared" si="6"/>
        <v>0</v>
      </c>
      <c r="R28" s="85"/>
      <c r="S28" s="86">
        <f t="shared" si="7"/>
        <v>0</v>
      </c>
      <c r="T28" s="85"/>
      <c r="U28" s="86">
        <f t="shared" si="8"/>
        <v>0</v>
      </c>
      <c r="V28" s="87"/>
      <c r="W28" s="86">
        <f t="shared" si="9"/>
        <v>0</v>
      </c>
      <c r="X28" s="85"/>
      <c r="Y28" s="86">
        <f t="shared" si="10"/>
        <v>0</v>
      </c>
      <c r="Z28" s="85"/>
      <c r="AA28" s="85">
        <f t="shared" si="11"/>
        <v>0</v>
      </c>
      <c r="AB28" s="88"/>
      <c r="AC28" s="85">
        <f t="shared" si="12"/>
        <v>0</v>
      </c>
      <c r="AD28" s="89"/>
      <c r="AE28" s="85">
        <f t="shared" si="13"/>
        <v>0</v>
      </c>
      <c r="AF28" s="85"/>
      <c r="AG28" s="89">
        <f t="shared" si="14"/>
        <v>0</v>
      </c>
      <c r="AH28" s="89"/>
      <c r="AI28" s="85">
        <f t="shared" si="15"/>
        <v>0</v>
      </c>
      <c r="AJ28" s="89"/>
      <c r="AK28" s="85">
        <f t="shared" si="16"/>
        <v>0</v>
      </c>
      <c r="AL28" s="113">
        <f t="shared" si="17"/>
        <v>0</v>
      </c>
      <c r="AM28" s="23">
        <f t="shared" si="18"/>
        <v>0</v>
      </c>
    </row>
    <row r="29" spans="1:39" s="114" customFormat="1" x14ac:dyDescent="0.5">
      <c r="A29" s="16">
        <v>25</v>
      </c>
      <c r="B29" s="83" t="s">
        <v>643</v>
      </c>
      <c r="C29" s="84" t="s">
        <v>1021</v>
      </c>
      <c r="D29" s="85"/>
      <c r="E29" s="85">
        <f t="shared" si="0"/>
        <v>0</v>
      </c>
      <c r="F29" s="86"/>
      <c r="G29" s="85">
        <f t="shared" si="1"/>
        <v>0</v>
      </c>
      <c r="H29" s="86"/>
      <c r="I29" s="85">
        <f t="shared" si="2"/>
        <v>0</v>
      </c>
      <c r="J29" s="86"/>
      <c r="K29" s="86">
        <f t="shared" si="3"/>
        <v>0</v>
      </c>
      <c r="L29" s="86"/>
      <c r="M29" s="86">
        <f t="shared" si="4"/>
        <v>0</v>
      </c>
      <c r="N29" s="85"/>
      <c r="O29" s="86">
        <f t="shared" si="5"/>
        <v>0</v>
      </c>
      <c r="P29" s="85"/>
      <c r="Q29" s="86">
        <f t="shared" si="6"/>
        <v>0</v>
      </c>
      <c r="R29" s="85"/>
      <c r="S29" s="86">
        <f t="shared" si="7"/>
        <v>0</v>
      </c>
      <c r="T29" s="85"/>
      <c r="U29" s="86">
        <f t="shared" si="8"/>
        <v>0</v>
      </c>
      <c r="V29" s="87"/>
      <c r="W29" s="86">
        <f t="shared" si="9"/>
        <v>0</v>
      </c>
      <c r="X29" s="85"/>
      <c r="Y29" s="86">
        <f t="shared" si="10"/>
        <v>0</v>
      </c>
      <c r="Z29" s="85">
        <v>555</v>
      </c>
      <c r="AA29" s="85">
        <f t="shared" si="11"/>
        <v>20007.75</v>
      </c>
      <c r="AB29" s="88">
        <v>612</v>
      </c>
      <c r="AC29" s="85">
        <f t="shared" si="12"/>
        <v>21444.48</v>
      </c>
      <c r="AD29" s="89"/>
      <c r="AE29" s="85">
        <f t="shared" si="13"/>
        <v>0</v>
      </c>
      <c r="AF29" s="85"/>
      <c r="AG29" s="89">
        <f t="shared" si="14"/>
        <v>0</v>
      </c>
      <c r="AH29" s="89"/>
      <c r="AI29" s="85">
        <f t="shared" si="15"/>
        <v>0</v>
      </c>
      <c r="AJ29" s="89"/>
      <c r="AK29" s="85">
        <f t="shared" si="16"/>
        <v>0</v>
      </c>
      <c r="AL29" s="113">
        <f t="shared" si="17"/>
        <v>1167</v>
      </c>
      <c r="AM29" s="23">
        <f t="shared" si="18"/>
        <v>41452.229999999996</v>
      </c>
    </row>
    <row r="30" spans="1:39" s="114" customFormat="1" x14ac:dyDescent="0.5">
      <c r="A30" s="16">
        <v>26</v>
      </c>
      <c r="B30" s="83" t="s">
        <v>1017</v>
      </c>
      <c r="C30" s="84" t="s">
        <v>1022</v>
      </c>
      <c r="D30" s="85"/>
      <c r="E30" s="85">
        <f t="shared" si="0"/>
        <v>0</v>
      </c>
      <c r="F30" s="86"/>
      <c r="G30" s="85">
        <f t="shared" si="1"/>
        <v>0</v>
      </c>
      <c r="H30" s="86"/>
      <c r="I30" s="85">
        <f t="shared" si="2"/>
        <v>0</v>
      </c>
      <c r="J30" s="86"/>
      <c r="K30" s="86">
        <f t="shared" si="3"/>
        <v>0</v>
      </c>
      <c r="L30" s="86"/>
      <c r="M30" s="86">
        <f t="shared" si="4"/>
        <v>0</v>
      </c>
      <c r="N30" s="85"/>
      <c r="O30" s="86">
        <f t="shared" si="5"/>
        <v>0</v>
      </c>
      <c r="P30" s="85"/>
      <c r="Q30" s="86">
        <f t="shared" si="6"/>
        <v>0</v>
      </c>
      <c r="R30" s="85"/>
      <c r="S30" s="86">
        <f t="shared" si="7"/>
        <v>0</v>
      </c>
      <c r="T30" s="85"/>
      <c r="U30" s="86">
        <f t="shared" si="8"/>
        <v>0</v>
      </c>
      <c r="V30" s="87"/>
      <c r="W30" s="86">
        <f t="shared" si="9"/>
        <v>0</v>
      </c>
      <c r="X30" s="85"/>
      <c r="Y30" s="86">
        <f t="shared" si="10"/>
        <v>0</v>
      </c>
      <c r="Z30" s="85"/>
      <c r="AA30" s="85">
        <f t="shared" si="11"/>
        <v>0</v>
      </c>
      <c r="AB30" s="88"/>
      <c r="AC30" s="85">
        <f t="shared" si="12"/>
        <v>0</v>
      </c>
      <c r="AD30" s="89"/>
      <c r="AE30" s="85">
        <f t="shared" si="13"/>
        <v>0</v>
      </c>
      <c r="AF30" s="85"/>
      <c r="AG30" s="89">
        <f t="shared" si="14"/>
        <v>0</v>
      </c>
      <c r="AH30" s="89"/>
      <c r="AI30" s="85">
        <f t="shared" si="15"/>
        <v>0</v>
      </c>
      <c r="AJ30" s="89"/>
      <c r="AK30" s="85">
        <f t="shared" si="16"/>
        <v>0</v>
      </c>
      <c r="AL30" s="113">
        <f t="shared" si="17"/>
        <v>0</v>
      </c>
      <c r="AM30" s="23">
        <f t="shared" si="18"/>
        <v>0</v>
      </c>
    </row>
    <row r="31" spans="1:39" s="114" customFormat="1" x14ac:dyDescent="0.5">
      <c r="A31" s="16">
        <v>27</v>
      </c>
      <c r="B31" s="83" t="s">
        <v>913</v>
      </c>
      <c r="C31" s="84" t="s">
        <v>1023</v>
      </c>
      <c r="D31" s="85"/>
      <c r="E31" s="85">
        <f t="shared" si="0"/>
        <v>0</v>
      </c>
      <c r="F31" s="86"/>
      <c r="G31" s="85">
        <f t="shared" si="1"/>
        <v>0</v>
      </c>
      <c r="H31" s="86"/>
      <c r="I31" s="85">
        <f t="shared" si="2"/>
        <v>0</v>
      </c>
      <c r="J31" s="86"/>
      <c r="K31" s="86">
        <f t="shared" si="3"/>
        <v>0</v>
      </c>
      <c r="L31" s="86"/>
      <c r="M31" s="86">
        <f t="shared" si="4"/>
        <v>0</v>
      </c>
      <c r="N31" s="85"/>
      <c r="O31" s="86">
        <f t="shared" si="5"/>
        <v>0</v>
      </c>
      <c r="P31" s="85"/>
      <c r="Q31" s="86">
        <f t="shared" si="6"/>
        <v>0</v>
      </c>
      <c r="R31" s="85"/>
      <c r="S31" s="86">
        <f t="shared" si="7"/>
        <v>0</v>
      </c>
      <c r="T31" s="85"/>
      <c r="U31" s="86">
        <f t="shared" si="8"/>
        <v>0</v>
      </c>
      <c r="V31" s="87"/>
      <c r="W31" s="86">
        <f t="shared" si="9"/>
        <v>0</v>
      </c>
      <c r="X31" s="85"/>
      <c r="Y31" s="86">
        <f t="shared" si="10"/>
        <v>0</v>
      </c>
      <c r="Z31" s="85"/>
      <c r="AA31" s="85">
        <f t="shared" si="11"/>
        <v>0</v>
      </c>
      <c r="AB31" s="88"/>
      <c r="AC31" s="85">
        <f t="shared" si="12"/>
        <v>0</v>
      </c>
      <c r="AD31" s="89"/>
      <c r="AE31" s="85">
        <f t="shared" si="13"/>
        <v>0</v>
      </c>
      <c r="AF31" s="85"/>
      <c r="AG31" s="89">
        <f t="shared" si="14"/>
        <v>0</v>
      </c>
      <c r="AH31" s="89"/>
      <c r="AI31" s="85">
        <f t="shared" si="15"/>
        <v>0</v>
      </c>
      <c r="AJ31" s="89"/>
      <c r="AK31" s="85">
        <f t="shared" si="16"/>
        <v>0</v>
      </c>
      <c r="AL31" s="113">
        <f t="shared" si="17"/>
        <v>0</v>
      </c>
      <c r="AM31" s="23">
        <f t="shared" si="18"/>
        <v>0</v>
      </c>
    </row>
    <row r="32" spans="1:39" x14ac:dyDescent="0.5">
      <c r="A32" s="16">
        <v>28</v>
      </c>
      <c r="B32" s="83" t="s">
        <v>1024</v>
      </c>
      <c r="C32" s="84" t="s">
        <v>1025</v>
      </c>
      <c r="D32" s="85"/>
      <c r="E32" s="85">
        <f t="shared" si="0"/>
        <v>0</v>
      </c>
      <c r="F32" s="86"/>
      <c r="G32" s="85">
        <f t="shared" si="1"/>
        <v>0</v>
      </c>
      <c r="H32" s="86"/>
      <c r="I32" s="85">
        <f t="shared" si="2"/>
        <v>0</v>
      </c>
      <c r="J32" s="86">
        <v>338</v>
      </c>
      <c r="K32" s="86">
        <f t="shared" si="3"/>
        <v>11870.56</v>
      </c>
      <c r="L32" s="86"/>
      <c r="M32" s="86">
        <f t="shared" si="4"/>
        <v>0</v>
      </c>
      <c r="N32" s="85">
        <v>390</v>
      </c>
      <c r="O32" s="86">
        <f t="shared" si="5"/>
        <v>16380</v>
      </c>
      <c r="P32" s="85"/>
      <c r="Q32" s="86">
        <f t="shared" si="6"/>
        <v>0</v>
      </c>
      <c r="R32" s="85">
        <v>364</v>
      </c>
      <c r="S32" s="86">
        <f t="shared" si="7"/>
        <v>12266.800000000001</v>
      </c>
      <c r="T32" s="85">
        <v>196</v>
      </c>
      <c r="U32" s="86">
        <f t="shared" si="8"/>
        <v>6428.7999999999993</v>
      </c>
      <c r="V32" s="87">
        <v>325</v>
      </c>
      <c r="W32" s="86">
        <f t="shared" si="9"/>
        <v>11423.75</v>
      </c>
      <c r="X32" s="85">
        <v>208</v>
      </c>
      <c r="Y32" s="86">
        <f t="shared" si="10"/>
        <v>7209.2799999999988</v>
      </c>
      <c r="Z32" s="85"/>
      <c r="AA32" s="85">
        <f t="shared" si="11"/>
        <v>0</v>
      </c>
      <c r="AB32" s="88">
        <v>336</v>
      </c>
      <c r="AC32" s="85">
        <f t="shared" si="12"/>
        <v>11773.44</v>
      </c>
      <c r="AD32" s="89">
        <v>318</v>
      </c>
      <c r="AE32" s="85">
        <f t="shared" si="13"/>
        <v>10869.24</v>
      </c>
      <c r="AF32" s="85">
        <v>227</v>
      </c>
      <c r="AG32" s="89">
        <f t="shared" si="14"/>
        <v>7559.0999999999995</v>
      </c>
      <c r="AH32" s="89">
        <v>280</v>
      </c>
      <c r="AI32" s="85">
        <f t="shared" si="15"/>
        <v>10066</v>
      </c>
      <c r="AJ32" s="89"/>
      <c r="AK32" s="85">
        <f t="shared" si="16"/>
        <v>0</v>
      </c>
      <c r="AL32" s="113">
        <f t="shared" si="17"/>
        <v>2982</v>
      </c>
      <c r="AM32" s="23">
        <f t="shared" si="18"/>
        <v>105846.97000000002</v>
      </c>
    </row>
    <row r="33" spans="1:39" x14ac:dyDescent="0.5">
      <c r="A33" s="16">
        <v>29</v>
      </c>
      <c r="B33" s="83" t="s">
        <v>1026</v>
      </c>
      <c r="C33" s="84" t="s">
        <v>1027</v>
      </c>
      <c r="D33" s="85"/>
      <c r="E33" s="85">
        <f t="shared" si="0"/>
        <v>0</v>
      </c>
      <c r="F33" s="86"/>
      <c r="G33" s="85">
        <f t="shared" si="1"/>
        <v>0</v>
      </c>
      <c r="H33" s="86"/>
      <c r="I33" s="85">
        <f t="shared" si="2"/>
        <v>0</v>
      </c>
      <c r="J33" s="86"/>
      <c r="K33" s="86">
        <f t="shared" si="3"/>
        <v>0</v>
      </c>
      <c r="L33" s="86"/>
      <c r="M33" s="86">
        <f t="shared" si="4"/>
        <v>0</v>
      </c>
      <c r="N33" s="85"/>
      <c r="O33" s="86">
        <f t="shared" si="5"/>
        <v>0</v>
      </c>
      <c r="P33" s="85"/>
      <c r="Q33" s="86">
        <f t="shared" si="6"/>
        <v>0</v>
      </c>
      <c r="R33" s="85">
        <v>360</v>
      </c>
      <c r="S33" s="86">
        <f t="shared" si="7"/>
        <v>12132.000000000002</v>
      </c>
      <c r="T33" s="85">
        <v>780</v>
      </c>
      <c r="U33" s="86">
        <f t="shared" si="8"/>
        <v>25583.999999999996</v>
      </c>
      <c r="V33" s="87">
        <v>1410</v>
      </c>
      <c r="W33" s="86">
        <f t="shared" si="9"/>
        <v>49561.5</v>
      </c>
      <c r="X33" s="85">
        <v>538</v>
      </c>
      <c r="Y33" s="86">
        <f t="shared" si="10"/>
        <v>18647.079999999998</v>
      </c>
      <c r="Z33" s="85"/>
      <c r="AA33" s="85">
        <f t="shared" si="11"/>
        <v>0</v>
      </c>
      <c r="AB33" s="88">
        <v>1058</v>
      </c>
      <c r="AC33" s="85">
        <f t="shared" si="12"/>
        <v>37072.32</v>
      </c>
      <c r="AD33" s="89">
        <v>1667</v>
      </c>
      <c r="AE33" s="85">
        <f t="shared" si="13"/>
        <v>56978.06</v>
      </c>
      <c r="AF33" s="85">
        <v>1404</v>
      </c>
      <c r="AG33" s="89">
        <f t="shared" si="14"/>
        <v>46753.2</v>
      </c>
      <c r="AH33" s="89">
        <v>1617</v>
      </c>
      <c r="AI33" s="85">
        <f t="shared" si="15"/>
        <v>58131.15</v>
      </c>
      <c r="AJ33" s="89">
        <v>1624</v>
      </c>
      <c r="AK33" s="85">
        <f t="shared" si="16"/>
        <v>59552.08</v>
      </c>
      <c r="AL33" s="113">
        <f t="shared" si="17"/>
        <v>10458</v>
      </c>
      <c r="AM33" s="23">
        <f t="shared" si="18"/>
        <v>364411.39</v>
      </c>
    </row>
    <row r="34" spans="1:39" s="114" customFormat="1" x14ac:dyDescent="0.5">
      <c r="A34" s="16">
        <v>30</v>
      </c>
      <c r="B34" s="83" t="s">
        <v>1028</v>
      </c>
      <c r="C34" s="84" t="s">
        <v>1029</v>
      </c>
      <c r="D34" s="85"/>
      <c r="E34" s="85">
        <f t="shared" si="0"/>
        <v>0</v>
      </c>
      <c r="F34" s="86"/>
      <c r="G34" s="85">
        <f t="shared" si="1"/>
        <v>0</v>
      </c>
      <c r="H34" s="86"/>
      <c r="I34" s="85">
        <f t="shared" si="2"/>
        <v>0</v>
      </c>
      <c r="J34" s="86"/>
      <c r="K34" s="86">
        <f t="shared" si="3"/>
        <v>0</v>
      </c>
      <c r="L34" s="86"/>
      <c r="M34" s="86">
        <f t="shared" si="4"/>
        <v>0</v>
      </c>
      <c r="N34" s="85"/>
      <c r="O34" s="86">
        <f t="shared" si="5"/>
        <v>0</v>
      </c>
      <c r="P34" s="85"/>
      <c r="Q34" s="86">
        <f t="shared" si="6"/>
        <v>0</v>
      </c>
      <c r="R34" s="85"/>
      <c r="S34" s="86">
        <f t="shared" si="7"/>
        <v>0</v>
      </c>
      <c r="T34" s="85"/>
      <c r="U34" s="86">
        <f t="shared" si="8"/>
        <v>0</v>
      </c>
      <c r="V34" s="87"/>
      <c r="W34" s="86">
        <f t="shared" si="9"/>
        <v>0</v>
      </c>
      <c r="X34" s="85"/>
      <c r="Y34" s="86">
        <f t="shared" si="10"/>
        <v>0</v>
      </c>
      <c r="Z34" s="85"/>
      <c r="AA34" s="85">
        <f t="shared" si="11"/>
        <v>0</v>
      </c>
      <c r="AB34" s="88"/>
      <c r="AC34" s="85">
        <f t="shared" si="12"/>
        <v>0</v>
      </c>
      <c r="AD34" s="89"/>
      <c r="AE34" s="85">
        <f t="shared" si="13"/>
        <v>0</v>
      </c>
      <c r="AF34" s="85"/>
      <c r="AG34" s="89">
        <f t="shared" si="14"/>
        <v>0</v>
      </c>
      <c r="AH34" s="89"/>
      <c r="AI34" s="85">
        <f t="shared" si="15"/>
        <v>0</v>
      </c>
      <c r="AJ34" s="89"/>
      <c r="AK34" s="85">
        <f t="shared" si="16"/>
        <v>0</v>
      </c>
      <c r="AL34" s="113">
        <f t="shared" si="17"/>
        <v>0</v>
      </c>
      <c r="AM34" s="23">
        <f t="shared" si="18"/>
        <v>0</v>
      </c>
    </row>
    <row r="35" spans="1:39" x14ac:dyDescent="0.5">
      <c r="A35" s="16">
        <v>31</v>
      </c>
      <c r="B35" s="83" t="s">
        <v>333</v>
      </c>
      <c r="C35" s="84" t="s">
        <v>1030</v>
      </c>
      <c r="D35" s="85"/>
      <c r="E35" s="85">
        <f t="shared" si="0"/>
        <v>0</v>
      </c>
      <c r="F35" s="86">
        <v>159</v>
      </c>
      <c r="G35" s="85">
        <f t="shared" si="1"/>
        <v>5153.1899999999996</v>
      </c>
      <c r="H35" s="86"/>
      <c r="I35" s="85">
        <f t="shared" si="2"/>
        <v>0</v>
      </c>
      <c r="J35" s="86"/>
      <c r="K35" s="86">
        <f t="shared" si="3"/>
        <v>0</v>
      </c>
      <c r="L35" s="86"/>
      <c r="M35" s="86">
        <f t="shared" si="4"/>
        <v>0</v>
      </c>
      <c r="N35" s="85"/>
      <c r="O35" s="86">
        <f t="shared" si="5"/>
        <v>0</v>
      </c>
      <c r="P35" s="85">
        <v>247</v>
      </c>
      <c r="Q35" s="86">
        <f t="shared" si="6"/>
        <v>9558.9000000000015</v>
      </c>
      <c r="R35" s="85">
        <v>270</v>
      </c>
      <c r="S35" s="86">
        <f t="shared" si="7"/>
        <v>9099</v>
      </c>
      <c r="T35" s="85">
        <v>284</v>
      </c>
      <c r="U35" s="86">
        <f t="shared" si="8"/>
        <v>9315.1999999999989</v>
      </c>
      <c r="V35" s="87">
        <v>308</v>
      </c>
      <c r="W35" s="86">
        <f t="shared" si="9"/>
        <v>10826.199999999999</v>
      </c>
      <c r="X35" s="85">
        <v>266</v>
      </c>
      <c r="Y35" s="86">
        <f t="shared" si="10"/>
        <v>9219.56</v>
      </c>
      <c r="Z35" s="85">
        <v>597</v>
      </c>
      <c r="AA35" s="85">
        <f t="shared" si="11"/>
        <v>21521.85</v>
      </c>
      <c r="AB35" s="88">
        <v>517</v>
      </c>
      <c r="AC35" s="85">
        <f t="shared" si="12"/>
        <v>18115.68</v>
      </c>
      <c r="AD35" s="89">
        <v>417</v>
      </c>
      <c r="AE35" s="85">
        <f t="shared" si="13"/>
        <v>14253.06</v>
      </c>
      <c r="AF35" s="85">
        <v>442</v>
      </c>
      <c r="AG35" s="89">
        <f t="shared" si="14"/>
        <v>14718.599999999999</v>
      </c>
      <c r="AH35" s="89">
        <v>566</v>
      </c>
      <c r="AI35" s="85">
        <f t="shared" si="15"/>
        <v>20347.7</v>
      </c>
      <c r="AJ35" s="89">
        <v>770</v>
      </c>
      <c r="AK35" s="85">
        <f t="shared" si="16"/>
        <v>28235.9</v>
      </c>
      <c r="AL35" s="113">
        <f t="shared" si="17"/>
        <v>4843</v>
      </c>
      <c r="AM35" s="23">
        <f t="shared" si="18"/>
        <v>170364.84</v>
      </c>
    </row>
    <row r="36" spans="1:39" s="114" customFormat="1" x14ac:dyDescent="0.5">
      <c r="A36" s="16">
        <v>32</v>
      </c>
      <c r="B36" s="83" t="s">
        <v>1031</v>
      </c>
      <c r="C36" s="84" t="s">
        <v>1032</v>
      </c>
      <c r="D36" s="85"/>
      <c r="E36" s="85">
        <f t="shared" si="0"/>
        <v>0</v>
      </c>
      <c r="F36" s="86"/>
      <c r="G36" s="85">
        <f t="shared" si="1"/>
        <v>0</v>
      </c>
      <c r="H36" s="86"/>
      <c r="I36" s="85">
        <f t="shared" si="2"/>
        <v>0</v>
      </c>
      <c r="J36" s="86"/>
      <c r="K36" s="86">
        <f t="shared" si="3"/>
        <v>0</v>
      </c>
      <c r="L36" s="86"/>
      <c r="M36" s="86">
        <f t="shared" si="4"/>
        <v>0</v>
      </c>
      <c r="N36" s="85"/>
      <c r="O36" s="86">
        <f t="shared" si="5"/>
        <v>0</v>
      </c>
      <c r="P36" s="85"/>
      <c r="Q36" s="86">
        <f t="shared" si="6"/>
        <v>0</v>
      </c>
      <c r="R36" s="85"/>
      <c r="S36" s="86">
        <f t="shared" si="7"/>
        <v>0</v>
      </c>
      <c r="T36" s="85"/>
      <c r="U36" s="86">
        <f t="shared" si="8"/>
        <v>0</v>
      </c>
      <c r="V36" s="87"/>
      <c r="W36" s="86">
        <f t="shared" si="9"/>
        <v>0</v>
      </c>
      <c r="X36" s="85">
        <v>180</v>
      </c>
      <c r="Y36" s="86">
        <f t="shared" si="10"/>
        <v>6238.7999999999993</v>
      </c>
      <c r="Z36" s="85"/>
      <c r="AA36" s="85">
        <f t="shared" si="11"/>
        <v>0</v>
      </c>
      <c r="AB36" s="88"/>
      <c r="AC36" s="85">
        <f t="shared" si="12"/>
        <v>0</v>
      </c>
      <c r="AD36" s="89"/>
      <c r="AE36" s="85">
        <f t="shared" si="13"/>
        <v>0</v>
      </c>
      <c r="AF36" s="85"/>
      <c r="AG36" s="89">
        <f t="shared" si="14"/>
        <v>0</v>
      </c>
      <c r="AH36" s="89"/>
      <c r="AI36" s="85">
        <f t="shared" si="15"/>
        <v>0</v>
      </c>
      <c r="AJ36" s="89"/>
      <c r="AK36" s="85">
        <f t="shared" si="16"/>
        <v>0</v>
      </c>
      <c r="AL36" s="113">
        <f t="shared" si="17"/>
        <v>180</v>
      </c>
      <c r="AM36" s="23">
        <f t="shared" si="18"/>
        <v>6238.7999999999993</v>
      </c>
    </row>
    <row r="37" spans="1:39" s="114" customFormat="1" x14ac:dyDescent="0.5">
      <c r="A37" s="16">
        <v>33</v>
      </c>
      <c r="B37" s="83" t="s">
        <v>1033</v>
      </c>
      <c r="C37" s="84" t="s">
        <v>1034</v>
      </c>
      <c r="D37" s="85">
        <v>283</v>
      </c>
      <c r="E37" s="85">
        <f t="shared" si="0"/>
        <v>8806.9600000000009</v>
      </c>
      <c r="F37" s="86"/>
      <c r="G37" s="85">
        <f t="shared" si="1"/>
        <v>0</v>
      </c>
      <c r="H37" s="86">
        <v>315</v>
      </c>
      <c r="I37" s="85">
        <f t="shared" si="2"/>
        <v>10398.15</v>
      </c>
      <c r="J37" s="86"/>
      <c r="K37" s="86">
        <f t="shared" si="3"/>
        <v>0</v>
      </c>
      <c r="L37" s="86"/>
      <c r="M37" s="86">
        <f t="shared" si="4"/>
        <v>0</v>
      </c>
      <c r="N37" s="85">
        <v>230</v>
      </c>
      <c r="O37" s="86">
        <f t="shared" si="5"/>
        <v>9660</v>
      </c>
      <c r="P37" s="85">
        <v>326</v>
      </c>
      <c r="Q37" s="86">
        <f t="shared" si="6"/>
        <v>12616.2</v>
      </c>
      <c r="R37" s="85"/>
      <c r="S37" s="86">
        <f t="shared" si="7"/>
        <v>0</v>
      </c>
      <c r="T37" s="85">
        <v>294</v>
      </c>
      <c r="U37" s="86">
        <f t="shared" si="8"/>
        <v>9643.1999999999989</v>
      </c>
      <c r="V37" s="87"/>
      <c r="W37" s="86">
        <f t="shared" si="9"/>
        <v>0</v>
      </c>
      <c r="X37" s="85"/>
      <c r="Y37" s="86">
        <f t="shared" si="10"/>
        <v>0</v>
      </c>
      <c r="Z37" s="85"/>
      <c r="AA37" s="85">
        <f t="shared" si="11"/>
        <v>0</v>
      </c>
      <c r="AB37" s="88"/>
      <c r="AC37" s="85">
        <f t="shared" si="12"/>
        <v>0</v>
      </c>
      <c r="AD37" s="89"/>
      <c r="AE37" s="85">
        <f t="shared" si="13"/>
        <v>0</v>
      </c>
      <c r="AF37" s="85"/>
      <c r="AG37" s="89">
        <f t="shared" si="14"/>
        <v>0</v>
      </c>
      <c r="AH37" s="89"/>
      <c r="AI37" s="85">
        <f t="shared" si="15"/>
        <v>0</v>
      </c>
      <c r="AJ37" s="89"/>
      <c r="AK37" s="85">
        <f t="shared" si="16"/>
        <v>0</v>
      </c>
      <c r="AL37" s="113">
        <f t="shared" si="17"/>
        <v>1448</v>
      </c>
      <c r="AM37" s="23">
        <f t="shared" si="18"/>
        <v>51124.509999999995</v>
      </c>
    </row>
    <row r="38" spans="1:39" s="114" customFormat="1" x14ac:dyDescent="0.5">
      <c r="A38" s="16">
        <v>34</v>
      </c>
      <c r="B38" s="83" t="s">
        <v>223</v>
      </c>
      <c r="C38" s="84" t="s">
        <v>1034</v>
      </c>
      <c r="D38" s="85">
        <v>324</v>
      </c>
      <c r="E38" s="85">
        <f t="shared" si="0"/>
        <v>10082.880000000001</v>
      </c>
      <c r="F38" s="86"/>
      <c r="G38" s="85">
        <f t="shared" si="1"/>
        <v>0</v>
      </c>
      <c r="H38" s="86">
        <v>224</v>
      </c>
      <c r="I38" s="85">
        <f t="shared" si="2"/>
        <v>7394.24</v>
      </c>
      <c r="J38" s="86">
        <v>243</v>
      </c>
      <c r="K38" s="86">
        <f t="shared" si="3"/>
        <v>8534.16</v>
      </c>
      <c r="L38" s="86"/>
      <c r="M38" s="86">
        <f t="shared" si="4"/>
        <v>0</v>
      </c>
      <c r="N38" s="85">
        <v>160</v>
      </c>
      <c r="O38" s="86">
        <f t="shared" si="5"/>
        <v>6720</v>
      </c>
      <c r="P38" s="85"/>
      <c r="Q38" s="86">
        <f t="shared" si="6"/>
        <v>0</v>
      </c>
      <c r="R38" s="85"/>
      <c r="S38" s="86">
        <f t="shared" si="7"/>
        <v>0</v>
      </c>
      <c r="T38" s="85">
        <v>173</v>
      </c>
      <c r="U38" s="86">
        <f t="shared" si="8"/>
        <v>5674.4</v>
      </c>
      <c r="V38" s="87"/>
      <c r="W38" s="86">
        <f t="shared" si="9"/>
        <v>0</v>
      </c>
      <c r="X38" s="85"/>
      <c r="Y38" s="86">
        <f t="shared" si="10"/>
        <v>0</v>
      </c>
      <c r="Z38" s="85"/>
      <c r="AA38" s="85">
        <f t="shared" si="11"/>
        <v>0</v>
      </c>
      <c r="AB38" s="88"/>
      <c r="AC38" s="85">
        <f t="shared" si="12"/>
        <v>0</v>
      </c>
      <c r="AD38" s="89"/>
      <c r="AE38" s="85">
        <f t="shared" si="13"/>
        <v>0</v>
      </c>
      <c r="AF38" s="85"/>
      <c r="AG38" s="89">
        <f t="shared" si="14"/>
        <v>0</v>
      </c>
      <c r="AH38" s="89"/>
      <c r="AI38" s="85">
        <f t="shared" si="15"/>
        <v>0</v>
      </c>
      <c r="AJ38" s="89"/>
      <c r="AK38" s="85">
        <f t="shared" si="16"/>
        <v>0</v>
      </c>
      <c r="AL38" s="113">
        <f t="shared" si="17"/>
        <v>1124</v>
      </c>
      <c r="AM38" s="23">
        <f t="shared" si="18"/>
        <v>38405.68</v>
      </c>
    </row>
    <row r="39" spans="1:39" x14ac:dyDescent="0.5">
      <c r="A39" s="16">
        <v>35</v>
      </c>
      <c r="B39" s="83" t="s">
        <v>1035</v>
      </c>
      <c r="C39" s="84" t="s">
        <v>1036</v>
      </c>
      <c r="D39" s="85">
        <v>746</v>
      </c>
      <c r="E39" s="85">
        <f t="shared" si="0"/>
        <v>23215.52</v>
      </c>
      <c r="F39" s="86"/>
      <c r="G39" s="85">
        <f t="shared" si="1"/>
        <v>0</v>
      </c>
      <c r="H39" s="86">
        <v>702</v>
      </c>
      <c r="I39" s="85">
        <f t="shared" si="2"/>
        <v>23173.019999999997</v>
      </c>
      <c r="J39" s="86"/>
      <c r="K39" s="86">
        <f t="shared" si="3"/>
        <v>0</v>
      </c>
      <c r="L39" s="86"/>
      <c r="M39" s="86">
        <f t="shared" si="4"/>
        <v>0</v>
      </c>
      <c r="N39" s="85">
        <v>610</v>
      </c>
      <c r="O39" s="86">
        <f t="shared" si="5"/>
        <v>25620</v>
      </c>
      <c r="P39" s="85">
        <v>662</v>
      </c>
      <c r="Q39" s="86">
        <f t="shared" si="6"/>
        <v>25619.4</v>
      </c>
      <c r="R39" s="85">
        <v>672</v>
      </c>
      <c r="S39" s="86">
        <f t="shared" si="7"/>
        <v>22646.400000000001</v>
      </c>
      <c r="T39" s="85">
        <v>776</v>
      </c>
      <c r="U39" s="86">
        <f t="shared" si="8"/>
        <v>25452.799999999999</v>
      </c>
      <c r="V39" s="87">
        <v>852</v>
      </c>
      <c r="W39" s="86">
        <f t="shared" si="9"/>
        <v>29947.8</v>
      </c>
      <c r="X39" s="85">
        <v>837</v>
      </c>
      <c r="Y39" s="86">
        <f t="shared" si="10"/>
        <v>29010.42</v>
      </c>
      <c r="Z39" s="85">
        <v>694</v>
      </c>
      <c r="AA39" s="85">
        <f t="shared" si="11"/>
        <v>25018.699999999997</v>
      </c>
      <c r="AB39" s="88">
        <v>790</v>
      </c>
      <c r="AC39" s="85">
        <f t="shared" si="12"/>
        <v>27681.599999999999</v>
      </c>
      <c r="AD39" s="89">
        <v>897</v>
      </c>
      <c r="AE39" s="85">
        <f t="shared" si="13"/>
        <v>30659.46</v>
      </c>
      <c r="AF39" s="85">
        <v>734</v>
      </c>
      <c r="AG39" s="89">
        <f t="shared" si="14"/>
        <v>24442.199999999997</v>
      </c>
      <c r="AH39" s="89">
        <v>837</v>
      </c>
      <c r="AI39" s="85">
        <f t="shared" si="15"/>
        <v>30090.15</v>
      </c>
      <c r="AJ39" s="89">
        <v>639</v>
      </c>
      <c r="AK39" s="85">
        <f t="shared" si="16"/>
        <v>23432.13</v>
      </c>
      <c r="AL39" s="113">
        <f t="shared" si="17"/>
        <v>10448</v>
      </c>
      <c r="AM39" s="23">
        <f t="shared" si="18"/>
        <v>366009.60000000003</v>
      </c>
    </row>
    <row r="40" spans="1:39" s="114" customFormat="1" x14ac:dyDescent="0.5">
      <c r="A40" s="16">
        <v>36</v>
      </c>
      <c r="B40" s="83" t="s">
        <v>890</v>
      </c>
      <c r="C40" s="84" t="s">
        <v>1037</v>
      </c>
      <c r="D40" s="85"/>
      <c r="E40" s="85">
        <f t="shared" si="0"/>
        <v>0</v>
      </c>
      <c r="F40" s="86"/>
      <c r="G40" s="85">
        <f t="shared" si="1"/>
        <v>0</v>
      </c>
      <c r="H40" s="86"/>
      <c r="I40" s="85">
        <f t="shared" si="2"/>
        <v>0</v>
      </c>
      <c r="J40" s="86"/>
      <c r="K40" s="86">
        <f t="shared" si="3"/>
        <v>0</v>
      </c>
      <c r="L40" s="86"/>
      <c r="M40" s="86">
        <f t="shared" si="4"/>
        <v>0</v>
      </c>
      <c r="N40" s="85"/>
      <c r="O40" s="86">
        <f t="shared" si="5"/>
        <v>0</v>
      </c>
      <c r="P40" s="85">
        <v>938</v>
      </c>
      <c r="Q40" s="86">
        <f t="shared" si="6"/>
        <v>36300.600000000006</v>
      </c>
      <c r="R40" s="85"/>
      <c r="S40" s="86">
        <f t="shared" si="7"/>
        <v>0</v>
      </c>
      <c r="T40" s="85"/>
      <c r="U40" s="86">
        <f t="shared" si="8"/>
        <v>0</v>
      </c>
      <c r="V40" s="87"/>
      <c r="W40" s="86">
        <f t="shared" si="9"/>
        <v>0</v>
      </c>
      <c r="X40" s="85"/>
      <c r="Y40" s="86">
        <f t="shared" si="10"/>
        <v>0</v>
      </c>
      <c r="Z40" s="85"/>
      <c r="AA40" s="85">
        <f t="shared" si="11"/>
        <v>0</v>
      </c>
      <c r="AB40" s="88"/>
      <c r="AC40" s="85">
        <f t="shared" si="12"/>
        <v>0</v>
      </c>
      <c r="AD40" s="89"/>
      <c r="AE40" s="85">
        <f t="shared" si="13"/>
        <v>0</v>
      </c>
      <c r="AF40" s="85"/>
      <c r="AG40" s="89">
        <f t="shared" si="14"/>
        <v>0</v>
      </c>
      <c r="AH40" s="89"/>
      <c r="AI40" s="85">
        <f t="shared" si="15"/>
        <v>0</v>
      </c>
      <c r="AJ40" s="89"/>
      <c r="AK40" s="85">
        <f t="shared" si="16"/>
        <v>0</v>
      </c>
      <c r="AL40" s="113">
        <f t="shared" si="17"/>
        <v>938</v>
      </c>
      <c r="AM40" s="23">
        <f t="shared" si="18"/>
        <v>36300.600000000006</v>
      </c>
    </row>
    <row r="41" spans="1:39" s="114" customFormat="1" x14ac:dyDescent="0.5">
      <c r="A41" s="16">
        <v>37</v>
      </c>
      <c r="B41" s="83" t="s">
        <v>1038</v>
      </c>
      <c r="C41" s="84" t="s">
        <v>1039</v>
      </c>
      <c r="D41" s="85"/>
      <c r="E41" s="85">
        <f t="shared" si="0"/>
        <v>0</v>
      </c>
      <c r="F41" s="86"/>
      <c r="G41" s="85">
        <f t="shared" si="1"/>
        <v>0</v>
      </c>
      <c r="H41" s="86"/>
      <c r="I41" s="85">
        <f t="shared" si="2"/>
        <v>0</v>
      </c>
      <c r="J41" s="86"/>
      <c r="K41" s="86">
        <f t="shared" si="3"/>
        <v>0</v>
      </c>
      <c r="L41" s="86"/>
      <c r="M41" s="86">
        <f t="shared" si="4"/>
        <v>0</v>
      </c>
      <c r="N41" s="85">
        <v>614</v>
      </c>
      <c r="O41" s="86">
        <f t="shared" si="5"/>
        <v>25788</v>
      </c>
      <c r="P41" s="85">
        <v>535</v>
      </c>
      <c r="Q41" s="86">
        <f t="shared" si="6"/>
        <v>20704.5</v>
      </c>
      <c r="R41" s="85">
        <v>592</v>
      </c>
      <c r="S41" s="86">
        <f t="shared" si="7"/>
        <v>19950.400000000001</v>
      </c>
      <c r="T41" s="85">
        <v>412</v>
      </c>
      <c r="U41" s="86">
        <f t="shared" si="8"/>
        <v>13513.599999999999</v>
      </c>
      <c r="V41" s="87">
        <v>654</v>
      </c>
      <c r="W41" s="86">
        <f t="shared" si="9"/>
        <v>22988.1</v>
      </c>
      <c r="X41" s="85">
        <v>538</v>
      </c>
      <c r="Y41" s="86">
        <f t="shared" si="10"/>
        <v>18647.079999999998</v>
      </c>
      <c r="Z41" s="85"/>
      <c r="AA41" s="85">
        <f t="shared" si="11"/>
        <v>0</v>
      </c>
      <c r="AB41" s="88"/>
      <c r="AC41" s="85">
        <f t="shared" si="12"/>
        <v>0</v>
      </c>
      <c r="AD41" s="89"/>
      <c r="AE41" s="85">
        <f t="shared" si="13"/>
        <v>0</v>
      </c>
      <c r="AF41" s="85"/>
      <c r="AG41" s="89">
        <f t="shared" si="14"/>
        <v>0</v>
      </c>
      <c r="AH41" s="89"/>
      <c r="AI41" s="85">
        <f t="shared" si="15"/>
        <v>0</v>
      </c>
      <c r="AJ41" s="89"/>
      <c r="AK41" s="85">
        <f t="shared" si="16"/>
        <v>0</v>
      </c>
      <c r="AL41" s="113">
        <f t="shared" si="17"/>
        <v>3345</v>
      </c>
      <c r="AM41" s="23">
        <f t="shared" si="18"/>
        <v>121591.68000000001</v>
      </c>
    </row>
    <row r="42" spans="1:39" x14ac:dyDescent="0.5">
      <c r="A42" s="16">
        <v>38</v>
      </c>
      <c r="B42" s="83" t="s">
        <v>1040</v>
      </c>
      <c r="C42" s="84" t="s">
        <v>472</v>
      </c>
      <c r="D42" s="85"/>
      <c r="E42" s="85">
        <f t="shared" si="0"/>
        <v>0</v>
      </c>
      <c r="F42" s="86"/>
      <c r="G42" s="85">
        <f t="shared" si="1"/>
        <v>0</v>
      </c>
      <c r="H42" s="86"/>
      <c r="I42" s="85">
        <f t="shared" si="2"/>
        <v>0</v>
      </c>
      <c r="J42" s="86"/>
      <c r="K42" s="86">
        <f t="shared" si="3"/>
        <v>0</v>
      </c>
      <c r="L42" s="86"/>
      <c r="M42" s="86">
        <f t="shared" si="4"/>
        <v>0</v>
      </c>
      <c r="N42" s="85"/>
      <c r="O42" s="86">
        <f t="shared" si="5"/>
        <v>0</v>
      </c>
      <c r="P42" s="85"/>
      <c r="Q42" s="86">
        <f t="shared" si="6"/>
        <v>0</v>
      </c>
      <c r="R42" s="85">
        <v>341</v>
      </c>
      <c r="S42" s="86">
        <f t="shared" si="7"/>
        <v>11491.7</v>
      </c>
      <c r="T42" s="85">
        <v>248</v>
      </c>
      <c r="U42" s="86">
        <f t="shared" si="8"/>
        <v>8134.4</v>
      </c>
      <c r="V42" s="87">
        <v>355</v>
      </c>
      <c r="W42" s="86">
        <f t="shared" si="9"/>
        <v>12478.25</v>
      </c>
      <c r="X42" s="85">
        <v>315</v>
      </c>
      <c r="Y42" s="86">
        <f t="shared" si="10"/>
        <v>10917.9</v>
      </c>
      <c r="Z42" s="85"/>
      <c r="AA42" s="85">
        <f t="shared" si="11"/>
        <v>0</v>
      </c>
      <c r="AB42" s="88"/>
      <c r="AC42" s="85">
        <f t="shared" si="12"/>
        <v>0</v>
      </c>
      <c r="AD42" s="89">
        <v>276</v>
      </c>
      <c r="AE42" s="85">
        <f t="shared" si="13"/>
        <v>9433.68</v>
      </c>
      <c r="AF42" s="85">
        <v>312</v>
      </c>
      <c r="AG42" s="89">
        <f t="shared" si="14"/>
        <v>10389.599999999999</v>
      </c>
      <c r="AH42" s="89">
        <v>266</v>
      </c>
      <c r="AI42" s="85">
        <f t="shared" si="15"/>
        <v>9562.7000000000007</v>
      </c>
      <c r="AJ42" s="89"/>
      <c r="AK42" s="85">
        <f t="shared" si="16"/>
        <v>0</v>
      </c>
      <c r="AL42" s="113">
        <f t="shared" si="17"/>
        <v>2113</v>
      </c>
      <c r="AM42" s="23">
        <f t="shared" si="18"/>
        <v>72408.23</v>
      </c>
    </row>
    <row r="43" spans="1:39" s="114" customFormat="1" x14ac:dyDescent="0.5">
      <c r="A43" s="16">
        <v>39</v>
      </c>
      <c r="B43" s="83" t="s">
        <v>1041</v>
      </c>
      <c r="C43" s="84" t="s">
        <v>472</v>
      </c>
      <c r="D43" s="85">
        <v>307</v>
      </c>
      <c r="E43" s="85">
        <f t="shared" si="0"/>
        <v>9553.84</v>
      </c>
      <c r="F43" s="86"/>
      <c r="G43" s="85">
        <f t="shared" si="1"/>
        <v>0</v>
      </c>
      <c r="H43" s="86"/>
      <c r="I43" s="85">
        <f t="shared" si="2"/>
        <v>0</v>
      </c>
      <c r="J43" s="86"/>
      <c r="K43" s="86">
        <f t="shared" si="3"/>
        <v>0</v>
      </c>
      <c r="L43" s="86"/>
      <c r="M43" s="86">
        <f t="shared" si="4"/>
        <v>0</v>
      </c>
      <c r="N43" s="85"/>
      <c r="O43" s="86">
        <f t="shared" si="5"/>
        <v>0</v>
      </c>
      <c r="P43" s="85"/>
      <c r="Q43" s="86">
        <f t="shared" si="6"/>
        <v>0</v>
      </c>
      <c r="R43" s="85"/>
      <c r="S43" s="86">
        <f t="shared" si="7"/>
        <v>0</v>
      </c>
      <c r="T43" s="85"/>
      <c r="U43" s="86">
        <f t="shared" si="8"/>
        <v>0</v>
      </c>
      <c r="V43" s="87"/>
      <c r="W43" s="86">
        <f t="shared" si="9"/>
        <v>0</v>
      </c>
      <c r="X43" s="85"/>
      <c r="Y43" s="86">
        <f t="shared" si="10"/>
        <v>0</v>
      </c>
      <c r="Z43" s="85"/>
      <c r="AA43" s="85">
        <f t="shared" si="11"/>
        <v>0</v>
      </c>
      <c r="AB43" s="88"/>
      <c r="AC43" s="85">
        <f t="shared" si="12"/>
        <v>0</v>
      </c>
      <c r="AD43" s="89"/>
      <c r="AE43" s="85">
        <f t="shared" si="13"/>
        <v>0</v>
      </c>
      <c r="AF43" s="85"/>
      <c r="AG43" s="89">
        <f t="shared" si="14"/>
        <v>0</v>
      </c>
      <c r="AH43" s="89"/>
      <c r="AI43" s="85">
        <f t="shared" si="15"/>
        <v>0</v>
      </c>
      <c r="AJ43" s="89"/>
      <c r="AK43" s="85">
        <f t="shared" si="16"/>
        <v>0</v>
      </c>
      <c r="AL43" s="113">
        <f t="shared" si="17"/>
        <v>307</v>
      </c>
      <c r="AM43" s="23">
        <f t="shared" si="18"/>
        <v>9553.84</v>
      </c>
    </row>
    <row r="44" spans="1:39" s="114" customFormat="1" x14ac:dyDescent="0.5">
      <c r="A44" s="16">
        <v>40</v>
      </c>
      <c r="B44" s="83" t="s">
        <v>106</v>
      </c>
      <c r="C44" s="84" t="s">
        <v>1042</v>
      </c>
      <c r="D44" s="85"/>
      <c r="E44" s="85">
        <f t="shared" si="0"/>
        <v>0</v>
      </c>
      <c r="F44" s="86"/>
      <c r="G44" s="85">
        <f t="shared" si="1"/>
        <v>0</v>
      </c>
      <c r="H44" s="86"/>
      <c r="I44" s="85">
        <f t="shared" si="2"/>
        <v>0</v>
      </c>
      <c r="J44" s="86"/>
      <c r="K44" s="86">
        <f t="shared" si="3"/>
        <v>0</v>
      </c>
      <c r="L44" s="86"/>
      <c r="M44" s="86">
        <f t="shared" si="4"/>
        <v>0</v>
      </c>
      <c r="N44" s="85">
        <v>520</v>
      </c>
      <c r="O44" s="86">
        <f t="shared" si="5"/>
        <v>21840</v>
      </c>
      <c r="P44" s="85"/>
      <c r="Q44" s="86">
        <f t="shared" si="6"/>
        <v>0</v>
      </c>
      <c r="R44" s="85"/>
      <c r="S44" s="86">
        <f t="shared" si="7"/>
        <v>0</v>
      </c>
      <c r="T44" s="85"/>
      <c r="U44" s="86">
        <f t="shared" si="8"/>
        <v>0</v>
      </c>
      <c r="V44" s="87"/>
      <c r="W44" s="86">
        <f t="shared" si="9"/>
        <v>0</v>
      </c>
      <c r="X44" s="85"/>
      <c r="Y44" s="86">
        <f t="shared" si="10"/>
        <v>0</v>
      </c>
      <c r="Z44" s="85"/>
      <c r="AA44" s="85">
        <f t="shared" si="11"/>
        <v>0</v>
      </c>
      <c r="AB44" s="88"/>
      <c r="AC44" s="85">
        <f t="shared" si="12"/>
        <v>0</v>
      </c>
      <c r="AD44" s="89"/>
      <c r="AE44" s="85">
        <f t="shared" si="13"/>
        <v>0</v>
      </c>
      <c r="AF44" s="85"/>
      <c r="AG44" s="89">
        <f t="shared" si="14"/>
        <v>0</v>
      </c>
      <c r="AH44" s="89"/>
      <c r="AI44" s="85">
        <f t="shared" si="15"/>
        <v>0</v>
      </c>
      <c r="AJ44" s="89"/>
      <c r="AK44" s="85">
        <f t="shared" si="16"/>
        <v>0</v>
      </c>
      <c r="AL44" s="113">
        <f t="shared" si="17"/>
        <v>520</v>
      </c>
      <c r="AM44" s="23">
        <f t="shared" si="18"/>
        <v>21840</v>
      </c>
    </row>
    <row r="45" spans="1:39" s="114" customFormat="1" x14ac:dyDescent="0.5">
      <c r="A45" s="16">
        <v>41</v>
      </c>
      <c r="B45" s="83" t="s">
        <v>1043</v>
      </c>
      <c r="C45" s="84" t="s">
        <v>130</v>
      </c>
      <c r="D45" s="85"/>
      <c r="E45" s="85">
        <f t="shared" si="0"/>
        <v>0</v>
      </c>
      <c r="F45" s="86"/>
      <c r="G45" s="85">
        <f t="shared" si="1"/>
        <v>0</v>
      </c>
      <c r="H45" s="86"/>
      <c r="I45" s="85">
        <f t="shared" si="2"/>
        <v>0</v>
      </c>
      <c r="J45" s="86"/>
      <c r="K45" s="86">
        <f t="shared" si="3"/>
        <v>0</v>
      </c>
      <c r="L45" s="86"/>
      <c r="M45" s="86">
        <f t="shared" si="4"/>
        <v>0</v>
      </c>
      <c r="N45" s="85"/>
      <c r="O45" s="86">
        <f t="shared" si="5"/>
        <v>0</v>
      </c>
      <c r="P45" s="85">
        <v>1291</v>
      </c>
      <c r="Q45" s="86">
        <f t="shared" si="6"/>
        <v>49961.700000000004</v>
      </c>
      <c r="R45" s="85"/>
      <c r="S45" s="86">
        <f t="shared" si="7"/>
        <v>0</v>
      </c>
      <c r="T45" s="85"/>
      <c r="U45" s="86">
        <f t="shared" si="8"/>
        <v>0</v>
      </c>
      <c r="V45" s="87"/>
      <c r="W45" s="86">
        <f t="shared" si="9"/>
        <v>0</v>
      </c>
      <c r="X45" s="85">
        <v>1666</v>
      </c>
      <c r="Y45" s="86">
        <f t="shared" si="10"/>
        <v>57743.56</v>
      </c>
      <c r="Z45" s="85">
        <v>1769</v>
      </c>
      <c r="AA45" s="85">
        <f t="shared" si="11"/>
        <v>63772.45</v>
      </c>
      <c r="AB45" s="88">
        <v>2543</v>
      </c>
      <c r="AC45" s="85">
        <f t="shared" si="12"/>
        <v>89106.72</v>
      </c>
      <c r="AD45" s="89"/>
      <c r="AE45" s="85">
        <f t="shared" si="13"/>
        <v>0</v>
      </c>
      <c r="AF45" s="85"/>
      <c r="AG45" s="89">
        <f t="shared" si="14"/>
        <v>0</v>
      </c>
      <c r="AH45" s="89"/>
      <c r="AI45" s="85">
        <f t="shared" si="15"/>
        <v>0</v>
      </c>
      <c r="AJ45" s="89"/>
      <c r="AK45" s="85">
        <f t="shared" si="16"/>
        <v>0</v>
      </c>
      <c r="AL45" s="113">
        <f t="shared" si="17"/>
        <v>7269</v>
      </c>
      <c r="AM45" s="23">
        <f t="shared" si="18"/>
        <v>260584.43000000002</v>
      </c>
    </row>
    <row r="46" spans="1:39" s="114" customFormat="1" x14ac:dyDescent="0.5">
      <c r="A46" s="16">
        <v>42</v>
      </c>
      <c r="B46" s="83" t="s">
        <v>1044</v>
      </c>
      <c r="C46" s="84" t="s">
        <v>1045</v>
      </c>
      <c r="D46" s="85"/>
      <c r="E46" s="85">
        <f t="shared" si="0"/>
        <v>0</v>
      </c>
      <c r="F46" s="86"/>
      <c r="G46" s="85">
        <f t="shared" si="1"/>
        <v>0</v>
      </c>
      <c r="H46" s="86"/>
      <c r="I46" s="85">
        <f t="shared" si="2"/>
        <v>0</v>
      </c>
      <c r="J46" s="86"/>
      <c r="K46" s="86">
        <f t="shared" si="3"/>
        <v>0</v>
      </c>
      <c r="L46" s="86"/>
      <c r="M46" s="86">
        <f t="shared" si="4"/>
        <v>0</v>
      </c>
      <c r="N46" s="85"/>
      <c r="O46" s="86">
        <f t="shared" si="5"/>
        <v>0</v>
      </c>
      <c r="P46" s="85"/>
      <c r="Q46" s="86">
        <f t="shared" si="6"/>
        <v>0</v>
      </c>
      <c r="R46" s="85"/>
      <c r="S46" s="86">
        <f t="shared" si="7"/>
        <v>0</v>
      </c>
      <c r="T46" s="85"/>
      <c r="U46" s="86">
        <f t="shared" si="8"/>
        <v>0</v>
      </c>
      <c r="V46" s="87"/>
      <c r="W46" s="86">
        <f t="shared" si="9"/>
        <v>0</v>
      </c>
      <c r="X46" s="85">
        <v>681</v>
      </c>
      <c r="Y46" s="86">
        <f t="shared" si="10"/>
        <v>23603.46</v>
      </c>
      <c r="Z46" s="85"/>
      <c r="AA46" s="85">
        <f t="shared" si="11"/>
        <v>0</v>
      </c>
      <c r="AB46" s="88"/>
      <c r="AC46" s="85">
        <f t="shared" si="12"/>
        <v>0</v>
      </c>
      <c r="AD46" s="89"/>
      <c r="AE46" s="85">
        <f t="shared" si="13"/>
        <v>0</v>
      </c>
      <c r="AF46" s="85"/>
      <c r="AG46" s="89">
        <f t="shared" si="14"/>
        <v>0</v>
      </c>
      <c r="AH46" s="89"/>
      <c r="AI46" s="85">
        <f t="shared" si="15"/>
        <v>0</v>
      </c>
      <c r="AJ46" s="89"/>
      <c r="AK46" s="85">
        <f t="shared" si="16"/>
        <v>0</v>
      </c>
      <c r="AL46" s="113">
        <f t="shared" si="17"/>
        <v>681</v>
      </c>
      <c r="AM46" s="23">
        <f t="shared" si="18"/>
        <v>23603.46</v>
      </c>
    </row>
    <row r="47" spans="1:39" s="114" customFormat="1" x14ac:dyDescent="0.5">
      <c r="A47" s="16">
        <v>43</v>
      </c>
      <c r="B47" s="83" t="s">
        <v>1046</v>
      </c>
      <c r="C47" s="84" t="s">
        <v>1047</v>
      </c>
      <c r="D47" s="85">
        <v>283</v>
      </c>
      <c r="E47" s="85">
        <f t="shared" si="0"/>
        <v>8806.9600000000009</v>
      </c>
      <c r="F47" s="86"/>
      <c r="G47" s="85">
        <f t="shared" si="1"/>
        <v>0</v>
      </c>
      <c r="H47" s="86"/>
      <c r="I47" s="85">
        <f t="shared" si="2"/>
        <v>0</v>
      </c>
      <c r="J47" s="86"/>
      <c r="K47" s="86">
        <f t="shared" si="3"/>
        <v>0</v>
      </c>
      <c r="L47" s="86"/>
      <c r="M47" s="86">
        <f t="shared" si="4"/>
        <v>0</v>
      </c>
      <c r="N47" s="85"/>
      <c r="O47" s="86">
        <f t="shared" si="5"/>
        <v>0</v>
      </c>
      <c r="P47" s="85">
        <v>295</v>
      </c>
      <c r="Q47" s="86">
        <f t="shared" si="6"/>
        <v>11416.5</v>
      </c>
      <c r="R47" s="85">
        <v>342</v>
      </c>
      <c r="S47" s="86">
        <f t="shared" si="7"/>
        <v>11525.400000000001</v>
      </c>
      <c r="T47" s="85"/>
      <c r="U47" s="86">
        <f t="shared" si="8"/>
        <v>0</v>
      </c>
      <c r="V47" s="87"/>
      <c r="W47" s="86">
        <f t="shared" si="9"/>
        <v>0</v>
      </c>
      <c r="X47" s="85"/>
      <c r="Y47" s="86">
        <f t="shared" si="10"/>
        <v>0</v>
      </c>
      <c r="Z47" s="85"/>
      <c r="AA47" s="85">
        <f t="shared" si="11"/>
        <v>0</v>
      </c>
      <c r="AB47" s="88"/>
      <c r="AC47" s="85">
        <f t="shared" si="12"/>
        <v>0</v>
      </c>
      <c r="AD47" s="89"/>
      <c r="AE47" s="85">
        <f t="shared" si="13"/>
        <v>0</v>
      </c>
      <c r="AF47" s="85">
        <v>460</v>
      </c>
      <c r="AG47" s="89">
        <f t="shared" si="14"/>
        <v>15317.999999999998</v>
      </c>
      <c r="AH47" s="89"/>
      <c r="AI47" s="85">
        <f t="shared" si="15"/>
        <v>0</v>
      </c>
      <c r="AJ47" s="89"/>
      <c r="AK47" s="85">
        <f t="shared" si="16"/>
        <v>0</v>
      </c>
      <c r="AL47" s="113">
        <f t="shared" si="17"/>
        <v>1380</v>
      </c>
      <c r="AM47" s="23">
        <f t="shared" si="18"/>
        <v>47066.86</v>
      </c>
    </row>
    <row r="48" spans="1:39" s="114" customFormat="1" x14ac:dyDescent="0.5">
      <c r="A48" s="16">
        <v>44</v>
      </c>
      <c r="B48" s="83" t="s">
        <v>1048</v>
      </c>
      <c r="C48" s="84" t="s">
        <v>1049</v>
      </c>
      <c r="D48" s="85"/>
      <c r="E48" s="85">
        <f t="shared" si="0"/>
        <v>0</v>
      </c>
      <c r="F48" s="86"/>
      <c r="G48" s="85">
        <f t="shared" si="1"/>
        <v>0</v>
      </c>
      <c r="H48" s="86"/>
      <c r="I48" s="85">
        <f t="shared" si="2"/>
        <v>0</v>
      </c>
      <c r="J48" s="86"/>
      <c r="K48" s="86">
        <f t="shared" si="3"/>
        <v>0</v>
      </c>
      <c r="L48" s="86"/>
      <c r="M48" s="86">
        <f t="shared" si="4"/>
        <v>0</v>
      </c>
      <c r="N48" s="85"/>
      <c r="O48" s="86">
        <f t="shared" si="5"/>
        <v>0</v>
      </c>
      <c r="P48" s="85"/>
      <c r="Q48" s="86">
        <f t="shared" si="6"/>
        <v>0</v>
      </c>
      <c r="R48" s="85"/>
      <c r="S48" s="86">
        <f t="shared" si="7"/>
        <v>0</v>
      </c>
      <c r="T48" s="85"/>
      <c r="U48" s="86">
        <f t="shared" si="8"/>
        <v>0</v>
      </c>
      <c r="V48" s="87"/>
      <c r="W48" s="86">
        <f t="shared" si="9"/>
        <v>0</v>
      </c>
      <c r="X48" s="85"/>
      <c r="Y48" s="86">
        <f t="shared" si="10"/>
        <v>0</v>
      </c>
      <c r="Z48" s="85"/>
      <c r="AA48" s="85">
        <f t="shared" si="11"/>
        <v>0</v>
      </c>
      <c r="AB48" s="88">
        <v>420</v>
      </c>
      <c r="AC48" s="85">
        <f t="shared" si="12"/>
        <v>14716.8</v>
      </c>
      <c r="AD48" s="89">
        <v>658</v>
      </c>
      <c r="AE48" s="85">
        <f t="shared" si="13"/>
        <v>22490.44</v>
      </c>
      <c r="AF48" s="85"/>
      <c r="AG48" s="89">
        <f t="shared" si="14"/>
        <v>0</v>
      </c>
      <c r="AH48" s="89"/>
      <c r="AI48" s="85">
        <f t="shared" si="15"/>
        <v>0</v>
      </c>
      <c r="AJ48" s="89"/>
      <c r="AK48" s="85">
        <f t="shared" si="16"/>
        <v>0</v>
      </c>
      <c r="AL48" s="113">
        <f t="shared" si="17"/>
        <v>1078</v>
      </c>
      <c r="AM48" s="23">
        <f t="shared" si="18"/>
        <v>37207.24</v>
      </c>
    </row>
    <row r="49" spans="1:39" x14ac:dyDescent="0.5">
      <c r="A49" s="16">
        <v>45</v>
      </c>
      <c r="B49" s="83" t="s">
        <v>1050</v>
      </c>
      <c r="C49" s="84" t="s">
        <v>1049</v>
      </c>
      <c r="D49" s="85"/>
      <c r="E49" s="85">
        <f t="shared" si="0"/>
        <v>0</v>
      </c>
      <c r="F49" s="86"/>
      <c r="G49" s="85">
        <f t="shared" si="1"/>
        <v>0</v>
      </c>
      <c r="H49" s="86"/>
      <c r="I49" s="85">
        <f t="shared" si="2"/>
        <v>0</v>
      </c>
      <c r="J49" s="86"/>
      <c r="K49" s="86">
        <f t="shared" si="3"/>
        <v>0</v>
      </c>
      <c r="L49" s="86"/>
      <c r="M49" s="86">
        <f t="shared" si="4"/>
        <v>0</v>
      </c>
      <c r="N49" s="85"/>
      <c r="O49" s="86">
        <f t="shared" si="5"/>
        <v>0</v>
      </c>
      <c r="P49" s="85"/>
      <c r="Q49" s="86">
        <f t="shared" si="6"/>
        <v>0</v>
      </c>
      <c r="R49" s="85"/>
      <c r="S49" s="86">
        <f t="shared" si="7"/>
        <v>0</v>
      </c>
      <c r="T49" s="85"/>
      <c r="U49" s="86">
        <f t="shared" si="8"/>
        <v>0</v>
      </c>
      <c r="V49" s="87"/>
      <c r="W49" s="86">
        <f t="shared" si="9"/>
        <v>0</v>
      </c>
      <c r="X49" s="85"/>
      <c r="Y49" s="86">
        <f t="shared" si="10"/>
        <v>0</v>
      </c>
      <c r="Z49" s="85"/>
      <c r="AA49" s="85">
        <f t="shared" si="11"/>
        <v>0</v>
      </c>
      <c r="AB49" s="88"/>
      <c r="AC49" s="85">
        <f t="shared" si="12"/>
        <v>0</v>
      </c>
      <c r="AD49" s="89"/>
      <c r="AE49" s="85">
        <f t="shared" si="13"/>
        <v>0</v>
      </c>
      <c r="AF49" s="85"/>
      <c r="AG49" s="89">
        <f t="shared" si="14"/>
        <v>0</v>
      </c>
      <c r="AH49" s="89">
        <v>495</v>
      </c>
      <c r="AI49" s="85">
        <f t="shared" si="15"/>
        <v>17795.25</v>
      </c>
      <c r="AJ49" s="89"/>
      <c r="AK49" s="85">
        <f t="shared" si="16"/>
        <v>0</v>
      </c>
      <c r="AL49" s="113">
        <f t="shared" si="17"/>
        <v>495</v>
      </c>
      <c r="AM49" s="23">
        <f t="shared" si="18"/>
        <v>17795.25</v>
      </c>
    </row>
    <row r="50" spans="1:39" s="114" customFormat="1" x14ac:dyDescent="0.5">
      <c r="A50" s="16">
        <v>46</v>
      </c>
      <c r="B50" s="83" t="s">
        <v>1051</v>
      </c>
      <c r="C50" s="84" t="s">
        <v>1052</v>
      </c>
      <c r="D50" s="85">
        <v>2087</v>
      </c>
      <c r="E50" s="85">
        <f t="shared" si="0"/>
        <v>64947.44</v>
      </c>
      <c r="F50" s="86">
        <v>995</v>
      </c>
      <c r="G50" s="85">
        <f t="shared" si="1"/>
        <v>32247.949999999997</v>
      </c>
      <c r="H50" s="86">
        <v>997</v>
      </c>
      <c r="I50" s="85">
        <f t="shared" si="2"/>
        <v>32910.97</v>
      </c>
      <c r="J50" s="86">
        <v>902</v>
      </c>
      <c r="K50" s="86">
        <f t="shared" si="3"/>
        <v>31678.239999999998</v>
      </c>
      <c r="L50" s="86">
        <v>764</v>
      </c>
      <c r="M50" s="86">
        <f t="shared" si="4"/>
        <v>29223</v>
      </c>
      <c r="N50" s="85">
        <v>1036</v>
      </c>
      <c r="O50" s="86">
        <f t="shared" si="5"/>
        <v>43512</v>
      </c>
      <c r="P50" s="85"/>
      <c r="Q50" s="86">
        <f t="shared" si="6"/>
        <v>0</v>
      </c>
      <c r="R50" s="85">
        <v>975</v>
      </c>
      <c r="S50" s="86">
        <f t="shared" si="7"/>
        <v>32857.5</v>
      </c>
      <c r="T50" s="85"/>
      <c r="U50" s="86">
        <f t="shared" si="8"/>
        <v>0</v>
      </c>
      <c r="V50" s="87"/>
      <c r="W50" s="86">
        <f t="shared" si="9"/>
        <v>0</v>
      </c>
      <c r="X50" s="85"/>
      <c r="Y50" s="86">
        <f t="shared" si="10"/>
        <v>0</v>
      </c>
      <c r="Z50" s="85"/>
      <c r="AA50" s="85">
        <f t="shared" si="11"/>
        <v>0</v>
      </c>
      <c r="AB50" s="88"/>
      <c r="AC50" s="85">
        <f t="shared" si="12"/>
        <v>0</v>
      </c>
      <c r="AD50" s="89"/>
      <c r="AE50" s="85">
        <f t="shared" si="13"/>
        <v>0</v>
      </c>
      <c r="AF50" s="85"/>
      <c r="AG50" s="89">
        <f t="shared" si="14"/>
        <v>0</v>
      </c>
      <c r="AH50" s="89"/>
      <c r="AI50" s="85">
        <f t="shared" si="15"/>
        <v>0</v>
      </c>
      <c r="AJ50" s="89"/>
      <c r="AK50" s="85">
        <f t="shared" si="16"/>
        <v>0</v>
      </c>
      <c r="AL50" s="113">
        <f t="shared" si="17"/>
        <v>7756</v>
      </c>
      <c r="AM50" s="23">
        <f t="shared" si="18"/>
        <v>267377.09999999998</v>
      </c>
    </row>
    <row r="51" spans="1:39" s="114" customFormat="1" x14ac:dyDescent="0.5">
      <c r="A51" s="16">
        <v>47</v>
      </c>
      <c r="B51" s="83" t="s">
        <v>1053</v>
      </c>
      <c r="C51" s="84" t="s">
        <v>1054</v>
      </c>
      <c r="D51" s="85">
        <v>646</v>
      </c>
      <c r="E51" s="85">
        <f t="shared" si="0"/>
        <v>20103.52</v>
      </c>
      <c r="F51" s="86"/>
      <c r="G51" s="85">
        <f t="shared" si="1"/>
        <v>0</v>
      </c>
      <c r="H51" s="86"/>
      <c r="I51" s="85">
        <f t="shared" si="2"/>
        <v>0</v>
      </c>
      <c r="J51" s="86"/>
      <c r="K51" s="86">
        <f t="shared" si="3"/>
        <v>0</v>
      </c>
      <c r="L51" s="86"/>
      <c r="M51" s="86">
        <f t="shared" si="4"/>
        <v>0</v>
      </c>
      <c r="N51" s="85"/>
      <c r="O51" s="86">
        <f t="shared" si="5"/>
        <v>0</v>
      </c>
      <c r="P51" s="85"/>
      <c r="Q51" s="86">
        <f t="shared" si="6"/>
        <v>0</v>
      </c>
      <c r="R51" s="85"/>
      <c r="S51" s="86">
        <f t="shared" si="7"/>
        <v>0</v>
      </c>
      <c r="T51" s="85"/>
      <c r="U51" s="86">
        <f t="shared" si="8"/>
        <v>0</v>
      </c>
      <c r="V51" s="87"/>
      <c r="W51" s="86">
        <f t="shared" si="9"/>
        <v>0</v>
      </c>
      <c r="X51" s="85"/>
      <c r="Y51" s="86">
        <f t="shared" si="10"/>
        <v>0</v>
      </c>
      <c r="Z51" s="85"/>
      <c r="AA51" s="85">
        <f t="shared" si="11"/>
        <v>0</v>
      </c>
      <c r="AB51" s="88"/>
      <c r="AC51" s="85">
        <f t="shared" si="12"/>
        <v>0</v>
      </c>
      <c r="AD51" s="89"/>
      <c r="AE51" s="85">
        <f t="shared" si="13"/>
        <v>0</v>
      </c>
      <c r="AF51" s="85"/>
      <c r="AG51" s="89">
        <f t="shared" si="14"/>
        <v>0</v>
      </c>
      <c r="AH51" s="89"/>
      <c r="AI51" s="85">
        <f t="shared" si="15"/>
        <v>0</v>
      </c>
      <c r="AJ51" s="89"/>
      <c r="AK51" s="85">
        <f t="shared" si="16"/>
        <v>0</v>
      </c>
      <c r="AL51" s="113">
        <f t="shared" si="17"/>
        <v>646</v>
      </c>
      <c r="AM51" s="23">
        <f t="shared" si="18"/>
        <v>20103.52</v>
      </c>
    </row>
    <row r="52" spans="1:39" s="114" customFormat="1" x14ac:dyDescent="0.5">
      <c r="A52" s="16">
        <v>48</v>
      </c>
      <c r="B52" s="83" t="s">
        <v>1055</v>
      </c>
      <c r="C52" s="84" t="s">
        <v>238</v>
      </c>
      <c r="D52" s="85">
        <v>489</v>
      </c>
      <c r="E52" s="85">
        <f t="shared" si="0"/>
        <v>15217.68</v>
      </c>
      <c r="F52" s="86"/>
      <c r="G52" s="85">
        <f t="shared" si="1"/>
        <v>0</v>
      </c>
      <c r="H52" s="86"/>
      <c r="I52" s="85">
        <f t="shared" si="2"/>
        <v>0</v>
      </c>
      <c r="J52" s="86"/>
      <c r="K52" s="86">
        <f t="shared" si="3"/>
        <v>0</v>
      </c>
      <c r="L52" s="86"/>
      <c r="M52" s="86">
        <f t="shared" si="4"/>
        <v>0</v>
      </c>
      <c r="N52" s="85"/>
      <c r="O52" s="86">
        <f t="shared" si="5"/>
        <v>0</v>
      </c>
      <c r="P52" s="85"/>
      <c r="Q52" s="86">
        <f t="shared" si="6"/>
        <v>0</v>
      </c>
      <c r="R52" s="85"/>
      <c r="S52" s="86">
        <f t="shared" si="7"/>
        <v>0</v>
      </c>
      <c r="T52" s="85"/>
      <c r="U52" s="86">
        <f t="shared" si="8"/>
        <v>0</v>
      </c>
      <c r="V52" s="87"/>
      <c r="W52" s="86">
        <f t="shared" si="9"/>
        <v>0</v>
      </c>
      <c r="X52" s="85"/>
      <c r="Y52" s="86">
        <f t="shared" si="10"/>
        <v>0</v>
      </c>
      <c r="Z52" s="85"/>
      <c r="AA52" s="85">
        <f t="shared" si="11"/>
        <v>0</v>
      </c>
      <c r="AB52" s="88"/>
      <c r="AC52" s="85">
        <f t="shared" si="12"/>
        <v>0</v>
      </c>
      <c r="AD52" s="89"/>
      <c r="AE52" s="85">
        <f t="shared" si="13"/>
        <v>0</v>
      </c>
      <c r="AF52" s="85"/>
      <c r="AG52" s="89">
        <f t="shared" si="14"/>
        <v>0</v>
      </c>
      <c r="AH52" s="89"/>
      <c r="AI52" s="85">
        <f t="shared" si="15"/>
        <v>0</v>
      </c>
      <c r="AJ52" s="89"/>
      <c r="AK52" s="85">
        <f t="shared" si="16"/>
        <v>0</v>
      </c>
      <c r="AL52" s="113">
        <f t="shared" si="17"/>
        <v>489</v>
      </c>
      <c r="AM52" s="23">
        <f t="shared" si="18"/>
        <v>15217.68</v>
      </c>
    </row>
    <row r="53" spans="1:39" x14ac:dyDescent="0.5">
      <c r="A53" s="16">
        <v>49</v>
      </c>
      <c r="B53" s="83" t="s">
        <v>1056</v>
      </c>
      <c r="C53" s="84" t="s">
        <v>1057</v>
      </c>
      <c r="D53" s="85"/>
      <c r="E53" s="85">
        <f t="shared" si="0"/>
        <v>0</v>
      </c>
      <c r="F53" s="86">
        <v>346</v>
      </c>
      <c r="G53" s="85">
        <f t="shared" si="1"/>
        <v>11213.859999999999</v>
      </c>
      <c r="H53" s="86"/>
      <c r="I53" s="85">
        <f t="shared" si="2"/>
        <v>0</v>
      </c>
      <c r="J53" s="86"/>
      <c r="K53" s="86">
        <f t="shared" si="3"/>
        <v>0</v>
      </c>
      <c r="L53" s="86">
        <v>315</v>
      </c>
      <c r="M53" s="86">
        <f t="shared" si="4"/>
        <v>12048.75</v>
      </c>
      <c r="N53" s="85">
        <v>255</v>
      </c>
      <c r="O53" s="86">
        <f t="shared" si="5"/>
        <v>10710</v>
      </c>
      <c r="P53" s="85"/>
      <c r="Q53" s="86">
        <f t="shared" si="6"/>
        <v>0</v>
      </c>
      <c r="R53" s="85"/>
      <c r="S53" s="86">
        <f t="shared" si="7"/>
        <v>0</v>
      </c>
      <c r="T53" s="85"/>
      <c r="U53" s="86">
        <f t="shared" si="8"/>
        <v>0</v>
      </c>
      <c r="V53" s="87"/>
      <c r="W53" s="86">
        <f t="shared" si="9"/>
        <v>0</v>
      </c>
      <c r="X53" s="85"/>
      <c r="Y53" s="86">
        <f t="shared" si="10"/>
        <v>0</v>
      </c>
      <c r="Z53" s="85"/>
      <c r="AA53" s="85">
        <f t="shared" si="11"/>
        <v>0</v>
      </c>
      <c r="AB53" s="88"/>
      <c r="AC53" s="85">
        <f t="shared" si="12"/>
        <v>0</v>
      </c>
      <c r="AD53" s="89"/>
      <c r="AE53" s="85">
        <f t="shared" si="13"/>
        <v>0</v>
      </c>
      <c r="AF53" s="85"/>
      <c r="AG53" s="89">
        <f t="shared" si="14"/>
        <v>0</v>
      </c>
      <c r="AH53" s="89"/>
      <c r="AI53" s="85">
        <f t="shared" si="15"/>
        <v>0</v>
      </c>
      <c r="AJ53" s="89">
        <v>329</v>
      </c>
      <c r="AK53" s="85">
        <f t="shared" si="16"/>
        <v>12064.43</v>
      </c>
      <c r="AL53" s="113">
        <f t="shared" si="17"/>
        <v>1245</v>
      </c>
      <c r="AM53" s="23">
        <f t="shared" si="18"/>
        <v>46037.04</v>
      </c>
    </row>
    <row r="54" spans="1:39" x14ac:dyDescent="0.5">
      <c r="A54" s="16">
        <v>50</v>
      </c>
      <c r="B54" s="83" t="s">
        <v>1058</v>
      </c>
      <c r="C54" s="84" t="s">
        <v>1057</v>
      </c>
      <c r="D54" s="85"/>
      <c r="E54" s="85">
        <f t="shared" si="0"/>
        <v>0</v>
      </c>
      <c r="F54" s="86">
        <v>144</v>
      </c>
      <c r="G54" s="85">
        <f t="shared" si="1"/>
        <v>4667.0399999999991</v>
      </c>
      <c r="H54" s="86">
        <v>146</v>
      </c>
      <c r="I54" s="85">
        <f t="shared" si="2"/>
        <v>4819.46</v>
      </c>
      <c r="J54" s="86"/>
      <c r="K54" s="86">
        <f t="shared" si="3"/>
        <v>0</v>
      </c>
      <c r="L54" s="86"/>
      <c r="M54" s="86">
        <f t="shared" si="4"/>
        <v>0</v>
      </c>
      <c r="N54" s="85">
        <v>170</v>
      </c>
      <c r="O54" s="86">
        <f t="shared" si="5"/>
        <v>7140</v>
      </c>
      <c r="P54" s="85">
        <v>370</v>
      </c>
      <c r="Q54" s="86">
        <f t="shared" si="6"/>
        <v>14319.000000000002</v>
      </c>
      <c r="R54" s="85">
        <v>589</v>
      </c>
      <c r="S54" s="86">
        <f t="shared" si="7"/>
        <v>19849.300000000003</v>
      </c>
      <c r="T54" s="85">
        <v>309</v>
      </c>
      <c r="U54" s="86">
        <f t="shared" si="8"/>
        <v>10135.199999999999</v>
      </c>
      <c r="V54" s="87">
        <v>376</v>
      </c>
      <c r="W54" s="86">
        <f t="shared" si="9"/>
        <v>13216.4</v>
      </c>
      <c r="X54" s="85">
        <v>176</v>
      </c>
      <c r="Y54" s="86">
        <f t="shared" si="10"/>
        <v>6100.16</v>
      </c>
      <c r="Z54" s="85">
        <v>223</v>
      </c>
      <c r="AA54" s="85">
        <f t="shared" si="11"/>
        <v>8039.15</v>
      </c>
      <c r="AB54" s="88">
        <v>398</v>
      </c>
      <c r="AC54" s="85">
        <f t="shared" si="12"/>
        <v>13945.92</v>
      </c>
      <c r="AD54" s="89">
        <v>344</v>
      </c>
      <c r="AE54" s="85">
        <f t="shared" si="13"/>
        <v>11757.92</v>
      </c>
      <c r="AF54" s="85">
        <v>781</v>
      </c>
      <c r="AG54" s="89">
        <f t="shared" si="14"/>
        <v>26007.3</v>
      </c>
      <c r="AH54" s="89">
        <v>770</v>
      </c>
      <c r="AI54" s="85">
        <f t="shared" si="15"/>
        <v>27681.500000000004</v>
      </c>
      <c r="AJ54" s="89">
        <v>385</v>
      </c>
      <c r="AK54" s="85">
        <f t="shared" si="16"/>
        <v>14117.95</v>
      </c>
      <c r="AL54" s="113">
        <f t="shared" si="17"/>
        <v>5181</v>
      </c>
      <c r="AM54" s="23">
        <f t="shared" si="18"/>
        <v>181796.3</v>
      </c>
    </row>
    <row r="55" spans="1:39" x14ac:dyDescent="0.5">
      <c r="A55" s="16">
        <v>51</v>
      </c>
      <c r="B55" s="83" t="s">
        <v>1059</v>
      </c>
      <c r="C55" s="84" t="s">
        <v>537</v>
      </c>
      <c r="D55" s="85"/>
      <c r="E55" s="85"/>
      <c r="F55" s="86"/>
      <c r="G55" s="85"/>
      <c r="H55" s="86"/>
      <c r="I55" s="85"/>
      <c r="J55" s="86"/>
      <c r="K55" s="86"/>
      <c r="L55" s="86"/>
      <c r="M55" s="86"/>
      <c r="N55" s="85"/>
      <c r="O55" s="86"/>
      <c r="P55" s="85"/>
      <c r="Q55" s="86"/>
      <c r="R55" s="85"/>
      <c r="S55" s="86"/>
      <c r="T55" s="85"/>
      <c r="U55" s="86"/>
      <c r="V55" s="87"/>
      <c r="W55" s="86"/>
      <c r="X55" s="85"/>
      <c r="Y55" s="86"/>
      <c r="Z55" s="85"/>
      <c r="AA55" s="85"/>
      <c r="AB55" s="88"/>
      <c r="AC55" s="85"/>
      <c r="AD55" s="89"/>
      <c r="AE55" s="85"/>
      <c r="AF55" s="85"/>
      <c r="AG55" s="89"/>
      <c r="AH55" s="89"/>
      <c r="AI55" s="85"/>
      <c r="AJ55" s="89">
        <v>278</v>
      </c>
      <c r="AK55" s="85">
        <f t="shared" si="16"/>
        <v>10194.26</v>
      </c>
      <c r="AL55" s="113">
        <f t="shared" si="17"/>
        <v>278</v>
      </c>
      <c r="AM55" s="23">
        <f t="shared" si="18"/>
        <v>10194.26</v>
      </c>
    </row>
    <row r="56" spans="1:39" s="114" customFormat="1" x14ac:dyDescent="0.5">
      <c r="A56" s="16">
        <v>52</v>
      </c>
      <c r="B56" s="83" t="s">
        <v>1060</v>
      </c>
      <c r="C56" s="84"/>
      <c r="D56" s="85"/>
      <c r="E56" s="85">
        <f t="shared" si="0"/>
        <v>0</v>
      </c>
      <c r="F56" s="86"/>
      <c r="G56" s="85">
        <f t="shared" si="1"/>
        <v>0</v>
      </c>
      <c r="H56" s="86"/>
      <c r="I56" s="85">
        <f t="shared" si="2"/>
        <v>0</v>
      </c>
      <c r="J56" s="86"/>
      <c r="K56" s="86">
        <f t="shared" si="3"/>
        <v>0</v>
      </c>
      <c r="L56" s="86"/>
      <c r="M56" s="86">
        <f t="shared" si="4"/>
        <v>0</v>
      </c>
      <c r="N56" s="85"/>
      <c r="O56" s="86">
        <f t="shared" si="5"/>
        <v>0</v>
      </c>
      <c r="P56" s="85"/>
      <c r="Q56" s="86">
        <f t="shared" si="6"/>
        <v>0</v>
      </c>
      <c r="R56" s="85"/>
      <c r="S56" s="86">
        <f t="shared" si="7"/>
        <v>0</v>
      </c>
      <c r="T56" s="85"/>
      <c r="U56" s="86">
        <f t="shared" si="8"/>
        <v>0</v>
      </c>
      <c r="V56" s="87"/>
      <c r="W56" s="86">
        <f t="shared" si="9"/>
        <v>0</v>
      </c>
      <c r="X56" s="85"/>
      <c r="Y56" s="86">
        <f t="shared" si="10"/>
        <v>0</v>
      </c>
      <c r="Z56" s="85"/>
      <c r="AA56" s="85">
        <f t="shared" si="11"/>
        <v>0</v>
      </c>
      <c r="AB56" s="88">
        <v>193</v>
      </c>
      <c r="AC56" s="85">
        <f t="shared" si="12"/>
        <v>6762.72</v>
      </c>
      <c r="AD56" s="89">
        <v>414</v>
      </c>
      <c r="AE56" s="85">
        <f t="shared" si="13"/>
        <v>14150.52</v>
      </c>
      <c r="AF56" s="85"/>
      <c r="AG56" s="89">
        <f t="shared" si="14"/>
        <v>0</v>
      </c>
      <c r="AH56" s="89"/>
      <c r="AI56" s="85">
        <f t="shared" si="15"/>
        <v>0</v>
      </c>
      <c r="AJ56" s="89"/>
      <c r="AK56" s="85">
        <f t="shared" si="16"/>
        <v>0</v>
      </c>
      <c r="AL56" s="113">
        <f t="shared" si="17"/>
        <v>607</v>
      </c>
      <c r="AM56" s="23">
        <f t="shared" si="18"/>
        <v>20913.240000000002</v>
      </c>
    </row>
    <row r="57" spans="1:39" x14ac:dyDescent="0.5">
      <c r="A57" s="16">
        <v>53</v>
      </c>
      <c r="B57" s="83" t="s">
        <v>835</v>
      </c>
      <c r="C57" s="84" t="s">
        <v>1061</v>
      </c>
      <c r="D57" s="85">
        <v>272</v>
      </c>
      <c r="E57" s="85">
        <f t="shared" si="0"/>
        <v>8464.64</v>
      </c>
      <c r="F57" s="86"/>
      <c r="G57" s="85">
        <f t="shared" si="1"/>
        <v>0</v>
      </c>
      <c r="H57" s="86">
        <v>251</v>
      </c>
      <c r="I57" s="85">
        <f t="shared" si="2"/>
        <v>8285.51</v>
      </c>
      <c r="J57" s="86"/>
      <c r="K57" s="86">
        <f t="shared" si="3"/>
        <v>0</v>
      </c>
      <c r="L57" s="86"/>
      <c r="M57" s="86">
        <f t="shared" si="4"/>
        <v>0</v>
      </c>
      <c r="N57" s="85"/>
      <c r="O57" s="86">
        <f t="shared" si="5"/>
        <v>0</v>
      </c>
      <c r="P57" s="85"/>
      <c r="Q57" s="86">
        <f t="shared" si="6"/>
        <v>0</v>
      </c>
      <c r="R57" s="85"/>
      <c r="S57" s="86">
        <f t="shared" si="7"/>
        <v>0</v>
      </c>
      <c r="T57" s="85">
        <v>264</v>
      </c>
      <c r="U57" s="86">
        <f t="shared" si="8"/>
        <v>8659.1999999999989</v>
      </c>
      <c r="V57" s="87">
        <v>350</v>
      </c>
      <c r="W57" s="86">
        <f t="shared" si="9"/>
        <v>12302.5</v>
      </c>
      <c r="X57" s="85">
        <v>310</v>
      </c>
      <c r="Y57" s="86">
        <f t="shared" si="10"/>
        <v>10744.599999999999</v>
      </c>
      <c r="Z57" s="85">
        <v>197</v>
      </c>
      <c r="AA57" s="85">
        <f t="shared" si="11"/>
        <v>7101.8499999999995</v>
      </c>
      <c r="AB57" s="88">
        <v>233</v>
      </c>
      <c r="AC57" s="85">
        <f t="shared" si="12"/>
        <v>8164.32</v>
      </c>
      <c r="AD57" s="89">
        <v>278</v>
      </c>
      <c r="AE57" s="85">
        <f t="shared" si="13"/>
        <v>9502.0399999999991</v>
      </c>
      <c r="AF57" s="85">
        <v>267</v>
      </c>
      <c r="AG57" s="89">
        <f t="shared" si="14"/>
        <v>8891.0999999999985</v>
      </c>
      <c r="AH57" s="89">
        <v>282</v>
      </c>
      <c r="AI57" s="85">
        <f t="shared" si="15"/>
        <v>10137.900000000001</v>
      </c>
      <c r="AJ57" s="89">
        <v>294</v>
      </c>
      <c r="AK57" s="85">
        <f t="shared" si="16"/>
        <v>10780.980000000001</v>
      </c>
      <c r="AL57" s="113">
        <f t="shared" si="17"/>
        <v>2998</v>
      </c>
      <c r="AM57" s="23">
        <f t="shared" si="18"/>
        <v>103034.63999999997</v>
      </c>
    </row>
    <row r="58" spans="1:39" s="114" customFormat="1" x14ac:dyDescent="0.5">
      <c r="A58" s="16">
        <v>54</v>
      </c>
      <c r="B58" s="83" t="s">
        <v>1062</v>
      </c>
      <c r="C58" s="84" t="s">
        <v>1063</v>
      </c>
      <c r="D58" s="85"/>
      <c r="E58" s="85">
        <f t="shared" si="0"/>
        <v>0</v>
      </c>
      <c r="F58" s="86"/>
      <c r="G58" s="85">
        <f t="shared" si="1"/>
        <v>0</v>
      </c>
      <c r="H58" s="86"/>
      <c r="I58" s="85">
        <f t="shared" si="2"/>
        <v>0</v>
      </c>
      <c r="J58" s="86"/>
      <c r="K58" s="86">
        <f t="shared" si="3"/>
        <v>0</v>
      </c>
      <c r="L58" s="86"/>
      <c r="M58" s="86">
        <f t="shared" si="4"/>
        <v>0</v>
      </c>
      <c r="N58" s="85"/>
      <c r="O58" s="86">
        <f t="shared" si="5"/>
        <v>0</v>
      </c>
      <c r="P58" s="85"/>
      <c r="Q58" s="86">
        <f t="shared" si="6"/>
        <v>0</v>
      </c>
      <c r="R58" s="85"/>
      <c r="S58" s="86">
        <f t="shared" si="7"/>
        <v>0</v>
      </c>
      <c r="T58" s="85"/>
      <c r="U58" s="86">
        <f t="shared" si="8"/>
        <v>0</v>
      </c>
      <c r="V58" s="87">
        <v>792</v>
      </c>
      <c r="W58" s="86">
        <f t="shared" si="9"/>
        <v>27838.799999999999</v>
      </c>
      <c r="X58" s="85"/>
      <c r="Y58" s="86">
        <f t="shared" si="10"/>
        <v>0</v>
      </c>
      <c r="Z58" s="85"/>
      <c r="AA58" s="85">
        <f t="shared" si="11"/>
        <v>0</v>
      </c>
      <c r="AB58" s="88"/>
      <c r="AC58" s="85">
        <f t="shared" si="12"/>
        <v>0</v>
      </c>
      <c r="AD58" s="89"/>
      <c r="AE58" s="85">
        <f t="shared" si="13"/>
        <v>0</v>
      </c>
      <c r="AF58" s="85"/>
      <c r="AG58" s="89">
        <f t="shared" si="14"/>
        <v>0</v>
      </c>
      <c r="AH58" s="89"/>
      <c r="AI58" s="85">
        <f t="shared" si="15"/>
        <v>0</v>
      </c>
      <c r="AJ58" s="89"/>
      <c r="AK58" s="85">
        <f t="shared" si="16"/>
        <v>0</v>
      </c>
      <c r="AL58" s="113">
        <f t="shared" si="17"/>
        <v>792</v>
      </c>
      <c r="AM58" s="23">
        <f t="shared" si="18"/>
        <v>27838.799999999999</v>
      </c>
    </row>
    <row r="59" spans="1:39" x14ac:dyDescent="0.5">
      <c r="A59" s="16">
        <v>55</v>
      </c>
      <c r="B59" s="83" t="s">
        <v>1064</v>
      </c>
      <c r="C59" s="84" t="s">
        <v>1065</v>
      </c>
      <c r="D59" s="85"/>
      <c r="E59" s="85">
        <f t="shared" si="0"/>
        <v>0</v>
      </c>
      <c r="F59" s="86"/>
      <c r="G59" s="85">
        <f t="shared" si="1"/>
        <v>0</v>
      </c>
      <c r="H59" s="86"/>
      <c r="I59" s="85">
        <f t="shared" si="2"/>
        <v>0</v>
      </c>
      <c r="J59" s="86"/>
      <c r="K59" s="86">
        <f t="shared" si="3"/>
        <v>0</v>
      </c>
      <c r="L59" s="86"/>
      <c r="M59" s="86">
        <f t="shared" si="4"/>
        <v>0</v>
      </c>
      <c r="N59" s="85"/>
      <c r="O59" s="86">
        <f t="shared" si="5"/>
        <v>0</v>
      </c>
      <c r="P59" s="85"/>
      <c r="Q59" s="86">
        <f t="shared" si="6"/>
        <v>0</v>
      </c>
      <c r="R59" s="85"/>
      <c r="S59" s="86">
        <f t="shared" si="7"/>
        <v>0</v>
      </c>
      <c r="T59" s="85"/>
      <c r="U59" s="86">
        <f t="shared" si="8"/>
        <v>0</v>
      </c>
      <c r="V59" s="87"/>
      <c r="W59" s="86">
        <f t="shared" si="9"/>
        <v>0</v>
      </c>
      <c r="X59" s="85"/>
      <c r="Y59" s="86">
        <f t="shared" si="10"/>
        <v>0</v>
      </c>
      <c r="Z59" s="85"/>
      <c r="AA59" s="85">
        <f t="shared" si="11"/>
        <v>0</v>
      </c>
      <c r="AB59" s="88"/>
      <c r="AC59" s="85">
        <f t="shared" si="12"/>
        <v>0</v>
      </c>
      <c r="AD59" s="89">
        <v>343</v>
      </c>
      <c r="AE59" s="85">
        <f t="shared" si="13"/>
        <v>11723.74</v>
      </c>
      <c r="AF59" s="85"/>
      <c r="AG59" s="89">
        <f t="shared" si="14"/>
        <v>0</v>
      </c>
      <c r="AH59" s="89"/>
      <c r="AI59" s="85">
        <f t="shared" si="15"/>
        <v>0</v>
      </c>
      <c r="AJ59" s="89">
        <v>265</v>
      </c>
      <c r="AK59" s="85">
        <f t="shared" si="16"/>
        <v>9717.5500000000011</v>
      </c>
      <c r="AL59" s="113">
        <f t="shared" si="17"/>
        <v>608</v>
      </c>
      <c r="AM59" s="23">
        <f t="shared" si="18"/>
        <v>21441.29</v>
      </c>
    </row>
    <row r="60" spans="1:39" x14ac:dyDescent="0.5">
      <c r="A60" s="16">
        <v>56</v>
      </c>
      <c r="B60" s="83" t="s">
        <v>373</v>
      </c>
      <c r="C60" s="84" t="s">
        <v>1066</v>
      </c>
      <c r="D60" s="85">
        <v>313</v>
      </c>
      <c r="E60" s="85">
        <f t="shared" si="0"/>
        <v>9740.56</v>
      </c>
      <c r="F60" s="86"/>
      <c r="G60" s="85">
        <f t="shared" si="1"/>
        <v>0</v>
      </c>
      <c r="H60" s="86"/>
      <c r="I60" s="85">
        <f t="shared" si="2"/>
        <v>0</v>
      </c>
      <c r="J60" s="86"/>
      <c r="K60" s="86">
        <f t="shared" si="3"/>
        <v>0</v>
      </c>
      <c r="L60" s="86"/>
      <c r="M60" s="86">
        <f t="shared" si="4"/>
        <v>0</v>
      </c>
      <c r="N60" s="85">
        <v>986</v>
      </c>
      <c r="O60" s="86">
        <f t="shared" si="5"/>
        <v>41412</v>
      </c>
      <c r="P60" s="85">
        <v>1161</v>
      </c>
      <c r="Q60" s="86">
        <f t="shared" si="6"/>
        <v>44930.700000000004</v>
      </c>
      <c r="R60" s="85">
        <v>1220</v>
      </c>
      <c r="S60" s="86">
        <f t="shared" si="7"/>
        <v>41114</v>
      </c>
      <c r="T60" s="85">
        <v>1160</v>
      </c>
      <c r="U60" s="86">
        <f t="shared" si="8"/>
        <v>38048</v>
      </c>
      <c r="V60" s="87">
        <v>1310</v>
      </c>
      <c r="W60" s="86">
        <f t="shared" si="9"/>
        <v>46046.5</v>
      </c>
      <c r="X60" s="85">
        <v>1030</v>
      </c>
      <c r="Y60" s="86">
        <f t="shared" si="10"/>
        <v>35699.799999999996</v>
      </c>
      <c r="Z60" s="85">
        <v>1702</v>
      </c>
      <c r="AA60" s="85">
        <f t="shared" si="11"/>
        <v>61357.1</v>
      </c>
      <c r="AB60" s="88">
        <v>1068</v>
      </c>
      <c r="AC60" s="85">
        <f t="shared" si="12"/>
        <v>37422.720000000001</v>
      </c>
      <c r="AD60" s="89">
        <v>1780</v>
      </c>
      <c r="AE60" s="85">
        <f t="shared" si="13"/>
        <v>60840.4</v>
      </c>
      <c r="AF60" s="85">
        <v>1543</v>
      </c>
      <c r="AG60" s="89">
        <f t="shared" si="14"/>
        <v>51381.899999999994</v>
      </c>
      <c r="AH60" s="89">
        <v>2057</v>
      </c>
      <c r="AI60" s="85">
        <f t="shared" si="15"/>
        <v>73949.150000000009</v>
      </c>
      <c r="AJ60" s="89"/>
      <c r="AK60" s="85">
        <f t="shared" si="16"/>
        <v>0</v>
      </c>
      <c r="AL60" s="113">
        <f t="shared" si="17"/>
        <v>15330</v>
      </c>
      <c r="AM60" s="23">
        <f t="shared" si="18"/>
        <v>541942.83000000007</v>
      </c>
    </row>
    <row r="61" spans="1:39" s="114" customFormat="1" x14ac:dyDescent="0.5">
      <c r="A61" s="16">
        <v>57</v>
      </c>
      <c r="B61" s="83" t="s">
        <v>658</v>
      </c>
      <c r="C61" s="84" t="s">
        <v>1067</v>
      </c>
      <c r="D61" s="85">
        <v>370</v>
      </c>
      <c r="E61" s="85">
        <f t="shared" si="0"/>
        <v>11514.4</v>
      </c>
      <c r="F61" s="86"/>
      <c r="G61" s="85">
        <f t="shared" si="1"/>
        <v>0</v>
      </c>
      <c r="H61" s="86"/>
      <c r="I61" s="85">
        <f t="shared" si="2"/>
        <v>0</v>
      </c>
      <c r="J61" s="86"/>
      <c r="K61" s="86">
        <f t="shared" si="3"/>
        <v>0</v>
      </c>
      <c r="L61" s="86"/>
      <c r="M61" s="86">
        <f t="shared" si="4"/>
        <v>0</v>
      </c>
      <c r="N61" s="85"/>
      <c r="O61" s="86">
        <f t="shared" si="5"/>
        <v>0</v>
      </c>
      <c r="P61" s="85"/>
      <c r="Q61" s="86">
        <f t="shared" si="6"/>
        <v>0</v>
      </c>
      <c r="R61" s="85"/>
      <c r="S61" s="86">
        <f t="shared" si="7"/>
        <v>0</v>
      </c>
      <c r="T61" s="85"/>
      <c r="U61" s="86">
        <f t="shared" si="8"/>
        <v>0</v>
      </c>
      <c r="V61" s="87"/>
      <c r="W61" s="86">
        <f t="shared" si="9"/>
        <v>0</v>
      </c>
      <c r="X61" s="85"/>
      <c r="Y61" s="86">
        <f t="shared" si="10"/>
        <v>0</v>
      </c>
      <c r="Z61" s="85"/>
      <c r="AA61" s="85">
        <f t="shared" si="11"/>
        <v>0</v>
      </c>
      <c r="AB61" s="88"/>
      <c r="AC61" s="85">
        <f t="shared" si="12"/>
        <v>0</v>
      </c>
      <c r="AD61" s="89"/>
      <c r="AE61" s="85">
        <f t="shared" si="13"/>
        <v>0</v>
      </c>
      <c r="AF61" s="85"/>
      <c r="AG61" s="89">
        <f t="shared" si="14"/>
        <v>0</v>
      </c>
      <c r="AH61" s="89"/>
      <c r="AI61" s="85">
        <f t="shared" si="15"/>
        <v>0</v>
      </c>
      <c r="AJ61" s="89"/>
      <c r="AK61" s="85">
        <f t="shared" si="16"/>
        <v>0</v>
      </c>
      <c r="AL61" s="113">
        <f t="shared" si="17"/>
        <v>370</v>
      </c>
      <c r="AM61" s="23">
        <f t="shared" si="18"/>
        <v>11514.4</v>
      </c>
    </row>
    <row r="62" spans="1:39" x14ac:dyDescent="0.5">
      <c r="A62" s="16">
        <v>58</v>
      </c>
      <c r="B62" s="83" t="s">
        <v>1068</v>
      </c>
      <c r="C62" s="84" t="s">
        <v>1069</v>
      </c>
      <c r="D62" s="85">
        <v>226</v>
      </c>
      <c r="E62" s="85">
        <f t="shared" si="0"/>
        <v>7033.12</v>
      </c>
      <c r="F62" s="86"/>
      <c r="G62" s="85">
        <f t="shared" si="1"/>
        <v>0</v>
      </c>
      <c r="H62" s="86"/>
      <c r="I62" s="85">
        <f t="shared" si="2"/>
        <v>0</v>
      </c>
      <c r="J62" s="86"/>
      <c r="K62" s="86">
        <f t="shared" si="3"/>
        <v>0</v>
      </c>
      <c r="L62" s="86"/>
      <c r="M62" s="86">
        <f t="shared" si="4"/>
        <v>0</v>
      </c>
      <c r="N62" s="85"/>
      <c r="O62" s="86">
        <f t="shared" si="5"/>
        <v>0</v>
      </c>
      <c r="P62" s="85">
        <v>271</v>
      </c>
      <c r="Q62" s="86">
        <f t="shared" si="6"/>
        <v>10487.7</v>
      </c>
      <c r="R62" s="85">
        <v>397</v>
      </c>
      <c r="S62" s="86">
        <f t="shared" si="7"/>
        <v>13378.900000000001</v>
      </c>
      <c r="T62" s="85">
        <v>201</v>
      </c>
      <c r="U62" s="86">
        <f t="shared" si="8"/>
        <v>6592.7999999999993</v>
      </c>
      <c r="V62" s="87">
        <v>230</v>
      </c>
      <c r="W62" s="86">
        <f t="shared" si="9"/>
        <v>8084.5</v>
      </c>
      <c r="X62" s="85">
        <v>277</v>
      </c>
      <c r="Y62" s="86">
        <f t="shared" si="10"/>
        <v>9600.82</v>
      </c>
      <c r="Z62" s="85"/>
      <c r="AA62" s="85">
        <f t="shared" si="11"/>
        <v>0</v>
      </c>
      <c r="AB62" s="88">
        <v>263</v>
      </c>
      <c r="AC62" s="85">
        <f t="shared" si="12"/>
        <v>9215.52</v>
      </c>
      <c r="AD62" s="89">
        <v>257</v>
      </c>
      <c r="AE62" s="85">
        <f t="shared" si="13"/>
        <v>8784.26</v>
      </c>
      <c r="AF62" s="85">
        <v>234</v>
      </c>
      <c r="AG62" s="89">
        <f t="shared" si="14"/>
        <v>7792.1999999999989</v>
      </c>
      <c r="AH62" s="89">
        <v>301</v>
      </c>
      <c r="AI62" s="85">
        <f t="shared" si="15"/>
        <v>10820.95</v>
      </c>
      <c r="AJ62" s="89"/>
      <c r="AK62" s="85">
        <f t="shared" si="16"/>
        <v>0</v>
      </c>
      <c r="AL62" s="113">
        <f t="shared" si="17"/>
        <v>2657</v>
      </c>
      <c r="AM62" s="23">
        <f t="shared" si="18"/>
        <v>91790.76999999999</v>
      </c>
    </row>
    <row r="63" spans="1:39" s="114" customFormat="1" x14ac:dyDescent="0.5">
      <c r="A63" s="16">
        <v>59</v>
      </c>
      <c r="B63" s="83" t="s">
        <v>1070</v>
      </c>
      <c r="C63" s="84" t="s">
        <v>1071</v>
      </c>
      <c r="D63" s="85">
        <v>746</v>
      </c>
      <c r="E63" s="85">
        <f t="shared" si="0"/>
        <v>23215.52</v>
      </c>
      <c r="F63" s="86"/>
      <c r="G63" s="85">
        <f t="shared" si="1"/>
        <v>0</v>
      </c>
      <c r="H63" s="86"/>
      <c r="I63" s="85">
        <f t="shared" si="2"/>
        <v>0</v>
      </c>
      <c r="J63" s="86"/>
      <c r="K63" s="86">
        <f t="shared" si="3"/>
        <v>0</v>
      </c>
      <c r="L63" s="86"/>
      <c r="M63" s="86">
        <f t="shared" si="4"/>
        <v>0</v>
      </c>
      <c r="N63" s="85"/>
      <c r="O63" s="86">
        <f t="shared" si="5"/>
        <v>0</v>
      </c>
      <c r="P63" s="85"/>
      <c r="Q63" s="86">
        <f t="shared" si="6"/>
        <v>0</v>
      </c>
      <c r="R63" s="85"/>
      <c r="S63" s="86">
        <f t="shared" si="7"/>
        <v>0</v>
      </c>
      <c r="T63" s="85"/>
      <c r="U63" s="86">
        <f t="shared" si="8"/>
        <v>0</v>
      </c>
      <c r="V63" s="87"/>
      <c r="W63" s="86">
        <f t="shared" si="9"/>
        <v>0</v>
      </c>
      <c r="X63" s="85"/>
      <c r="Y63" s="86">
        <f t="shared" si="10"/>
        <v>0</v>
      </c>
      <c r="Z63" s="85"/>
      <c r="AA63" s="85">
        <f t="shared" si="11"/>
        <v>0</v>
      </c>
      <c r="AB63" s="88"/>
      <c r="AC63" s="85">
        <f t="shared" si="12"/>
        <v>0</v>
      </c>
      <c r="AD63" s="89"/>
      <c r="AE63" s="85">
        <f t="shared" si="13"/>
        <v>0</v>
      </c>
      <c r="AF63" s="85"/>
      <c r="AG63" s="89">
        <f t="shared" si="14"/>
        <v>0</v>
      </c>
      <c r="AH63" s="89"/>
      <c r="AI63" s="85">
        <f t="shared" si="15"/>
        <v>0</v>
      </c>
      <c r="AJ63" s="89"/>
      <c r="AK63" s="85">
        <f t="shared" si="16"/>
        <v>0</v>
      </c>
      <c r="AL63" s="113">
        <f t="shared" si="17"/>
        <v>746</v>
      </c>
      <c r="AM63" s="23">
        <f t="shared" si="18"/>
        <v>23215.52</v>
      </c>
    </row>
    <row r="64" spans="1:39" x14ac:dyDescent="0.5">
      <c r="A64" s="16">
        <v>60</v>
      </c>
      <c r="B64" s="83" t="s">
        <v>1072</v>
      </c>
      <c r="C64" s="84" t="s">
        <v>1073</v>
      </c>
      <c r="D64" s="85">
        <v>1371</v>
      </c>
      <c r="E64" s="85">
        <f t="shared" si="0"/>
        <v>42665.520000000004</v>
      </c>
      <c r="F64" s="86"/>
      <c r="G64" s="85">
        <f t="shared" si="1"/>
        <v>0</v>
      </c>
      <c r="H64" s="86"/>
      <c r="I64" s="85">
        <f t="shared" si="2"/>
        <v>0</v>
      </c>
      <c r="J64" s="86"/>
      <c r="K64" s="86">
        <f t="shared" si="3"/>
        <v>0</v>
      </c>
      <c r="L64" s="86">
        <v>906</v>
      </c>
      <c r="M64" s="86">
        <f t="shared" si="4"/>
        <v>34654.5</v>
      </c>
      <c r="N64" s="85">
        <v>1398</v>
      </c>
      <c r="O64" s="86">
        <f t="shared" si="5"/>
        <v>58716</v>
      </c>
      <c r="P64" s="85">
        <v>1225</v>
      </c>
      <c r="Q64" s="86">
        <f t="shared" si="6"/>
        <v>47407.5</v>
      </c>
      <c r="R64" s="85">
        <v>835</v>
      </c>
      <c r="S64" s="86">
        <f t="shared" si="7"/>
        <v>28139.500000000004</v>
      </c>
      <c r="T64" s="85">
        <v>1421</v>
      </c>
      <c r="U64" s="86">
        <f t="shared" si="8"/>
        <v>46608.799999999996</v>
      </c>
      <c r="V64" s="87">
        <v>1687</v>
      </c>
      <c r="W64" s="86">
        <f t="shared" si="9"/>
        <v>59298.049999999996</v>
      </c>
      <c r="X64" s="85">
        <v>1052</v>
      </c>
      <c r="Y64" s="86">
        <f t="shared" si="10"/>
        <v>36462.32</v>
      </c>
      <c r="Z64" s="85">
        <v>1003</v>
      </c>
      <c r="AA64" s="85">
        <f t="shared" si="11"/>
        <v>36158.149999999994</v>
      </c>
      <c r="AB64" s="88">
        <v>1506</v>
      </c>
      <c r="AC64" s="85">
        <f t="shared" si="12"/>
        <v>52770.239999999998</v>
      </c>
      <c r="AD64" s="89">
        <v>1081</v>
      </c>
      <c r="AE64" s="85">
        <f t="shared" si="13"/>
        <v>36948.58</v>
      </c>
      <c r="AF64" s="85">
        <v>1754</v>
      </c>
      <c r="AG64" s="89">
        <f t="shared" si="14"/>
        <v>58408.2</v>
      </c>
      <c r="AH64" s="89">
        <v>1740</v>
      </c>
      <c r="AI64" s="85">
        <f t="shared" si="15"/>
        <v>62553.000000000007</v>
      </c>
      <c r="AJ64" s="89"/>
      <c r="AK64" s="85">
        <f t="shared" si="16"/>
        <v>0</v>
      </c>
      <c r="AL64" s="113">
        <f t="shared" si="17"/>
        <v>16979</v>
      </c>
      <c r="AM64" s="23">
        <f t="shared" si="18"/>
        <v>600790.36</v>
      </c>
    </row>
    <row r="65" spans="1:39" x14ac:dyDescent="0.5">
      <c r="A65" s="16">
        <v>61</v>
      </c>
      <c r="B65" s="83" t="s">
        <v>1074</v>
      </c>
      <c r="C65" s="84" t="s">
        <v>1075</v>
      </c>
      <c r="D65" s="85"/>
      <c r="E65" s="85">
        <f t="shared" si="0"/>
        <v>0</v>
      </c>
      <c r="F65" s="86">
        <v>264</v>
      </c>
      <c r="G65" s="85">
        <f t="shared" si="1"/>
        <v>8556.24</v>
      </c>
      <c r="H65" s="86"/>
      <c r="I65" s="85">
        <f t="shared" si="2"/>
        <v>0</v>
      </c>
      <c r="J65" s="86"/>
      <c r="K65" s="86">
        <f t="shared" si="3"/>
        <v>0</v>
      </c>
      <c r="L65" s="86"/>
      <c r="M65" s="86">
        <f t="shared" si="4"/>
        <v>0</v>
      </c>
      <c r="N65" s="85">
        <v>329</v>
      </c>
      <c r="O65" s="86">
        <f t="shared" si="5"/>
        <v>13818</v>
      </c>
      <c r="P65" s="85">
        <v>378</v>
      </c>
      <c r="Q65" s="86">
        <f t="shared" si="6"/>
        <v>14628.6</v>
      </c>
      <c r="R65" s="85"/>
      <c r="S65" s="86">
        <f t="shared" si="7"/>
        <v>0</v>
      </c>
      <c r="T65" s="85"/>
      <c r="U65" s="86">
        <f t="shared" si="8"/>
        <v>0</v>
      </c>
      <c r="V65" s="87">
        <v>336</v>
      </c>
      <c r="W65" s="86">
        <f t="shared" si="9"/>
        <v>11810.4</v>
      </c>
      <c r="X65" s="85"/>
      <c r="Y65" s="86">
        <f t="shared" si="10"/>
        <v>0</v>
      </c>
      <c r="Z65" s="85"/>
      <c r="AA65" s="85">
        <f t="shared" si="11"/>
        <v>0</v>
      </c>
      <c r="AB65" s="88">
        <v>601</v>
      </c>
      <c r="AC65" s="85">
        <f t="shared" si="12"/>
        <v>21059.040000000001</v>
      </c>
      <c r="AD65" s="89">
        <v>529</v>
      </c>
      <c r="AE65" s="85">
        <f t="shared" si="13"/>
        <v>18081.22</v>
      </c>
      <c r="AF65" s="85">
        <v>522</v>
      </c>
      <c r="AG65" s="89">
        <f t="shared" si="14"/>
        <v>17382.599999999999</v>
      </c>
      <c r="AH65" s="89">
        <v>683</v>
      </c>
      <c r="AI65" s="85">
        <f t="shared" si="15"/>
        <v>24553.850000000002</v>
      </c>
      <c r="AJ65" s="89">
        <v>620</v>
      </c>
      <c r="AK65" s="85">
        <f t="shared" si="16"/>
        <v>22735.4</v>
      </c>
      <c r="AL65" s="113">
        <f t="shared" si="17"/>
        <v>4262</v>
      </c>
      <c r="AM65" s="23">
        <f t="shared" si="18"/>
        <v>152625.35</v>
      </c>
    </row>
    <row r="66" spans="1:39" x14ac:dyDescent="0.5">
      <c r="A66" s="16">
        <v>62</v>
      </c>
      <c r="B66" s="83" t="s">
        <v>1076</v>
      </c>
      <c r="C66" s="84" t="s">
        <v>1077</v>
      </c>
      <c r="D66" s="85"/>
      <c r="E66" s="85">
        <f t="shared" si="0"/>
        <v>0</v>
      </c>
      <c r="F66" s="86"/>
      <c r="G66" s="85">
        <f t="shared" si="1"/>
        <v>0</v>
      </c>
      <c r="H66" s="86"/>
      <c r="I66" s="85">
        <f t="shared" si="2"/>
        <v>0</v>
      </c>
      <c r="J66" s="86"/>
      <c r="K66" s="86">
        <f t="shared" si="3"/>
        <v>0</v>
      </c>
      <c r="L66" s="86"/>
      <c r="M66" s="86">
        <f t="shared" si="4"/>
        <v>0</v>
      </c>
      <c r="N66" s="85">
        <v>242</v>
      </c>
      <c r="O66" s="86">
        <f t="shared" si="5"/>
        <v>10164</v>
      </c>
      <c r="P66" s="85">
        <v>282</v>
      </c>
      <c r="Q66" s="86">
        <f t="shared" si="6"/>
        <v>10913.400000000001</v>
      </c>
      <c r="R66" s="85">
        <v>259</v>
      </c>
      <c r="S66" s="86">
        <f t="shared" si="7"/>
        <v>8728.3000000000011</v>
      </c>
      <c r="T66" s="85">
        <v>271</v>
      </c>
      <c r="U66" s="86">
        <f t="shared" si="8"/>
        <v>8888.7999999999993</v>
      </c>
      <c r="V66" s="87">
        <v>253</v>
      </c>
      <c r="W66" s="86">
        <f t="shared" si="9"/>
        <v>8892.9499999999989</v>
      </c>
      <c r="X66" s="85">
        <v>187</v>
      </c>
      <c r="Y66" s="86">
        <f t="shared" si="10"/>
        <v>6481.4199999999992</v>
      </c>
      <c r="Z66" s="85"/>
      <c r="AA66" s="85">
        <f t="shared" si="11"/>
        <v>0</v>
      </c>
      <c r="AB66" s="88">
        <v>234</v>
      </c>
      <c r="AC66" s="85">
        <f t="shared" si="12"/>
        <v>8199.36</v>
      </c>
      <c r="AD66" s="89">
        <v>260</v>
      </c>
      <c r="AE66" s="85">
        <f t="shared" si="13"/>
        <v>8886.7999999999993</v>
      </c>
      <c r="AF66" s="85">
        <v>246</v>
      </c>
      <c r="AG66" s="89">
        <f t="shared" si="14"/>
        <v>8191.7999999999993</v>
      </c>
      <c r="AH66" s="89">
        <v>288</v>
      </c>
      <c r="AI66" s="85">
        <f t="shared" si="15"/>
        <v>10353.6</v>
      </c>
      <c r="AJ66" s="89">
        <v>228</v>
      </c>
      <c r="AK66" s="85">
        <f t="shared" si="16"/>
        <v>8360.76</v>
      </c>
      <c r="AL66" s="113">
        <f t="shared" si="17"/>
        <v>2750</v>
      </c>
      <c r="AM66" s="23">
        <f t="shared" si="18"/>
        <v>98061.19</v>
      </c>
    </row>
    <row r="67" spans="1:39" x14ac:dyDescent="0.5">
      <c r="A67" s="16">
        <v>63</v>
      </c>
      <c r="B67" s="83" t="s">
        <v>1078</v>
      </c>
      <c r="C67" s="84" t="s">
        <v>1077</v>
      </c>
      <c r="D67" s="85">
        <v>769</v>
      </c>
      <c r="E67" s="85">
        <f t="shared" si="0"/>
        <v>23931.280000000002</v>
      </c>
      <c r="F67" s="86"/>
      <c r="G67" s="85">
        <f t="shared" si="1"/>
        <v>0</v>
      </c>
      <c r="H67" s="86">
        <v>300</v>
      </c>
      <c r="I67" s="85">
        <f t="shared" si="2"/>
        <v>9903</v>
      </c>
      <c r="J67" s="86">
        <v>257</v>
      </c>
      <c r="K67" s="86">
        <f t="shared" si="3"/>
        <v>9025.84</v>
      </c>
      <c r="L67" s="86"/>
      <c r="M67" s="86">
        <f t="shared" si="4"/>
        <v>0</v>
      </c>
      <c r="N67" s="85">
        <v>960</v>
      </c>
      <c r="O67" s="86">
        <f t="shared" si="5"/>
        <v>40320</v>
      </c>
      <c r="P67" s="85">
        <v>722</v>
      </c>
      <c r="Q67" s="86">
        <f t="shared" si="6"/>
        <v>27941.4</v>
      </c>
      <c r="R67" s="85">
        <v>1017</v>
      </c>
      <c r="S67" s="86">
        <f t="shared" si="7"/>
        <v>34272.9</v>
      </c>
      <c r="T67" s="85">
        <v>877</v>
      </c>
      <c r="U67" s="86">
        <f t="shared" si="8"/>
        <v>28765.599999999999</v>
      </c>
      <c r="V67" s="87">
        <v>838</v>
      </c>
      <c r="W67" s="86">
        <f t="shared" si="9"/>
        <v>29455.699999999997</v>
      </c>
      <c r="X67" s="85">
        <v>646</v>
      </c>
      <c r="Y67" s="86">
        <f t="shared" si="10"/>
        <v>22390.359999999997</v>
      </c>
      <c r="Z67" s="85">
        <v>654</v>
      </c>
      <c r="AA67" s="85">
        <f t="shared" si="11"/>
        <v>23576.699999999997</v>
      </c>
      <c r="AB67" s="88">
        <v>762</v>
      </c>
      <c r="AC67" s="85">
        <f t="shared" si="12"/>
        <v>26700.48</v>
      </c>
      <c r="AD67" s="89">
        <v>826</v>
      </c>
      <c r="AE67" s="85">
        <f t="shared" si="13"/>
        <v>28232.68</v>
      </c>
      <c r="AF67" s="85">
        <v>757</v>
      </c>
      <c r="AG67" s="89">
        <f t="shared" si="14"/>
        <v>25208.1</v>
      </c>
      <c r="AH67" s="89">
        <v>815</v>
      </c>
      <c r="AI67" s="85">
        <f t="shared" si="15"/>
        <v>29299.250000000004</v>
      </c>
      <c r="AJ67" s="89">
        <v>770</v>
      </c>
      <c r="AK67" s="85">
        <f t="shared" si="16"/>
        <v>28235.9</v>
      </c>
      <c r="AL67" s="113">
        <f t="shared" si="17"/>
        <v>10970</v>
      </c>
      <c r="AM67" s="23">
        <f t="shared" si="18"/>
        <v>387259.18999999994</v>
      </c>
    </row>
    <row r="68" spans="1:39" x14ac:dyDescent="0.5">
      <c r="A68" s="16">
        <v>64</v>
      </c>
      <c r="B68" s="83" t="s">
        <v>1079</v>
      </c>
      <c r="C68" s="84" t="s">
        <v>1077</v>
      </c>
      <c r="D68" s="85">
        <v>175</v>
      </c>
      <c r="E68" s="85">
        <f t="shared" si="0"/>
        <v>5446</v>
      </c>
      <c r="F68" s="86"/>
      <c r="G68" s="85">
        <f t="shared" si="1"/>
        <v>0</v>
      </c>
      <c r="H68" s="86"/>
      <c r="I68" s="85">
        <f t="shared" si="2"/>
        <v>0</v>
      </c>
      <c r="J68" s="86">
        <v>139</v>
      </c>
      <c r="K68" s="86">
        <f t="shared" si="3"/>
        <v>4881.6799999999994</v>
      </c>
      <c r="L68" s="86">
        <v>159</v>
      </c>
      <c r="M68" s="86">
        <f t="shared" si="4"/>
        <v>6081.75</v>
      </c>
      <c r="N68" s="85">
        <v>236</v>
      </c>
      <c r="O68" s="86">
        <f t="shared" si="5"/>
        <v>9912</v>
      </c>
      <c r="P68" s="85">
        <v>214</v>
      </c>
      <c r="Q68" s="86">
        <f t="shared" si="6"/>
        <v>8281.8000000000011</v>
      </c>
      <c r="R68" s="85">
        <v>322</v>
      </c>
      <c r="S68" s="86">
        <f t="shared" si="7"/>
        <v>10851.400000000001</v>
      </c>
      <c r="T68" s="85">
        <v>303</v>
      </c>
      <c r="U68" s="86">
        <f t="shared" si="8"/>
        <v>9938.4</v>
      </c>
      <c r="V68" s="87">
        <v>320</v>
      </c>
      <c r="W68" s="86">
        <f t="shared" si="9"/>
        <v>11248</v>
      </c>
      <c r="X68" s="85">
        <v>234</v>
      </c>
      <c r="Y68" s="86">
        <f t="shared" si="10"/>
        <v>8110.44</v>
      </c>
      <c r="Z68" s="85"/>
      <c r="AA68" s="85">
        <f t="shared" si="11"/>
        <v>0</v>
      </c>
      <c r="AB68" s="88">
        <v>366</v>
      </c>
      <c r="AC68" s="85">
        <f t="shared" si="12"/>
        <v>12824.64</v>
      </c>
      <c r="AD68" s="89">
        <v>364</v>
      </c>
      <c r="AE68" s="85">
        <f t="shared" si="13"/>
        <v>12441.52</v>
      </c>
      <c r="AF68" s="85">
        <v>300</v>
      </c>
      <c r="AG68" s="89">
        <f t="shared" si="14"/>
        <v>9990</v>
      </c>
      <c r="AH68" s="89">
        <v>386</v>
      </c>
      <c r="AI68" s="85">
        <f t="shared" si="15"/>
        <v>13876.7</v>
      </c>
      <c r="AJ68" s="89">
        <v>306</v>
      </c>
      <c r="AK68" s="85">
        <f t="shared" si="16"/>
        <v>11221.02</v>
      </c>
      <c r="AL68" s="113">
        <f t="shared" si="17"/>
        <v>3824</v>
      </c>
      <c r="AM68" s="23">
        <f t="shared" si="18"/>
        <v>135105.35</v>
      </c>
    </row>
    <row r="69" spans="1:39" x14ac:dyDescent="0.5">
      <c r="A69" s="16">
        <v>65</v>
      </c>
      <c r="B69" s="83" t="s">
        <v>1080</v>
      </c>
      <c r="C69" s="84" t="s">
        <v>1077</v>
      </c>
      <c r="D69" s="85"/>
      <c r="E69" s="85"/>
      <c r="F69" s="86"/>
      <c r="G69" s="85"/>
      <c r="H69" s="86"/>
      <c r="I69" s="85"/>
      <c r="J69" s="86"/>
      <c r="K69" s="86"/>
      <c r="L69" s="86"/>
      <c r="M69" s="86"/>
      <c r="N69" s="85"/>
      <c r="O69" s="86"/>
      <c r="P69" s="85"/>
      <c r="Q69" s="86"/>
      <c r="R69" s="85">
        <v>170</v>
      </c>
      <c r="S69" s="86">
        <f t="shared" si="7"/>
        <v>5729.0000000000009</v>
      </c>
      <c r="T69" s="85">
        <v>144</v>
      </c>
      <c r="U69" s="86">
        <f t="shared" si="8"/>
        <v>4723.2</v>
      </c>
      <c r="V69" s="87">
        <v>112</v>
      </c>
      <c r="W69" s="86">
        <f t="shared" si="9"/>
        <v>3936.7999999999997</v>
      </c>
      <c r="X69" s="85">
        <v>121</v>
      </c>
      <c r="Y69" s="86">
        <f t="shared" si="10"/>
        <v>4193.8599999999997</v>
      </c>
      <c r="Z69" s="85">
        <v>109</v>
      </c>
      <c r="AA69" s="85">
        <f t="shared" si="11"/>
        <v>3929.45</v>
      </c>
      <c r="AB69" s="88">
        <v>123</v>
      </c>
      <c r="AC69" s="85">
        <f t="shared" si="12"/>
        <v>4309.92</v>
      </c>
      <c r="AD69" s="89">
        <v>140</v>
      </c>
      <c r="AE69" s="85">
        <f t="shared" si="13"/>
        <v>4785.2</v>
      </c>
      <c r="AF69" s="85">
        <v>130</v>
      </c>
      <c r="AG69" s="89">
        <f t="shared" si="14"/>
        <v>4329</v>
      </c>
      <c r="AH69" s="89">
        <v>155</v>
      </c>
      <c r="AI69" s="85">
        <f t="shared" si="15"/>
        <v>5572.25</v>
      </c>
      <c r="AJ69" s="89">
        <v>131</v>
      </c>
      <c r="AK69" s="85">
        <f t="shared" si="16"/>
        <v>4803.7700000000004</v>
      </c>
      <c r="AL69" s="113">
        <f t="shared" ref="AL69:AL132" si="19">D69+F69+H69+J69+L69+N69+P69+R69+T69+V69+X69+Z69+AB69+AD69+AF69+AH69+AJ69</f>
        <v>1335</v>
      </c>
      <c r="AM69" s="23">
        <f t="shared" ref="AM69:AM132" si="20">E69+G69+I69+K69+M69+O69+Q69+S69+U69+W69+Y69+AA69+AC69+AE69+AG69+AI69+AK69</f>
        <v>46312.450000000012</v>
      </c>
    </row>
    <row r="70" spans="1:39" s="114" customFormat="1" x14ac:dyDescent="0.5">
      <c r="A70" s="16">
        <v>66</v>
      </c>
      <c r="B70" s="83" t="s">
        <v>1081</v>
      </c>
      <c r="C70" s="84" t="s">
        <v>144</v>
      </c>
      <c r="D70" s="85"/>
      <c r="E70" s="85">
        <f t="shared" si="0"/>
        <v>0</v>
      </c>
      <c r="F70" s="86"/>
      <c r="G70" s="85">
        <f t="shared" si="1"/>
        <v>0</v>
      </c>
      <c r="H70" s="86"/>
      <c r="I70" s="85">
        <f t="shared" si="2"/>
        <v>0</v>
      </c>
      <c r="J70" s="86"/>
      <c r="K70" s="86">
        <f t="shared" si="3"/>
        <v>0</v>
      </c>
      <c r="L70" s="86"/>
      <c r="M70" s="86">
        <f t="shared" si="4"/>
        <v>0</v>
      </c>
      <c r="N70" s="85">
        <v>348</v>
      </c>
      <c r="O70" s="86">
        <f t="shared" si="5"/>
        <v>14616</v>
      </c>
      <c r="P70" s="85">
        <v>535</v>
      </c>
      <c r="Q70" s="86">
        <f t="shared" si="6"/>
        <v>20704.5</v>
      </c>
      <c r="R70" s="85"/>
      <c r="S70" s="86">
        <f t="shared" si="7"/>
        <v>0</v>
      </c>
      <c r="T70" s="85"/>
      <c r="U70" s="86">
        <f t="shared" ref="U70:U134" si="21">T70*32.8</f>
        <v>0</v>
      </c>
      <c r="V70" s="87"/>
      <c r="W70" s="86">
        <f t="shared" ref="W70:W134" si="22">V70*35.15</f>
        <v>0</v>
      </c>
      <c r="X70" s="85"/>
      <c r="Y70" s="86">
        <f t="shared" ref="Y70:Y134" si="23">X70*34.66</f>
        <v>0</v>
      </c>
      <c r="Z70" s="85"/>
      <c r="AA70" s="85">
        <f t="shared" ref="AA70:AA134" si="24">Z70*36.05</f>
        <v>0</v>
      </c>
      <c r="AB70" s="88"/>
      <c r="AC70" s="85">
        <f t="shared" ref="AC70:AC134" si="25">AB70*35.04</f>
        <v>0</v>
      </c>
      <c r="AD70" s="89"/>
      <c r="AE70" s="85">
        <f t="shared" ref="AE70:AE134" si="26">AD70*34.18</f>
        <v>0</v>
      </c>
      <c r="AF70" s="85"/>
      <c r="AG70" s="89">
        <f t="shared" ref="AG70:AG134" si="27">AF70*33.3</f>
        <v>0</v>
      </c>
      <c r="AH70" s="89"/>
      <c r="AI70" s="85">
        <f t="shared" ref="AI70:AI134" si="28">AH70*35.95</f>
        <v>0</v>
      </c>
      <c r="AJ70" s="89"/>
      <c r="AK70" s="85">
        <f t="shared" ref="AK70:AK134" si="29">AJ70*36.67</f>
        <v>0</v>
      </c>
      <c r="AL70" s="113">
        <f t="shared" si="19"/>
        <v>883</v>
      </c>
      <c r="AM70" s="23">
        <f t="shared" si="20"/>
        <v>35320.5</v>
      </c>
    </row>
    <row r="71" spans="1:39" s="114" customFormat="1" x14ac:dyDescent="0.5">
      <c r="A71" s="16">
        <v>67</v>
      </c>
      <c r="B71" s="83" t="s">
        <v>1082</v>
      </c>
      <c r="C71" s="84" t="s">
        <v>144</v>
      </c>
      <c r="D71" s="85"/>
      <c r="E71" s="85">
        <f t="shared" ref="E71:E135" si="30">D71*31.12</f>
        <v>0</v>
      </c>
      <c r="F71" s="86"/>
      <c r="G71" s="85">
        <f t="shared" ref="G71:G135" si="31">F71*32.41</f>
        <v>0</v>
      </c>
      <c r="H71" s="86"/>
      <c r="I71" s="85">
        <f t="shared" ref="I71:I135" si="32">H71*33.01</f>
        <v>0</v>
      </c>
      <c r="J71" s="86"/>
      <c r="K71" s="86">
        <f t="shared" ref="K71:K135" si="33">J71*35.12</f>
        <v>0</v>
      </c>
      <c r="L71" s="86">
        <v>166</v>
      </c>
      <c r="M71" s="86">
        <f t="shared" ref="M71:M135" si="34">L71*38.25</f>
        <v>6349.5</v>
      </c>
      <c r="N71" s="85"/>
      <c r="O71" s="86">
        <f t="shared" ref="O71:O135" si="35">N71*42</f>
        <v>0</v>
      </c>
      <c r="P71" s="85"/>
      <c r="Q71" s="86">
        <f t="shared" ref="Q71:Q135" si="36">P71*38.7</f>
        <v>0</v>
      </c>
      <c r="R71" s="85"/>
      <c r="S71" s="86">
        <f t="shared" ref="S71:S135" si="37">R71*33.7</f>
        <v>0</v>
      </c>
      <c r="T71" s="85"/>
      <c r="U71" s="86">
        <f t="shared" si="21"/>
        <v>0</v>
      </c>
      <c r="V71" s="87"/>
      <c r="W71" s="86">
        <f t="shared" si="22"/>
        <v>0</v>
      </c>
      <c r="X71" s="85"/>
      <c r="Y71" s="86">
        <f t="shared" si="23"/>
        <v>0</v>
      </c>
      <c r="Z71" s="85"/>
      <c r="AA71" s="85">
        <f t="shared" si="24"/>
        <v>0</v>
      </c>
      <c r="AB71" s="88"/>
      <c r="AC71" s="85">
        <f t="shared" si="25"/>
        <v>0</v>
      </c>
      <c r="AD71" s="89"/>
      <c r="AE71" s="85">
        <f t="shared" si="26"/>
        <v>0</v>
      </c>
      <c r="AF71" s="85"/>
      <c r="AG71" s="89">
        <f t="shared" si="27"/>
        <v>0</v>
      </c>
      <c r="AH71" s="89"/>
      <c r="AI71" s="85">
        <f t="shared" si="28"/>
        <v>0</v>
      </c>
      <c r="AJ71" s="89"/>
      <c r="AK71" s="85">
        <f t="shared" si="29"/>
        <v>0</v>
      </c>
      <c r="AL71" s="113">
        <f t="shared" si="19"/>
        <v>166</v>
      </c>
      <c r="AM71" s="23">
        <f t="shared" si="20"/>
        <v>6349.5</v>
      </c>
    </row>
    <row r="72" spans="1:39" x14ac:dyDescent="0.5">
      <c r="A72" s="16">
        <v>68</v>
      </c>
      <c r="B72" s="83" t="s">
        <v>1083</v>
      </c>
      <c r="C72" s="84" t="s">
        <v>1084</v>
      </c>
      <c r="D72" s="85">
        <v>280</v>
      </c>
      <c r="E72" s="85">
        <f t="shared" si="30"/>
        <v>8713.6</v>
      </c>
      <c r="F72" s="86"/>
      <c r="G72" s="85">
        <f t="shared" si="31"/>
        <v>0</v>
      </c>
      <c r="H72" s="86"/>
      <c r="I72" s="85">
        <f t="shared" si="32"/>
        <v>0</v>
      </c>
      <c r="J72" s="86"/>
      <c r="K72" s="86">
        <f t="shared" si="33"/>
        <v>0</v>
      </c>
      <c r="L72" s="86"/>
      <c r="M72" s="86">
        <f t="shared" si="34"/>
        <v>0</v>
      </c>
      <c r="N72" s="85">
        <v>848</v>
      </c>
      <c r="O72" s="86">
        <f t="shared" si="35"/>
        <v>35616</v>
      </c>
      <c r="P72" s="85">
        <v>779</v>
      </c>
      <c r="Q72" s="86">
        <f t="shared" si="36"/>
        <v>30147.300000000003</v>
      </c>
      <c r="R72" s="85">
        <v>895</v>
      </c>
      <c r="S72" s="86">
        <f t="shared" si="37"/>
        <v>30161.500000000004</v>
      </c>
      <c r="T72" s="85"/>
      <c r="U72" s="86">
        <f t="shared" si="21"/>
        <v>0</v>
      </c>
      <c r="V72" s="87">
        <v>776</v>
      </c>
      <c r="W72" s="86">
        <f t="shared" si="22"/>
        <v>27276.399999999998</v>
      </c>
      <c r="X72" s="85"/>
      <c r="Y72" s="86">
        <f t="shared" si="23"/>
        <v>0</v>
      </c>
      <c r="Z72" s="85">
        <v>638</v>
      </c>
      <c r="AA72" s="85">
        <f t="shared" si="24"/>
        <v>22999.899999999998</v>
      </c>
      <c r="AB72" s="88">
        <v>600</v>
      </c>
      <c r="AC72" s="85">
        <f t="shared" si="25"/>
        <v>21024</v>
      </c>
      <c r="AD72" s="89">
        <v>674</v>
      </c>
      <c r="AE72" s="85">
        <f t="shared" si="26"/>
        <v>23037.32</v>
      </c>
      <c r="AF72" s="85"/>
      <c r="AG72" s="89">
        <f t="shared" si="27"/>
        <v>0</v>
      </c>
      <c r="AH72" s="89">
        <v>743</v>
      </c>
      <c r="AI72" s="85">
        <f t="shared" si="28"/>
        <v>26710.850000000002</v>
      </c>
      <c r="AJ72" s="89">
        <v>623</v>
      </c>
      <c r="AK72" s="85">
        <f t="shared" si="29"/>
        <v>22845.41</v>
      </c>
      <c r="AL72" s="113">
        <f t="shared" si="19"/>
        <v>6856</v>
      </c>
      <c r="AM72" s="23">
        <f t="shared" si="20"/>
        <v>248532.28</v>
      </c>
    </row>
    <row r="73" spans="1:39" s="114" customFormat="1" x14ac:dyDescent="0.5">
      <c r="A73" s="16">
        <v>69</v>
      </c>
      <c r="B73" s="83" t="s">
        <v>1085</v>
      </c>
      <c r="C73" s="84" t="s">
        <v>1086</v>
      </c>
      <c r="D73" s="85"/>
      <c r="E73" s="85">
        <f t="shared" si="30"/>
        <v>0</v>
      </c>
      <c r="F73" s="86">
        <v>147</v>
      </c>
      <c r="G73" s="85">
        <f t="shared" si="31"/>
        <v>4764.2699999999995</v>
      </c>
      <c r="H73" s="86"/>
      <c r="I73" s="85">
        <f t="shared" si="32"/>
        <v>0</v>
      </c>
      <c r="J73" s="86"/>
      <c r="K73" s="86">
        <f t="shared" si="33"/>
        <v>0</v>
      </c>
      <c r="L73" s="86"/>
      <c r="M73" s="86">
        <f t="shared" si="34"/>
        <v>0</v>
      </c>
      <c r="N73" s="85"/>
      <c r="O73" s="86">
        <f t="shared" si="35"/>
        <v>0</v>
      </c>
      <c r="P73" s="85"/>
      <c r="Q73" s="86">
        <f t="shared" si="36"/>
        <v>0</v>
      </c>
      <c r="R73" s="85"/>
      <c r="S73" s="86">
        <f t="shared" si="37"/>
        <v>0</v>
      </c>
      <c r="T73" s="85"/>
      <c r="U73" s="86">
        <f t="shared" si="21"/>
        <v>0</v>
      </c>
      <c r="V73" s="87"/>
      <c r="W73" s="86">
        <f t="shared" si="22"/>
        <v>0</v>
      </c>
      <c r="X73" s="85"/>
      <c r="Y73" s="86">
        <f t="shared" si="23"/>
        <v>0</v>
      </c>
      <c r="Z73" s="85"/>
      <c r="AA73" s="85">
        <f t="shared" si="24"/>
        <v>0</v>
      </c>
      <c r="AB73" s="88"/>
      <c r="AC73" s="85">
        <f t="shared" si="25"/>
        <v>0</v>
      </c>
      <c r="AD73" s="89"/>
      <c r="AE73" s="85">
        <f t="shared" si="26"/>
        <v>0</v>
      </c>
      <c r="AF73" s="85"/>
      <c r="AG73" s="89">
        <f t="shared" si="27"/>
        <v>0</v>
      </c>
      <c r="AH73" s="89"/>
      <c r="AI73" s="85">
        <f t="shared" si="28"/>
        <v>0</v>
      </c>
      <c r="AJ73" s="89"/>
      <c r="AK73" s="85">
        <f t="shared" si="29"/>
        <v>0</v>
      </c>
      <c r="AL73" s="113">
        <f t="shared" si="19"/>
        <v>147</v>
      </c>
      <c r="AM73" s="23">
        <f t="shared" si="20"/>
        <v>4764.2699999999995</v>
      </c>
    </row>
    <row r="74" spans="1:39" s="114" customFormat="1" x14ac:dyDescent="0.5">
      <c r="A74" s="16">
        <v>70</v>
      </c>
      <c r="B74" s="83" t="s">
        <v>1087</v>
      </c>
      <c r="C74" s="84" t="s">
        <v>1088</v>
      </c>
      <c r="D74" s="85"/>
      <c r="E74" s="85">
        <f t="shared" si="30"/>
        <v>0</v>
      </c>
      <c r="F74" s="86"/>
      <c r="G74" s="85">
        <f t="shared" si="31"/>
        <v>0</v>
      </c>
      <c r="H74" s="86"/>
      <c r="I74" s="85">
        <f t="shared" si="32"/>
        <v>0</v>
      </c>
      <c r="J74" s="86"/>
      <c r="K74" s="86">
        <f t="shared" si="33"/>
        <v>0</v>
      </c>
      <c r="L74" s="86"/>
      <c r="M74" s="86">
        <f t="shared" si="34"/>
        <v>0</v>
      </c>
      <c r="N74" s="85">
        <v>340</v>
      </c>
      <c r="O74" s="86">
        <f t="shared" si="35"/>
        <v>14280</v>
      </c>
      <c r="P74" s="85"/>
      <c r="Q74" s="86">
        <f t="shared" si="36"/>
        <v>0</v>
      </c>
      <c r="R74" s="85"/>
      <c r="S74" s="86">
        <f t="shared" si="37"/>
        <v>0</v>
      </c>
      <c r="T74" s="85"/>
      <c r="U74" s="86">
        <f t="shared" si="21"/>
        <v>0</v>
      </c>
      <c r="V74" s="87"/>
      <c r="W74" s="86">
        <f t="shared" si="22"/>
        <v>0</v>
      </c>
      <c r="X74" s="85"/>
      <c r="Y74" s="86">
        <f t="shared" si="23"/>
        <v>0</v>
      </c>
      <c r="Z74" s="85"/>
      <c r="AA74" s="85">
        <f t="shared" si="24"/>
        <v>0</v>
      </c>
      <c r="AB74" s="88"/>
      <c r="AC74" s="85">
        <f t="shared" si="25"/>
        <v>0</v>
      </c>
      <c r="AD74" s="89"/>
      <c r="AE74" s="85">
        <f t="shared" si="26"/>
        <v>0</v>
      </c>
      <c r="AF74" s="85"/>
      <c r="AG74" s="89">
        <f t="shared" si="27"/>
        <v>0</v>
      </c>
      <c r="AH74" s="89"/>
      <c r="AI74" s="85">
        <f t="shared" si="28"/>
        <v>0</v>
      </c>
      <c r="AJ74" s="89"/>
      <c r="AK74" s="85">
        <f t="shared" si="29"/>
        <v>0</v>
      </c>
      <c r="AL74" s="113">
        <f t="shared" si="19"/>
        <v>340</v>
      </c>
      <c r="AM74" s="23">
        <f t="shared" si="20"/>
        <v>14280</v>
      </c>
    </row>
    <row r="75" spans="1:39" s="114" customFormat="1" x14ac:dyDescent="0.5">
      <c r="A75" s="16">
        <v>71</v>
      </c>
      <c r="B75" s="83" t="s">
        <v>1089</v>
      </c>
      <c r="C75" s="84" t="s">
        <v>1090</v>
      </c>
      <c r="D75" s="85"/>
      <c r="E75" s="85">
        <f t="shared" si="30"/>
        <v>0</v>
      </c>
      <c r="F75" s="86"/>
      <c r="G75" s="85">
        <f t="shared" si="31"/>
        <v>0</v>
      </c>
      <c r="H75" s="86">
        <v>422</v>
      </c>
      <c r="I75" s="85">
        <f t="shared" si="32"/>
        <v>13930.22</v>
      </c>
      <c r="J75" s="86">
        <v>216</v>
      </c>
      <c r="K75" s="86">
        <f t="shared" si="33"/>
        <v>7585.9199999999992</v>
      </c>
      <c r="L75" s="86"/>
      <c r="M75" s="86">
        <f t="shared" si="34"/>
        <v>0</v>
      </c>
      <c r="N75" s="85"/>
      <c r="O75" s="86">
        <f t="shared" si="35"/>
        <v>0</v>
      </c>
      <c r="P75" s="85"/>
      <c r="Q75" s="86">
        <f t="shared" si="36"/>
        <v>0</v>
      </c>
      <c r="R75" s="85"/>
      <c r="S75" s="86">
        <f t="shared" si="37"/>
        <v>0</v>
      </c>
      <c r="T75" s="85"/>
      <c r="U75" s="86">
        <f t="shared" si="21"/>
        <v>0</v>
      </c>
      <c r="V75" s="87"/>
      <c r="W75" s="86">
        <f t="shared" si="22"/>
        <v>0</v>
      </c>
      <c r="X75" s="85"/>
      <c r="Y75" s="86">
        <f t="shared" si="23"/>
        <v>0</v>
      </c>
      <c r="Z75" s="85"/>
      <c r="AA75" s="85">
        <f t="shared" si="24"/>
        <v>0</v>
      </c>
      <c r="AB75" s="88"/>
      <c r="AC75" s="85">
        <f t="shared" si="25"/>
        <v>0</v>
      </c>
      <c r="AD75" s="89"/>
      <c r="AE75" s="85">
        <f t="shared" si="26"/>
        <v>0</v>
      </c>
      <c r="AF75" s="85"/>
      <c r="AG75" s="89">
        <f t="shared" si="27"/>
        <v>0</v>
      </c>
      <c r="AH75" s="89"/>
      <c r="AI75" s="85">
        <f t="shared" si="28"/>
        <v>0</v>
      </c>
      <c r="AJ75" s="89"/>
      <c r="AK75" s="85">
        <f t="shared" si="29"/>
        <v>0</v>
      </c>
      <c r="AL75" s="113">
        <f t="shared" si="19"/>
        <v>638</v>
      </c>
      <c r="AM75" s="23">
        <f t="shared" si="20"/>
        <v>21516.14</v>
      </c>
    </row>
    <row r="76" spans="1:39" s="114" customFormat="1" x14ac:dyDescent="0.5">
      <c r="A76" s="16">
        <v>72</v>
      </c>
      <c r="B76" s="83" t="s">
        <v>1091</v>
      </c>
      <c r="C76" s="84" t="s">
        <v>1092</v>
      </c>
      <c r="D76" s="85"/>
      <c r="E76" s="85">
        <f t="shared" si="30"/>
        <v>0</v>
      </c>
      <c r="F76" s="86"/>
      <c r="G76" s="85">
        <f t="shared" si="31"/>
        <v>0</v>
      </c>
      <c r="H76" s="86"/>
      <c r="I76" s="85">
        <f t="shared" si="32"/>
        <v>0</v>
      </c>
      <c r="J76" s="86"/>
      <c r="K76" s="86">
        <f t="shared" si="33"/>
        <v>0</v>
      </c>
      <c r="L76" s="86"/>
      <c r="M76" s="86">
        <f t="shared" si="34"/>
        <v>0</v>
      </c>
      <c r="N76" s="85"/>
      <c r="O76" s="86">
        <f t="shared" si="35"/>
        <v>0</v>
      </c>
      <c r="P76" s="85"/>
      <c r="Q76" s="86">
        <f t="shared" si="36"/>
        <v>0</v>
      </c>
      <c r="R76" s="85"/>
      <c r="S76" s="86">
        <f t="shared" si="37"/>
        <v>0</v>
      </c>
      <c r="T76" s="85"/>
      <c r="U76" s="86">
        <f t="shared" si="21"/>
        <v>0</v>
      </c>
      <c r="V76" s="87"/>
      <c r="W76" s="86">
        <f t="shared" si="22"/>
        <v>0</v>
      </c>
      <c r="X76" s="85"/>
      <c r="Y76" s="86">
        <f t="shared" si="23"/>
        <v>0</v>
      </c>
      <c r="Z76" s="85"/>
      <c r="AA76" s="85">
        <f t="shared" si="24"/>
        <v>0</v>
      </c>
      <c r="AB76" s="88"/>
      <c r="AC76" s="85">
        <f t="shared" si="25"/>
        <v>0</v>
      </c>
      <c r="AD76" s="89"/>
      <c r="AE76" s="85">
        <f t="shared" si="26"/>
        <v>0</v>
      </c>
      <c r="AF76" s="85"/>
      <c r="AG76" s="89">
        <f t="shared" si="27"/>
        <v>0</v>
      </c>
      <c r="AH76" s="89"/>
      <c r="AI76" s="85">
        <f t="shared" si="28"/>
        <v>0</v>
      </c>
      <c r="AJ76" s="89"/>
      <c r="AK76" s="85">
        <f t="shared" si="29"/>
        <v>0</v>
      </c>
      <c r="AL76" s="113">
        <f t="shared" si="19"/>
        <v>0</v>
      </c>
      <c r="AM76" s="23">
        <f t="shared" si="20"/>
        <v>0</v>
      </c>
    </row>
    <row r="77" spans="1:39" x14ac:dyDescent="0.5">
      <c r="A77" s="16">
        <v>73</v>
      </c>
      <c r="B77" s="83" t="s">
        <v>821</v>
      </c>
      <c r="C77" s="84" t="s">
        <v>1093</v>
      </c>
      <c r="D77" s="85"/>
      <c r="E77" s="85">
        <f t="shared" si="30"/>
        <v>0</v>
      </c>
      <c r="F77" s="86"/>
      <c r="G77" s="85">
        <f t="shared" si="31"/>
        <v>0</v>
      </c>
      <c r="H77" s="86"/>
      <c r="I77" s="85">
        <f t="shared" si="32"/>
        <v>0</v>
      </c>
      <c r="J77" s="86"/>
      <c r="K77" s="86">
        <f t="shared" si="33"/>
        <v>0</v>
      </c>
      <c r="L77" s="86"/>
      <c r="M77" s="86">
        <f t="shared" si="34"/>
        <v>0</v>
      </c>
      <c r="N77" s="85">
        <v>961</v>
      </c>
      <c r="O77" s="86">
        <f t="shared" si="35"/>
        <v>40362</v>
      </c>
      <c r="P77" s="85">
        <v>932</v>
      </c>
      <c r="Q77" s="86">
        <f t="shared" si="36"/>
        <v>36068.400000000001</v>
      </c>
      <c r="R77" s="85">
        <v>1237</v>
      </c>
      <c r="S77" s="86">
        <f t="shared" si="37"/>
        <v>41686.9</v>
      </c>
      <c r="T77" s="85"/>
      <c r="U77" s="86">
        <f t="shared" si="21"/>
        <v>0</v>
      </c>
      <c r="V77" s="87">
        <v>1657</v>
      </c>
      <c r="W77" s="86">
        <f t="shared" si="22"/>
        <v>58243.549999999996</v>
      </c>
      <c r="X77" s="85">
        <v>1132</v>
      </c>
      <c r="Y77" s="86">
        <f t="shared" si="23"/>
        <v>39235.119999999995</v>
      </c>
      <c r="Z77" s="85">
        <v>1204</v>
      </c>
      <c r="AA77" s="85">
        <f t="shared" si="24"/>
        <v>43404.2</v>
      </c>
      <c r="AB77" s="88">
        <v>1351</v>
      </c>
      <c r="AC77" s="85">
        <f t="shared" si="25"/>
        <v>47339.040000000001</v>
      </c>
      <c r="AD77" s="89">
        <v>1638</v>
      </c>
      <c r="AE77" s="85">
        <f t="shared" si="26"/>
        <v>55986.84</v>
      </c>
      <c r="AF77" s="85">
        <v>1161</v>
      </c>
      <c r="AG77" s="89">
        <f t="shared" si="27"/>
        <v>38661.299999999996</v>
      </c>
      <c r="AH77" s="89">
        <v>1203</v>
      </c>
      <c r="AI77" s="85">
        <f t="shared" si="28"/>
        <v>43247.850000000006</v>
      </c>
      <c r="AJ77" s="89">
        <v>1050</v>
      </c>
      <c r="AK77" s="85">
        <f t="shared" si="29"/>
        <v>38503.5</v>
      </c>
      <c r="AL77" s="113">
        <f t="shared" si="19"/>
        <v>13526</v>
      </c>
      <c r="AM77" s="23">
        <f t="shared" si="20"/>
        <v>482738.69999999995</v>
      </c>
    </row>
    <row r="78" spans="1:39" s="114" customFormat="1" x14ac:dyDescent="0.5">
      <c r="A78" s="16">
        <v>74</v>
      </c>
      <c r="B78" s="83" t="s">
        <v>1094</v>
      </c>
      <c r="C78" s="84" t="s">
        <v>1095</v>
      </c>
      <c r="D78" s="85"/>
      <c r="E78" s="85">
        <f t="shared" si="30"/>
        <v>0</v>
      </c>
      <c r="F78" s="86"/>
      <c r="G78" s="85">
        <f t="shared" si="31"/>
        <v>0</v>
      </c>
      <c r="H78" s="86"/>
      <c r="I78" s="85">
        <f t="shared" si="32"/>
        <v>0</v>
      </c>
      <c r="J78" s="86"/>
      <c r="K78" s="86">
        <f t="shared" si="33"/>
        <v>0</v>
      </c>
      <c r="L78" s="86"/>
      <c r="M78" s="86">
        <f t="shared" si="34"/>
        <v>0</v>
      </c>
      <c r="N78" s="85"/>
      <c r="O78" s="86">
        <f t="shared" si="35"/>
        <v>0</v>
      </c>
      <c r="P78" s="85">
        <v>210</v>
      </c>
      <c r="Q78" s="86">
        <f t="shared" si="36"/>
        <v>8127.0000000000009</v>
      </c>
      <c r="R78" s="85">
        <v>274</v>
      </c>
      <c r="S78" s="86">
        <f t="shared" si="37"/>
        <v>9233.8000000000011</v>
      </c>
      <c r="T78" s="85">
        <v>262</v>
      </c>
      <c r="U78" s="86">
        <f t="shared" si="21"/>
        <v>8593.5999999999985</v>
      </c>
      <c r="V78" s="87">
        <v>274</v>
      </c>
      <c r="W78" s="86">
        <f t="shared" si="22"/>
        <v>9631.1</v>
      </c>
      <c r="X78" s="85"/>
      <c r="Y78" s="86">
        <f t="shared" si="23"/>
        <v>0</v>
      </c>
      <c r="Z78" s="85">
        <v>380</v>
      </c>
      <c r="AA78" s="85">
        <f t="shared" si="24"/>
        <v>13698.999999999998</v>
      </c>
      <c r="AB78" s="88">
        <v>272</v>
      </c>
      <c r="AC78" s="85">
        <f t="shared" si="25"/>
        <v>9530.8799999999992</v>
      </c>
      <c r="AD78" s="89">
        <v>158</v>
      </c>
      <c r="AE78" s="85">
        <f t="shared" si="26"/>
        <v>5400.44</v>
      </c>
      <c r="AF78" s="85">
        <v>263</v>
      </c>
      <c r="AG78" s="89">
        <f t="shared" si="27"/>
        <v>8757.9</v>
      </c>
      <c r="AH78" s="89"/>
      <c r="AI78" s="85">
        <f t="shared" si="28"/>
        <v>0</v>
      </c>
      <c r="AJ78" s="89"/>
      <c r="AK78" s="85">
        <f t="shared" si="29"/>
        <v>0</v>
      </c>
      <c r="AL78" s="113">
        <f t="shared" si="19"/>
        <v>2093</v>
      </c>
      <c r="AM78" s="23">
        <f t="shared" si="20"/>
        <v>72973.72</v>
      </c>
    </row>
    <row r="79" spans="1:39" x14ac:dyDescent="0.5">
      <c r="A79" s="16">
        <v>75</v>
      </c>
      <c r="B79" s="83" t="s">
        <v>1096</v>
      </c>
      <c r="C79" s="84" t="s">
        <v>1097</v>
      </c>
      <c r="D79" s="85">
        <v>230</v>
      </c>
      <c r="E79" s="85">
        <f t="shared" si="30"/>
        <v>7157.6</v>
      </c>
      <c r="F79" s="86"/>
      <c r="G79" s="85">
        <f t="shared" si="31"/>
        <v>0</v>
      </c>
      <c r="H79" s="86"/>
      <c r="I79" s="85">
        <f t="shared" si="32"/>
        <v>0</v>
      </c>
      <c r="J79" s="86"/>
      <c r="K79" s="86">
        <f t="shared" si="33"/>
        <v>0</v>
      </c>
      <c r="L79" s="86"/>
      <c r="M79" s="86">
        <f t="shared" si="34"/>
        <v>0</v>
      </c>
      <c r="N79" s="85">
        <v>453</v>
      </c>
      <c r="O79" s="86">
        <f t="shared" si="35"/>
        <v>19026</v>
      </c>
      <c r="P79" s="85">
        <v>392</v>
      </c>
      <c r="Q79" s="86">
        <f t="shared" si="36"/>
        <v>15170.400000000001</v>
      </c>
      <c r="R79" s="85">
        <v>483</v>
      </c>
      <c r="S79" s="86">
        <f t="shared" si="37"/>
        <v>16277.100000000002</v>
      </c>
      <c r="T79" s="85">
        <v>499</v>
      </c>
      <c r="U79" s="86">
        <f t="shared" si="21"/>
        <v>16367.199999999999</v>
      </c>
      <c r="V79" s="87">
        <v>537</v>
      </c>
      <c r="W79" s="86">
        <f t="shared" si="22"/>
        <v>18875.55</v>
      </c>
      <c r="X79" s="85"/>
      <c r="Y79" s="86">
        <f t="shared" si="23"/>
        <v>0</v>
      </c>
      <c r="Z79" s="85"/>
      <c r="AA79" s="85">
        <f t="shared" si="24"/>
        <v>0</v>
      </c>
      <c r="AB79" s="88">
        <v>527</v>
      </c>
      <c r="AC79" s="85">
        <f t="shared" si="25"/>
        <v>18466.079999999998</v>
      </c>
      <c r="AD79" s="89">
        <v>587</v>
      </c>
      <c r="AE79" s="85">
        <f t="shared" si="26"/>
        <v>20063.66</v>
      </c>
      <c r="AF79" s="85">
        <v>463</v>
      </c>
      <c r="AG79" s="89">
        <f t="shared" si="27"/>
        <v>15417.899999999998</v>
      </c>
      <c r="AH79" s="89">
        <v>521</v>
      </c>
      <c r="AI79" s="85">
        <f t="shared" si="28"/>
        <v>18729.95</v>
      </c>
      <c r="AJ79" s="89">
        <v>408</v>
      </c>
      <c r="AK79" s="85">
        <f t="shared" si="29"/>
        <v>14961.36</v>
      </c>
      <c r="AL79" s="113">
        <f t="shared" si="19"/>
        <v>5100</v>
      </c>
      <c r="AM79" s="23">
        <f t="shared" si="20"/>
        <v>180512.8</v>
      </c>
    </row>
    <row r="80" spans="1:39" x14ac:dyDescent="0.5">
      <c r="A80" s="16">
        <v>76</v>
      </c>
      <c r="B80" s="83" t="s">
        <v>1098</v>
      </c>
      <c r="C80" s="84" t="s">
        <v>1097</v>
      </c>
      <c r="D80" s="85">
        <v>642</v>
      </c>
      <c r="E80" s="85">
        <f t="shared" si="30"/>
        <v>19979.04</v>
      </c>
      <c r="F80" s="86"/>
      <c r="G80" s="85">
        <f t="shared" si="31"/>
        <v>0</v>
      </c>
      <c r="H80" s="86">
        <v>177</v>
      </c>
      <c r="I80" s="85">
        <f t="shared" si="32"/>
        <v>5842.7699999999995</v>
      </c>
      <c r="J80" s="86"/>
      <c r="K80" s="86">
        <f t="shared" si="33"/>
        <v>0</v>
      </c>
      <c r="L80" s="86">
        <v>221</v>
      </c>
      <c r="M80" s="86">
        <f t="shared" si="34"/>
        <v>8453.25</v>
      </c>
      <c r="N80" s="85">
        <v>346</v>
      </c>
      <c r="O80" s="86">
        <f t="shared" si="35"/>
        <v>14532</v>
      </c>
      <c r="P80" s="85">
        <v>497</v>
      </c>
      <c r="Q80" s="86">
        <f t="shared" si="36"/>
        <v>19233.900000000001</v>
      </c>
      <c r="R80" s="85">
        <v>805</v>
      </c>
      <c r="S80" s="86">
        <f t="shared" si="37"/>
        <v>27128.500000000004</v>
      </c>
      <c r="T80" s="85">
        <v>634</v>
      </c>
      <c r="U80" s="86">
        <f t="shared" si="21"/>
        <v>20795.199999999997</v>
      </c>
      <c r="V80" s="87">
        <v>825</v>
      </c>
      <c r="W80" s="86">
        <f t="shared" si="22"/>
        <v>28998.75</v>
      </c>
      <c r="X80" s="85">
        <v>504</v>
      </c>
      <c r="Y80" s="86">
        <f t="shared" si="23"/>
        <v>17468.64</v>
      </c>
      <c r="Z80" s="85">
        <v>227</v>
      </c>
      <c r="AA80" s="85">
        <f t="shared" si="24"/>
        <v>8183.3499999999995</v>
      </c>
      <c r="AB80" s="88">
        <v>670</v>
      </c>
      <c r="AC80" s="85">
        <f t="shared" si="25"/>
        <v>23476.799999999999</v>
      </c>
      <c r="AD80" s="89">
        <v>691</v>
      </c>
      <c r="AE80" s="85">
        <f t="shared" si="26"/>
        <v>23618.38</v>
      </c>
      <c r="AF80" s="85">
        <v>530</v>
      </c>
      <c r="AG80" s="89">
        <f t="shared" si="27"/>
        <v>17649</v>
      </c>
      <c r="AH80" s="89">
        <v>618</v>
      </c>
      <c r="AI80" s="85">
        <f t="shared" si="28"/>
        <v>22217.100000000002</v>
      </c>
      <c r="AJ80" s="89">
        <v>497</v>
      </c>
      <c r="AK80" s="85">
        <f t="shared" si="29"/>
        <v>18224.990000000002</v>
      </c>
      <c r="AL80" s="113">
        <f t="shared" si="19"/>
        <v>7884</v>
      </c>
      <c r="AM80" s="23">
        <f t="shared" si="20"/>
        <v>275801.67</v>
      </c>
    </row>
    <row r="81" spans="1:39" x14ac:dyDescent="0.5">
      <c r="A81" s="16">
        <v>77</v>
      </c>
      <c r="B81" s="83" t="s">
        <v>1099</v>
      </c>
      <c r="C81" s="84" t="s">
        <v>1100</v>
      </c>
      <c r="D81" s="85">
        <v>64</v>
      </c>
      <c r="E81" s="85">
        <f t="shared" si="30"/>
        <v>1991.68</v>
      </c>
      <c r="F81" s="86">
        <v>31</v>
      </c>
      <c r="G81" s="85">
        <f t="shared" si="31"/>
        <v>1004.7099999999999</v>
      </c>
      <c r="H81" s="86">
        <v>39</v>
      </c>
      <c r="I81" s="85">
        <f t="shared" si="32"/>
        <v>1287.3899999999999</v>
      </c>
      <c r="J81" s="86">
        <v>32</v>
      </c>
      <c r="K81" s="86">
        <f t="shared" si="33"/>
        <v>1123.8399999999999</v>
      </c>
      <c r="L81" s="86">
        <v>27</v>
      </c>
      <c r="M81" s="86">
        <f t="shared" si="34"/>
        <v>1032.75</v>
      </c>
      <c r="N81" s="85">
        <v>58</v>
      </c>
      <c r="O81" s="86">
        <f t="shared" si="35"/>
        <v>2436</v>
      </c>
      <c r="P81" s="85">
        <v>45</v>
      </c>
      <c r="Q81" s="86">
        <f t="shared" si="36"/>
        <v>1741.5000000000002</v>
      </c>
      <c r="R81" s="85">
        <v>59</v>
      </c>
      <c r="S81" s="86">
        <f t="shared" si="37"/>
        <v>1988.3000000000002</v>
      </c>
      <c r="T81" s="85">
        <v>47</v>
      </c>
      <c r="U81" s="86">
        <f t="shared" si="21"/>
        <v>1541.6</v>
      </c>
      <c r="V81" s="87">
        <v>45</v>
      </c>
      <c r="W81" s="86">
        <f t="shared" si="22"/>
        <v>1581.75</v>
      </c>
      <c r="X81" s="85">
        <v>51</v>
      </c>
      <c r="Y81" s="86">
        <f t="shared" si="23"/>
        <v>1767.6599999999999</v>
      </c>
      <c r="Z81" s="85">
        <v>50</v>
      </c>
      <c r="AA81" s="85">
        <f t="shared" si="24"/>
        <v>1802.4999999999998</v>
      </c>
      <c r="AB81" s="88">
        <v>43</v>
      </c>
      <c r="AC81" s="85">
        <f t="shared" si="25"/>
        <v>1506.72</v>
      </c>
      <c r="AD81" s="89">
        <v>44</v>
      </c>
      <c r="AE81" s="85">
        <f t="shared" si="26"/>
        <v>1503.92</v>
      </c>
      <c r="AF81" s="85">
        <v>70</v>
      </c>
      <c r="AG81" s="89">
        <f t="shared" si="27"/>
        <v>2331</v>
      </c>
      <c r="AH81" s="89">
        <v>68</v>
      </c>
      <c r="AI81" s="85">
        <f t="shared" si="28"/>
        <v>2444.6000000000004</v>
      </c>
      <c r="AJ81" s="89">
        <v>68</v>
      </c>
      <c r="AK81" s="85">
        <f t="shared" si="29"/>
        <v>2493.56</v>
      </c>
      <c r="AL81" s="113">
        <f t="shared" si="19"/>
        <v>841</v>
      </c>
      <c r="AM81" s="23">
        <f t="shared" si="20"/>
        <v>29579.48</v>
      </c>
    </row>
    <row r="82" spans="1:39" s="114" customFormat="1" x14ac:dyDescent="0.5">
      <c r="A82" s="16">
        <v>78</v>
      </c>
      <c r="B82" s="83" t="s">
        <v>1101</v>
      </c>
      <c r="C82" s="84" t="s">
        <v>985</v>
      </c>
      <c r="D82" s="85"/>
      <c r="E82" s="85">
        <f t="shared" si="30"/>
        <v>0</v>
      </c>
      <c r="F82" s="86"/>
      <c r="G82" s="85">
        <f t="shared" si="31"/>
        <v>0</v>
      </c>
      <c r="H82" s="86"/>
      <c r="I82" s="85">
        <f t="shared" si="32"/>
        <v>0</v>
      </c>
      <c r="J82" s="86"/>
      <c r="K82" s="86">
        <f t="shared" si="33"/>
        <v>0</v>
      </c>
      <c r="L82" s="86"/>
      <c r="M82" s="86">
        <f t="shared" si="34"/>
        <v>0</v>
      </c>
      <c r="N82" s="85"/>
      <c r="O82" s="86">
        <f t="shared" si="35"/>
        <v>0</v>
      </c>
      <c r="P82" s="85"/>
      <c r="Q82" s="86">
        <f t="shared" si="36"/>
        <v>0</v>
      </c>
      <c r="R82" s="85"/>
      <c r="S82" s="86">
        <f t="shared" si="37"/>
        <v>0</v>
      </c>
      <c r="T82" s="85"/>
      <c r="U82" s="86">
        <f t="shared" si="21"/>
        <v>0</v>
      </c>
      <c r="V82" s="87"/>
      <c r="W82" s="86">
        <f t="shared" si="22"/>
        <v>0</v>
      </c>
      <c r="X82" s="85"/>
      <c r="Y82" s="86">
        <f t="shared" si="23"/>
        <v>0</v>
      </c>
      <c r="Z82" s="85"/>
      <c r="AA82" s="85">
        <f t="shared" si="24"/>
        <v>0</v>
      </c>
      <c r="AB82" s="88"/>
      <c r="AC82" s="85">
        <f t="shared" si="25"/>
        <v>0</v>
      </c>
      <c r="AD82" s="89">
        <v>365</v>
      </c>
      <c r="AE82" s="85">
        <f t="shared" si="26"/>
        <v>12475.7</v>
      </c>
      <c r="AF82" s="85"/>
      <c r="AG82" s="89">
        <f t="shared" si="27"/>
        <v>0</v>
      </c>
      <c r="AH82" s="89"/>
      <c r="AI82" s="85">
        <f t="shared" si="28"/>
        <v>0</v>
      </c>
      <c r="AJ82" s="89"/>
      <c r="AK82" s="85">
        <f t="shared" si="29"/>
        <v>0</v>
      </c>
      <c r="AL82" s="113">
        <f t="shared" si="19"/>
        <v>365</v>
      </c>
      <c r="AM82" s="23">
        <f t="shared" si="20"/>
        <v>12475.7</v>
      </c>
    </row>
    <row r="83" spans="1:39" x14ac:dyDescent="0.5">
      <c r="A83" s="16">
        <v>79</v>
      </c>
      <c r="B83" s="83" t="s">
        <v>1102</v>
      </c>
      <c r="C83" s="84" t="s">
        <v>556</v>
      </c>
      <c r="D83" s="85"/>
      <c r="E83" s="85">
        <f t="shared" si="30"/>
        <v>0</v>
      </c>
      <c r="F83" s="86"/>
      <c r="G83" s="85">
        <f t="shared" si="31"/>
        <v>0</v>
      </c>
      <c r="H83" s="86"/>
      <c r="I83" s="85">
        <f t="shared" si="32"/>
        <v>0</v>
      </c>
      <c r="J83" s="86"/>
      <c r="K83" s="86">
        <f t="shared" si="33"/>
        <v>0</v>
      </c>
      <c r="L83" s="86"/>
      <c r="M83" s="86">
        <f t="shared" si="34"/>
        <v>0</v>
      </c>
      <c r="N83" s="85"/>
      <c r="O83" s="86">
        <f t="shared" si="35"/>
        <v>0</v>
      </c>
      <c r="P83" s="85"/>
      <c r="Q83" s="86">
        <f t="shared" si="36"/>
        <v>0</v>
      </c>
      <c r="R83" s="85">
        <v>544</v>
      </c>
      <c r="S83" s="86">
        <f t="shared" si="37"/>
        <v>18332.800000000003</v>
      </c>
      <c r="T83" s="85">
        <v>453</v>
      </c>
      <c r="U83" s="86">
        <f t="shared" si="21"/>
        <v>14858.399999999998</v>
      </c>
      <c r="V83" s="87">
        <v>695</v>
      </c>
      <c r="W83" s="86">
        <f t="shared" si="22"/>
        <v>24429.25</v>
      </c>
      <c r="X83" s="85">
        <v>526</v>
      </c>
      <c r="Y83" s="86">
        <f t="shared" si="23"/>
        <v>18231.16</v>
      </c>
      <c r="Z83" s="85">
        <v>555</v>
      </c>
      <c r="AA83" s="85">
        <f t="shared" si="24"/>
        <v>20007.75</v>
      </c>
      <c r="AB83" s="88">
        <v>612</v>
      </c>
      <c r="AC83" s="85">
        <f t="shared" si="25"/>
        <v>21444.48</v>
      </c>
      <c r="AD83" s="89">
        <v>676</v>
      </c>
      <c r="AE83" s="85">
        <f t="shared" si="26"/>
        <v>23105.68</v>
      </c>
      <c r="AF83" s="85">
        <v>609</v>
      </c>
      <c r="AG83" s="89">
        <f t="shared" si="27"/>
        <v>20279.699999999997</v>
      </c>
      <c r="AH83" s="89">
        <v>650</v>
      </c>
      <c r="AI83" s="85">
        <f t="shared" si="28"/>
        <v>23367.500000000004</v>
      </c>
      <c r="AJ83" s="89">
        <v>628</v>
      </c>
      <c r="AK83" s="85">
        <f t="shared" si="29"/>
        <v>23028.760000000002</v>
      </c>
      <c r="AL83" s="113">
        <f t="shared" si="19"/>
        <v>5948</v>
      </c>
      <c r="AM83" s="23">
        <f t="shared" si="20"/>
        <v>207085.47999999998</v>
      </c>
    </row>
    <row r="84" spans="1:39" x14ac:dyDescent="0.5">
      <c r="A84" s="16">
        <v>80</v>
      </c>
      <c r="B84" s="83" t="s">
        <v>1103</v>
      </c>
      <c r="C84" s="84" t="s">
        <v>985</v>
      </c>
      <c r="D84" s="85"/>
      <c r="E84" s="85">
        <f t="shared" si="30"/>
        <v>0</v>
      </c>
      <c r="F84" s="86"/>
      <c r="G84" s="85">
        <f t="shared" si="31"/>
        <v>0</v>
      </c>
      <c r="H84" s="86"/>
      <c r="I84" s="85">
        <f t="shared" si="32"/>
        <v>0</v>
      </c>
      <c r="J84" s="86"/>
      <c r="K84" s="86">
        <f t="shared" si="33"/>
        <v>0</v>
      </c>
      <c r="L84" s="86"/>
      <c r="M84" s="86">
        <f t="shared" si="34"/>
        <v>0</v>
      </c>
      <c r="N84" s="85"/>
      <c r="O84" s="86">
        <f t="shared" si="35"/>
        <v>0</v>
      </c>
      <c r="P84" s="85"/>
      <c r="Q84" s="86">
        <f t="shared" si="36"/>
        <v>0</v>
      </c>
      <c r="R84" s="85"/>
      <c r="S84" s="86">
        <f t="shared" si="37"/>
        <v>0</v>
      </c>
      <c r="T84" s="85">
        <v>594</v>
      </c>
      <c r="U84" s="86">
        <f t="shared" si="21"/>
        <v>19483.199999999997</v>
      </c>
      <c r="V84" s="87">
        <v>740</v>
      </c>
      <c r="W84" s="86">
        <f t="shared" si="22"/>
        <v>26011</v>
      </c>
      <c r="X84" s="85">
        <v>630</v>
      </c>
      <c r="Y84" s="86">
        <f t="shared" si="23"/>
        <v>21835.8</v>
      </c>
      <c r="Z84" s="85"/>
      <c r="AA84" s="85">
        <f t="shared" si="24"/>
        <v>0</v>
      </c>
      <c r="AB84" s="88">
        <v>799</v>
      </c>
      <c r="AC84" s="85">
        <f t="shared" si="25"/>
        <v>27996.959999999999</v>
      </c>
      <c r="AD84" s="89">
        <v>808</v>
      </c>
      <c r="AE84" s="85">
        <f t="shared" si="26"/>
        <v>27617.439999999999</v>
      </c>
      <c r="AF84" s="85">
        <v>474</v>
      </c>
      <c r="AG84" s="89">
        <f t="shared" si="27"/>
        <v>15784.199999999999</v>
      </c>
      <c r="AH84" s="89">
        <v>591</v>
      </c>
      <c r="AI84" s="85">
        <f t="shared" si="28"/>
        <v>21246.45</v>
      </c>
      <c r="AJ84" s="89"/>
      <c r="AK84" s="85">
        <f t="shared" si="29"/>
        <v>0</v>
      </c>
      <c r="AL84" s="113">
        <f t="shared" si="19"/>
        <v>4636</v>
      </c>
      <c r="AM84" s="23">
        <f t="shared" si="20"/>
        <v>159975.05000000002</v>
      </c>
    </row>
    <row r="85" spans="1:39" x14ac:dyDescent="0.5">
      <c r="A85" s="16">
        <v>81</v>
      </c>
      <c r="B85" s="83" t="s">
        <v>1104</v>
      </c>
      <c r="C85" s="84" t="s">
        <v>1105</v>
      </c>
      <c r="D85" s="85"/>
      <c r="E85" s="85">
        <f t="shared" si="30"/>
        <v>0</v>
      </c>
      <c r="F85" s="86"/>
      <c r="G85" s="85">
        <f t="shared" si="31"/>
        <v>0</v>
      </c>
      <c r="H85" s="86"/>
      <c r="I85" s="85">
        <f t="shared" si="32"/>
        <v>0</v>
      </c>
      <c r="J85" s="86"/>
      <c r="K85" s="86">
        <f t="shared" si="33"/>
        <v>0</v>
      </c>
      <c r="L85" s="86"/>
      <c r="M85" s="86">
        <f t="shared" si="34"/>
        <v>0</v>
      </c>
      <c r="N85" s="85">
        <v>1002</v>
      </c>
      <c r="O85" s="86">
        <f t="shared" si="35"/>
        <v>42084</v>
      </c>
      <c r="P85" s="85">
        <v>867</v>
      </c>
      <c r="Q85" s="86">
        <f t="shared" si="36"/>
        <v>33552.9</v>
      </c>
      <c r="R85" s="85">
        <v>1066</v>
      </c>
      <c r="S85" s="86">
        <f t="shared" si="37"/>
        <v>35924.200000000004</v>
      </c>
      <c r="T85" s="85">
        <v>953</v>
      </c>
      <c r="U85" s="86">
        <f t="shared" si="21"/>
        <v>31258.399999999998</v>
      </c>
      <c r="V85" s="87">
        <v>1009</v>
      </c>
      <c r="W85" s="86">
        <f t="shared" si="22"/>
        <v>35466.35</v>
      </c>
      <c r="X85" s="85">
        <v>853</v>
      </c>
      <c r="Y85" s="86">
        <f t="shared" si="23"/>
        <v>29564.979999999996</v>
      </c>
      <c r="Z85" s="85"/>
      <c r="AA85" s="85">
        <f t="shared" si="24"/>
        <v>0</v>
      </c>
      <c r="AB85" s="88">
        <v>949</v>
      </c>
      <c r="AC85" s="85">
        <f t="shared" si="25"/>
        <v>33252.959999999999</v>
      </c>
      <c r="AD85" s="89">
        <v>1048</v>
      </c>
      <c r="AE85" s="85">
        <f t="shared" si="26"/>
        <v>35820.639999999999</v>
      </c>
      <c r="AF85" s="85">
        <v>956</v>
      </c>
      <c r="AG85" s="89">
        <f t="shared" si="27"/>
        <v>31834.799999999996</v>
      </c>
      <c r="AH85" s="89"/>
      <c r="AI85" s="85">
        <f t="shared" si="28"/>
        <v>0</v>
      </c>
      <c r="AJ85" s="89">
        <v>1216</v>
      </c>
      <c r="AK85" s="85">
        <f t="shared" si="29"/>
        <v>44590.720000000001</v>
      </c>
      <c r="AL85" s="113">
        <f t="shared" si="19"/>
        <v>9919</v>
      </c>
      <c r="AM85" s="23">
        <f t="shared" si="20"/>
        <v>353349.94999999995</v>
      </c>
    </row>
    <row r="86" spans="1:39" s="114" customFormat="1" x14ac:dyDescent="0.5">
      <c r="A86" s="16">
        <v>82</v>
      </c>
      <c r="B86" s="83" t="s">
        <v>1106</v>
      </c>
      <c r="C86" s="84" t="s">
        <v>1107</v>
      </c>
      <c r="D86" s="85"/>
      <c r="E86" s="85">
        <f t="shared" si="30"/>
        <v>0</v>
      </c>
      <c r="F86" s="86"/>
      <c r="G86" s="85">
        <f t="shared" si="31"/>
        <v>0</v>
      </c>
      <c r="H86" s="86"/>
      <c r="I86" s="85">
        <f t="shared" si="32"/>
        <v>0</v>
      </c>
      <c r="J86" s="86"/>
      <c r="K86" s="86">
        <f t="shared" si="33"/>
        <v>0</v>
      </c>
      <c r="L86" s="86"/>
      <c r="M86" s="86">
        <f t="shared" si="34"/>
        <v>0</v>
      </c>
      <c r="N86" s="85"/>
      <c r="O86" s="86">
        <f t="shared" si="35"/>
        <v>0</v>
      </c>
      <c r="P86" s="85">
        <v>400</v>
      </c>
      <c r="Q86" s="86">
        <f t="shared" si="36"/>
        <v>15480.000000000002</v>
      </c>
      <c r="R86" s="85"/>
      <c r="S86" s="86">
        <f t="shared" si="37"/>
        <v>0</v>
      </c>
      <c r="T86" s="85"/>
      <c r="U86" s="86">
        <f t="shared" si="21"/>
        <v>0</v>
      </c>
      <c r="V86" s="87"/>
      <c r="W86" s="86">
        <f t="shared" si="22"/>
        <v>0</v>
      </c>
      <c r="X86" s="85"/>
      <c r="Y86" s="86">
        <f t="shared" si="23"/>
        <v>0</v>
      </c>
      <c r="Z86" s="85"/>
      <c r="AA86" s="85">
        <f t="shared" si="24"/>
        <v>0</v>
      </c>
      <c r="AB86" s="88"/>
      <c r="AC86" s="85">
        <f t="shared" si="25"/>
        <v>0</v>
      </c>
      <c r="AD86" s="89"/>
      <c r="AE86" s="85">
        <f t="shared" si="26"/>
        <v>0</v>
      </c>
      <c r="AF86" s="85">
        <v>888</v>
      </c>
      <c r="AG86" s="89">
        <f t="shared" si="27"/>
        <v>29570.399999999998</v>
      </c>
      <c r="AH86" s="89"/>
      <c r="AI86" s="85">
        <f t="shared" si="28"/>
        <v>0</v>
      </c>
      <c r="AJ86" s="89"/>
      <c r="AK86" s="85">
        <f t="shared" si="29"/>
        <v>0</v>
      </c>
      <c r="AL86" s="113">
        <f t="shared" si="19"/>
        <v>1288</v>
      </c>
      <c r="AM86" s="23">
        <f t="shared" si="20"/>
        <v>45050.400000000001</v>
      </c>
    </row>
    <row r="87" spans="1:39" x14ac:dyDescent="0.5">
      <c r="A87" s="16">
        <v>83</v>
      </c>
      <c r="B87" s="83" t="s">
        <v>512</v>
      </c>
      <c r="C87" s="84" t="s">
        <v>1108</v>
      </c>
      <c r="D87" s="85">
        <v>753</v>
      </c>
      <c r="E87" s="85">
        <f t="shared" si="30"/>
        <v>23433.360000000001</v>
      </c>
      <c r="F87" s="86"/>
      <c r="G87" s="85">
        <f t="shared" si="31"/>
        <v>0</v>
      </c>
      <c r="H87" s="86"/>
      <c r="I87" s="85">
        <f t="shared" si="32"/>
        <v>0</v>
      </c>
      <c r="J87" s="86"/>
      <c r="K87" s="86">
        <f t="shared" si="33"/>
        <v>0</v>
      </c>
      <c r="L87" s="86"/>
      <c r="M87" s="86">
        <f t="shared" si="34"/>
        <v>0</v>
      </c>
      <c r="N87" s="85">
        <v>269</v>
      </c>
      <c r="O87" s="86">
        <f t="shared" si="35"/>
        <v>11298</v>
      </c>
      <c r="P87" s="85">
        <v>408</v>
      </c>
      <c r="Q87" s="86">
        <f t="shared" si="36"/>
        <v>15789.6</v>
      </c>
      <c r="R87" s="85">
        <v>510</v>
      </c>
      <c r="S87" s="86">
        <f t="shared" si="37"/>
        <v>17187</v>
      </c>
      <c r="T87" s="85">
        <v>466</v>
      </c>
      <c r="U87" s="86">
        <f t="shared" si="21"/>
        <v>15284.8</v>
      </c>
      <c r="V87" s="87">
        <v>583</v>
      </c>
      <c r="W87" s="86">
        <f t="shared" si="22"/>
        <v>20492.45</v>
      </c>
      <c r="X87" s="85">
        <v>400</v>
      </c>
      <c r="Y87" s="86">
        <f t="shared" si="23"/>
        <v>13863.999999999998</v>
      </c>
      <c r="Z87" s="85">
        <v>503</v>
      </c>
      <c r="AA87" s="85">
        <f t="shared" si="24"/>
        <v>18133.149999999998</v>
      </c>
      <c r="AB87" s="88">
        <v>490</v>
      </c>
      <c r="AC87" s="85">
        <f t="shared" si="25"/>
        <v>17169.599999999999</v>
      </c>
      <c r="AD87" s="89">
        <v>624</v>
      </c>
      <c r="AE87" s="85">
        <f t="shared" si="26"/>
        <v>21328.32</v>
      </c>
      <c r="AF87" s="85">
        <v>523</v>
      </c>
      <c r="AG87" s="89">
        <f t="shared" si="27"/>
        <v>17415.899999999998</v>
      </c>
      <c r="AH87" s="89">
        <v>521</v>
      </c>
      <c r="AI87" s="85">
        <f t="shared" si="28"/>
        <v>18729.95</v>
      </c>
      <c r="AJ87" s="89">
        <v>521</v>
      </c>
      <c r="AK87" s="85">
        <f t="shared" si="29"/>
        <v>19105.07</v>
      </c>
      <c r="AL87" s="113">
        <f t="shared" si="19"/>
        <v>6571</v>
      </c>
      <c r="AM87" s="23">
        <f t="shared" si="20"/>
        <v>229231.2</v>
      </c>
    </row>
    <row r="88" spans="1:39" x14ac:dyDescent="0.5">
      <c r="A88" s="16">
        <v>84</v>
      </c>
      <c r="B88" s="83" t="s">
        <v>1109</v>
      </c>
      <c r="C88" s="84" t="s">
        <v>1107</v>
      </c>
      <c r="D88" s="85"/>
      <c r="E88" s="85">
        <f t="shared" si="30"/>
        <v>0</v>
      </c>
      <c r="F88" s="86"/>
      <c r="G88" s="85">
        <f t="shared" si="31"/>
        <v>0</v>
      </c>
      <c r="H88" s="86"/>
      <c r="I88" s="85">
        <f t="shared" si="32"/>
        <v>0</v>
      </c>
      <c r="J88" s="86"/>
      <c r="K88" s="86">
        <f t="shared" si="33"/>
        <v>0</v>
      </c>
      <c r="L88" s="86"/>
      <c r="M88" s="86">
        <f t="shared" si="34"/>
        <v>0</v>
      </c>
      <c r="N88" s="85"/>
      <c r="O88" s="86">
        <f t="shared" si="35"/>
        <v>0</v>
      </c>
      <c r="P88" s="85"/>
      <c r="Q88" s="86">
        <f t="shared" si="36"/>
        <v>0</v>
      </c>
      <c r="R88" s="85">
        <v>312</v>
      </c>
      <c r="S88" s="86">
        <f t="shared" si="37"/>
        <v>10514.400000000001</v>
      </c>
      <c r="T88" s="85">
        <v>431</v>
      </c>
      <c r="U88" s="86">
        <f t="shared" si="21"/>
        <v>14136.8</v>
      </c>
      <c r="V88" s="87">
        <v>648</v>
      </c>
      <c r="W88" s="86">
        <f t="shared" si="22"/>
        <v>22777.200000000001</v>
      </c>
      <c r="X88" s="85">
        <v>496</v>
      </c>
      <c r="Y88" s="86">
        <f t="shared" si="23"/>
        <v>17191.359999999997</v>
      </c>
      <c r="Z88" s="85">
        <v>648</v>
      </c>
      <c r="AA88" s="85">
        <f t="shared" si="24"/>
        <v>23360.399999999998</v>
      </c>
      <c r="AB88" s="88">
        <v>751</v>
      </c>
      <c r="AC88" s="85">
        <f t="shared" si="25"/>
        <v>26315.040000000001</v>
      </c>
      <c r="AD88" s="89">
        <v>780</v>
      </c>
      <c r="AE88" s="85">
        <f t="shared" si="26"/>
        <v>26660.400000000001</v>
      </c>
      <c r="AF88" s="85"/>
      <c r="AG88" s="89">
        <f t="shared" si="27"/>
        <v>0</v>
      </c>
      <c r="AH88" s="89">
        <v>767</v>
      </c>
      <c r="AI88" s="85">
        <f t="shared" si="28"/>
        <v>27573.65</v>
      </c>
      <c r="AJ88" s="89">
        <v>885</v>
      </c>
      <c r="AK88" s="85">
        <f t="shared" si="29"/>
        <v>32452.95</v>
      </c>
      <c r="AL88" s="113">
        <f t="shared" si="19"/>
        <v>5718</v>
      </c>
      <c r="AM88" s="23">
        <f t="shared" si="20"/>
        <v>200982.19999999998</v>
      </c>
    </row>
    <row r="89" spans="1:39" x14ac:dyDescent="0.5">
      <c r="A89" s="16">
        <v>85</v>
      </c>
      <c r="B89" s="83" t="s">
        <v>1110</v>
      </c>
      <c r="C89" s="84" t="s">
        <v>78</v>
      </c>
      <c r="D89" s="85"/>
      <c r="E89" s="85">
        <f t="shared" si="30"/>
        <v>0</v>
      </c>
      <c r="F89" s="86"/>
      <c r="G89" s="85">
        <f t="shared" si="31"/>
        <v>0</v>
      </c>
      <c r="H89" s="86"/>
      <c r="I89" s="85">
        <f t="shared" si="32"/>
        <v>0</v>
      </c>
      <c r="J89" s="86"/>
      <c r="K89" s="86">
        <f t="shared" si="33"/>
        <v>0</v>
      </c>
      <c r="L89" s="86"/>
      <c r="M89" s="86">
        <f t="shared" si="34"/>
        <v>0</v>
      </c>
      <c r="N89" s="85"/>
      <c r="O89" s="86">
        <f t="shared" si="35"/>
        <v>0</v>
      </c>
      <c r="P89" s="85">
        <v>250</v>
      </c>
      <c r="Q89" s="86">
        <f t="shared" si="36"/>
        <v>9675</v>
      </c>
      <c r="R89" s="85"/>
      <c r="S89" s="86">
        <f t="shared" si="37"/>
        <v>0</v>
      </c>
      <c r="T89" s="85">
        <v>317</v>
      </c>
      <c r="U89" s="86">
        <f t="shared" si="21"/>
        <v>10397.599999999999</v>
      </c>
      <c r="V89" s="87">
        <v>354</v>
      </c>
      <c r="W89" s="86">
        <f t="shared" si="22"/>
        <v>12443.1</v>
      </c>
      <c r="X89" s="85"/>
      <c r="Y89" s="86">
        <f t="shared" si="23"/>
        <v>0</v>
      </c>
      <c r="Z89" s="85"/>
      <c r="AA89" s="85">
        <f t="shared" si="24"/>
        <v>0</v>
      </c>
      <c r="AB89" s="88">
        <v>264</v>
      </c>
      <c r="AC89" s="85">
        <f t="shared" si="25"/>
        <v>9250.56</v>
      </c>
      <c r="AD89" s="89">
        <v>244</v>
      </c>
      <c r="AE89" s="85">
        <f t="shared" si="26"/>
        <v>8339.92</v>
      </c>
      <c r="AF89" s="85"/>
      <c r="AG89" s="89">
        <f t="shared" si="27"/>
        <v>0</v>
      </c>
      <c r="AH89" s="89">
        <v>233</v>
      </c>
      <c r="AI89" s="85">
        <f t="shared" si="28"/>
        <v>8376.35</v>
      </c>
      <c r="AJ89" s="89">
        <v>271</v>
      </c>
      <c r="AK89" s="85">
        <f t="shared" si="29"/>
        <v>9937.57</v>
      </c>
      <c r="AL89" s="113">
        <f t="shared" si="19"/>
        <v>1933</v>
      </c>
      <c r="AM89" s="23">
        <f t="shared" si="20"/>
        <v>68420.099999999991</v>
      </c>
    </row>
    <row r="90" spans="1:39" s="114" customFormat="1" x14ac:dyDescent="0.5">
      <c r="A90" s="16">
        <v>86</v>
      </c>
      <c r="B90" s="83" t="s">
        <v>1111</v>
      </c>
      <c r="C90" s="84" t="s">
        <v>1112</v>
      </c>
      <c r="D90" s="85"/>
      <c r="E90" s="85">
        <f t="shared" si="30"/>
        <v>0</v>
      </c>
      <c r="F90" s="86"/>
      <c r="G90" s="85">
        <f t="shared" si="31"/>
        <v>0</v>
      </c>
      <c r="H90" s="86"/>
      <c r="I90" s="85">
        <f t="shared" si="32"/>
        <v>0</v>
      </c>
      <c r="J90" s="86"/>
      <c r="K90" s="86">
        <f t="shared" si="33"/>
        <v>0</v>
      </c>
      <c r="L90" s="86"/>
      <c r="M90" s="86">
        <f t="shared" si="34"/>
        <v>0</v>
      </c>
      <c r="N90" s="85">
        <v>359</v>
      </c>
      <c r="O90" s="86">
        <f t="shared" si="35"/>
        <v>15078</v>
      </c>
      <c r="P90" s="85">
        <v>434</v>
      </c>
      <c r="Q90" s="86">
        <f t="shared" si="36"/>
        <v>16795.800000000003</v>
      </c>
      <c r="R90" s="85"/>
      <c r="S90" s="86">
        <f t="shared" si="37"/>
        <v>0</v>
      </c>
      <c r="T90" s="85"/>
      <c r="U90" s="86">
        <f t="shared" si="21"/>
        <v>0</v>
      </c>
      <c r="V90" s="87"/>
      <c r="W90" s="86">
        <f t="shared" si="22"/>
        <v>0</v>
      </c>
      <c r="X90" s="85"/>
      <c r="Y90" s="86">
        <f t="shared" si="23"/>
        <v>0</v>
      </c>
      <c r="Z90" s="85"/>
      <c r="AA90" s="85">
        <f t="shared" si="24"/>
        <v>0</v>
      </c>
      <c r="AB90" s="88"/>
      <c r="AC90" s="85">
        <f t="shared" si="25"/>
        <v>0</v>
      </c>
      <c r="AD90" s="89"/>
      <c r="AE90" s="85">
        <f t="shared" si="26"/>
        <v>0</v>
      </c>
      <c r="AF90" s="85"/>
      <c r="AG90" s="89">
        <f t="shared" si="27"/>
        <v>0</v>
      </c>
      <c r="AH90" s="89"/>
      <c r="AI90" s="85">
        <f t="shared" si="28"/>
        <v>0</v>
      </c>
      <c r="AJ90" s="89"/>
      <c r="AK90" s="85">
        <f t="shared" si="29"/>
        <v>0</v>
      </c>
      <c r="AL90" s="113">
        <f t="shared" si="19"/>
        <v>793</v>
      </c>
      <c r="AM90" s="23">
        <f t="shared" si="20"/>
        <v>31873.800000000003</v>
      </c>
    </row>
    <row r="91" spans="1:39" x14ac:dyDescent="0.5">
      <c r="A91" s="16">
        <v>87</v>
      </c>
      <c r="B91" s="83" t="s">
        <v>1113</v>
      </c>
      <c r="C91" s="84" t="s">
        <v>1114</v>
      </c>
      <c r="D91" s="85">
        <v>288</v>
      </c>
      <c r="E91" s="85">
        <f t="shared" si="30"/>
        <v>8962.56</v>
      </c>
      <c r="F91" s="86">
        <v>249</v>
      </c>
      <c r="G91" s="85">
        <f t="shared" si="31"/>
        <v>8070.0899999999992</v>
      </c>
      <c r="H91" s="86">
        <v>212</v>
      </c>
      <c r="I91" s="85">
        <f t="shared" si="32"/>
        <v>6998.12</v>
      </c>
      <c r="J91" s="86">
        <v>195</v>
      </c>
      <c r="K91" s="86">
        <f t="shared" si="33"/>
        <v>6848.4</v>
      </c>
      <c r="L91" s="86">
        <v>165</v>
      </c>
      <c r="M91" s="86">
        <f t="shared" si="34"/>
        <v>6311.25</v>
      </c>
      <c r="N91" s="85">
        <v>130</v>
      </c>
      <c r="O91" s="86">
        <f t="shared" si="35"/>
        <v>5460</v>
      </c>
      <c r="P91" s="85">
        <v>161</v>
      </c>
      <c r="Q91" s="86">
        <f t="shared" si="36"/>
        <v>6230.7000000000007</v>
      </c>
      <c r="R91" s="85">
        <v>210</v>
      </c>
      <c r="S91" s="86">
        <f t="shared" si="37"/>
        <v>7077.0000000000009</v>
      </c>
      <c r="T91" s="85">
        <v>146</v>
      </c>
      <c r="U91" s="86">
        <f t="shared" si="21"/>
        <v>4788.7999999999993</v>
      </c>
      <c r="V91" s="87">
        <v>253</v>
      </c>
      <c r="W91" s="86">
        <f t="shared" si="22"/>
        <v>8892.9499999999989</v>
      </c>
      <c r="X91" s="85">
        <v>173</v>
      </c>
      <c r="Y91" s="86">
        <f t="shared" si="23"/>
        <v>5996.1799999999994</v>
      </c>
      <c r="Z91" s="85">
        <v>256</v>
      </c>
      <c r="AA91" s="85">
        <f t="shared" si="24"/>
        <v>9228.7999999999993</v>
      </c>
      <c r="AB91" s="88">
        <v>270</v>
      </c>
      <c r="AC91" s="85">
        <f t="shared" si="25"/>
        <v>9460.7999999999993</v>
      </c>
      <c r="AD91" s="89">
        <v>278</v>
      </c>
      <c r="AE91" s="85">
        <f t="shared" si="26"/>
        <v>9502.0399999999991</v>
      </c>
      <c r="AF91" s="85">
        <v>250</v>
      </c>
      <c r="AG91" s="89">
        <f t="shared" si="27"/>
        <v>8325</v>
      </c>
      <c r="AH91" s="89">
        <v>292</v>
      </c>
      <c r="AI91" s="85">
        <f t="shared" si="28"/>
        <v>10497.400000000001</v>
      </c>
      <c r="AJ91" s="89">
        <v>304</v>
      </c>
      <c r="AK91" s="85">
        <f t="shared" si="29"/>
        <v>11147.68</v>
      </c>
      <c r="AL91" s="113">
        <f t="shared" si="19"/>
        <v>3832</v>
      </c>
      <c r="AM91" s="23">
        <f t="shared" si="20"/>
        <v>133797.76999999999</v>
      </c>
    </row>
    <row r="92" spans="1:39" s="114" customFormat="1" x14ac:dyDescent="0.5">
      <c r="A92" s="16">
        <v>88</v>
      </c>
      <c r="B92" s="83" t="s">
        <v>1115</v>
      </c>
      <c r="C92" s="84" t="s">
        <v>1116</v>
      </c>
      <c r="D92" s="85"/>
      <c r="E92" s="85">
        <f t="shared" si="30"/>
        <v>0</v>
      </c>
      <c r="F92" s="86"/>
      <c r="G92" s="85">
        <f t="shared" si="31"/>
        <v>0</v>
      </c>
      <c r="H92" s="86"/>
      <c r="I92" s="85">
        <f t="shared" si="32"/>
        <v>0</v>
      </c>
      <c r="J92" s="86"/>
      <c r="K92" s="86">
        <f t="shared" si="33"/>
        <v>0</v>
      </c>
      <c r="L92" s="86"/>
      <c r="M92" s="86">
        <f t="shared" si="34"/>
        <v>0</v>
      </c>
      <c r="N92" s="85"/>
      <c r="O92" s="86">
        <f t="shared" si="35"/>
        <v>0</v>
      </c>
      <c r="P92" s="85"/>
      <c r="Q92" s="86">
        <f t="shared" si="36"/>
        <v>0</v>
      </c>
      <c r="R92" s="85"/>
      <c r="S92" s="86">
        <f t="shared" si="37"/>
        <v>0</v>
      </c>
      <c r="T92" s="85"/>
      <c r="U92" s="86">
        <f t="shared" si="21"/>
        <v>0</v>
      </c>
      <c r="V92" s="87">
        <v>164</v>
      </c>
      <c r="W92" s="86">
        <f t="shared" si="22"/>
        <v>5764.5999999999995</v>
      </c>
      <c r="X92" s="85"/>
      <c r="Y92" s="86">
        <f t="shared" si="23"/>
        <v>0</v>
      </c>
      <c r="Z92" s="85"/>
      <c r="AA92" s="85">
        <f t="shared" si="24"/>
        <v>0</v>
      </c>
      <c r="AB92" s="88"/>
      <c r="AC92" s="85">
        <f t="shared" si="25"/>
        <v>0</v>
      </c>
      <c r="AD92" s="89"/>
      <c r="AE92" s="85">
        <f t="shared" si="26"/>
        <v>0</v>
      </c>
      <c r="AF92" s="85"/>
      <c r="AG92" s="89">
        <f t="shared" si="27"/>
        <v>0</v>
      </c>
      <c r="AH92" s="89"/>
      <c r="AI92" s="85">
        <f t="shared" si="28"/>
        <v>0</v>
      </c>
      <c r="AJ92" s="89"/>
      <c r="AK92" s="85">
        <f t="shared" si="29"/>
        <v>0</v>
      </c>
      <c r="AL92" s="113">
        <f t="shared" si="19"/>
        <v>164</v>
      </c>
      <c r="AM92" s="23">
        <f t="shared" si="20"/>
        <v>5764.5999999999995</v>
      </c>
    </row>
    <row r="93" spans="1:39" s="114" customFormat="1" x14ac:dyDescent="0.5">
      <c r="A93" s="16">
        <v>89</v>
      </c>
      <c r="B93" s="83" t="s">
        <v>1117</v>
      </c>
      <c r="C93" s="84" t="s">
        <v>1118</v>
      </c>
      <c r="D93" s="85"/>
      <c r="E93" s="85">
        <f t="shared" si="30"/>
        <v>0</v>
      </c>
      <c r="F93" s="86"/>
      <c r="G93" s="85">
        <f t="shared" si="31"/>
        <v>0</v>
      </c>
      <c r="H93" s="86"/>
      <c r="I93" s="85">
        <f t="shared" si="32"/>
        <v>0</v>
      </c>
      <c r="J93" s="86"/>
      <c r="K93" s="86">
        <f t="shared" si="33"/>
        <v>0</v>
      </c>
      <c r="L93" s="86"/>
      <c r="M93" s="86">
        <f t="shared" si="34"/>
        <v>0</v>
      </c>
      <c r="N93" s="85"/>
      <c r="O93" s="86">
        <f t="shared" si="35"/>
        <v>0</v>
      </c>
      <c r="P93" s="85">
        <v>217</v>
      </c>
      <c r="Q93" s="86">
        <f t="shared" si="36"/>
        <v>8397.9000000000015</v>
      </c>
      <c r="R93" s="85"/>
      <c r="S93" s="86">
        <f t="shared" si="37"/>
        <v>0</v>
      </c>
      <c r="T93" s="85"/>
      <c r="U93" s="86">
        <f t="shared" si="21"/>
        <v>0</v>
      </c>
      <c r="V93" s="87"/>
      <c r="W93" s="86">
        <f t="shared" si="22"/>
        <v>0</v>
      </c>
      <c r="X93" s="85"/>
      <c r="Y93" s="86">
        <f t="shared" si="23"/>
        <v>0</v>
      </c>
      <c r="Z93" s="85"/>
      <c r="AA93" s="85">
        <f t="shared" si="24"/>
        <v>0</v>
      </c>
      <c r="AB93" s="88"/>
      <c r="AC93" s="85">
        <f t="shared" si="25"/>
        <v>0</v>
      </c>
      <c r="AD93" s="89"/>
      <c r="AE93" s="85">
        <f t="shared" si="26"/>
        <v>0</v>
      </c>
      <c r="AF93" s="85"/>
      <c r="AG93" s="89">
        <f t="shared" si="27"/>
        <v>0</v>
      </c>
      <c r="AH93" s="89"/>
      <c r="AI93" s="85">
        <f t="shared" si="28"/>
        <v>0</v>
      </c>
      <c r="AJ93" s="89"/>
      <c r="AK93" s="85">
        <f t="shared" si="29"/>
        <v>0</v>
      </c>
      <c r="AL93" s="113">
        <f t="shared" si="19"/>
        <v>217</v>
      </c>
      <c r="AM93" s="23">
        <f t="shared" si="20"/>
        <v>8397.9000000000015</v>
      </c>
    </row>
    <row r="94" spans="1:39" s="114" customFormat="1" x14ac:dyDescent="0.5">
      <c r="A94" s="16">
        <v>90</v>
      </c>
      <c r="B94" s="83" t="s">
        <v>1119</v>
      </c>
      <c r="C94" s="84" t="s">
        <v>1118</v>
      </c>
      <c r="D94" s="85"/>
      <c r="E94" s="85">
        <f t="shared" si="30"/>
        <v>0</v>
      </c>
      <c r="F94" s="86"/>
      <c r="G94" s="85">
        <f t="shared" si="31"/>
        <v>0</v>
      </c>
      <c r="H94" s="86"/>
      <c r="I94" s="85">
        <f t="shared" si="32"/>
        <v>0</v>
      </c>
      <c r="J94" s="86"/>
      <c r="K94" s="86">
        <f t="shared" si="33"/>
        <v>0</v>
      </c>
      <c r="L94" s="86"/>
      <c r="M94" s="86">
        <f t="shared" si="34"/>
        <v>0</v>
      </c>
      <c r="N94" s="85"/>
      <c r="O94" s="86">
        <f t="shared" si="35"/>
        <v>0</v>
      </c>
      <c r="P94" s="85">
        <v>350</v>
      </c>
      <c r="Q94" s="86">
        <f t="shared" si="36"/>
        <v>13545.000000000002</v>
      </c>
      <c r="R94" s="85"/>
      <c r="S94" s="86">
        <f t="shared" si="37"/>
        <v>0</v>
      </c>
      <c r="T94" s="85"/>
      <c r="U94" s="86">
        <f t="shared" si="21"/>
        <v>0</v>
      </c>
      <c r="V94" s="87"/>
      <c r="W94" s="86">
        <f t="shared" si="22"/>
        <v>0</v>
      </c>
      <c r="X94" s="85"/>
      <c r="Y94" s="86">
        <f t="shared" si="23"/>
        <v>0</v>
      </c>
      <c r="Z94" s="85"/>
      <c r="AA94" s="85">
        <f t="shared" si="24"/>
        <v>0</v>
      </c>
      <c r="AB94" s="88"/>
      <c r="AC94" s="85">
        <f t="shared" si="25"/>
        <v>0</v>
      </c>
      <c r="AD94" s="89"/>
      <c r="AE94" s="85">
        <f t="shared" si="26"/>
        <v>0</v>
      </c>
      <c r="AF94" s="85"/>
      <c r="AG94" s="89">
        <f t="shared" si="27"/>
        <v>0</v>
      </c>
      <c r="AH94" s="89"/>
      <c r="AI94" s="85">
        <f t="shared" si="28"/>
        <v>0</v>
      </c>
      <c r="AJ94" s="89"/>
      <c r="AK94" s="85">
        <f t="shared" si="29"/>
        <v>0</v>
      </c>
      <c r="AL94" s="113">
        <f t="shared" si="19"/>
        <v>350</v>
      </c>
      <c r="AM94" s="23">
        <f t="shared" si="20"/>
        <v>13545.000000000002</v>
      </c>
    </row>
    <row r="95" spans="1:39" x14ac:dyDescent="0.5">
      <c r="A95" s="16">
        <v>91</v>
      </c>
      <c r="B95" s="83" t="s">
        <v>1120</v>
      </c>
      <c r="C95" s="84" t="s">
        <v>1121</v>
      </c>
      <c r="D95" s="85"/>
      <c r="E95" s="85"/>
      <c r="F95" s="86"/>
      <c r="G95" s="85"/>
      <c r="H95" s="86"/>
      <c r="I95" s="85"/>
      <c r="J95" s="86"/>
      <c r="K95" s="86"/>
      <c r="L95" s="86"/>
      <c r="M95" s="86"/>
      <c r="N95" s="85"/>
      <c r="O95" s="86"/>
      <c r="P95" s="85"/>
      <c r="Q95" s="86"/>
      <c r="R95" s="85"/>
      <c r="S95" s="86"/>
      <c r="T95" s="85"/>
      <c r="U95" s="86"/>
      <c r="V95" s="87"/>
      <c r="W95" s="86"/>
      <c r="X95" s="85"/>
      <c r="Y95" s="86"/>
      <c r="Z95" s="85"/>
      <c r="AA95" s="85"/>
      <c r="AB95" s="88"/>
      <c r="AC95" s="85"/>
      <c r="AD95" s="89"/>
      <c r="AE95" s="85"/>
      <c r="AF95" s="85"/>
      <c r="AG95" s="89"/>
      <c r="AH95" s="89"/>
      <c r="AI95" s="85"/>
      <c r="AJ95" s="89">
        <v>227</v>
      </c>
      <c r="AK95" s="85">
        <f t="shared" si="29"/>
        <v>8324.09</v>
      </c>
      <c r="AL95" s="113">
        <f t="shared" si="19"/>
        <v>227</v>
      </c>
      <c r="AM95" s="23">
        <f t="shared" si="20"/>
        <v>8324.09</v>
      </c>
    </row>
    <row r="96" spans="1:39" s="114" customFormat="1" x14ac:dyDescent="0.5">
      <c r="A96" s="16">
        <v>92</v>
      </c>
      <c r="B96" s="83" t="s">
        <v>1122</v>
      </c>
      <c r="C96" s="84" t="s">
        <v>1118</v>
      </c>
      <c r="D96" s="85"/>
      <c r="E96" s="85">
        <f t="shared" si="30"/>
        <v>0</v>
      </c>
      <c r="F96" s="86"/>
      <c r="G96" s="85">
        <f t="shared" si="31"/>
        <v>0</v>
      </c>
      <c r="H96" s="86"/>
      <c r="I96" s="85">
        <f t="shared" si="32"/>
        <v>0</v>
      </c>
      <c r="J96" s="86"/>
      <c r="K96" s="86">
        <f t="shared" si="33"/>
        <v>0</v>
      </c>
      <c r="L96" s="86"/>
      <c r="M96" s="86">
        <f t="shared" si="34"/>
        <v>0</v>
      </c>
      <c r="N96" s="85"/>
      <c r="O96" s="86">
        <f t="shared" si="35"/>
        <v>0</v>
      </c>
      <c r="P96" s="85">
        <v>349</v>
      </c>
      <c r="Q96" s="86">
        <f t="shared" si="36"/>
        <v>13506.300000000001</v>
      </c>
      <c r="R96" s="85"/>
      <c r="S96" s="86">
        <f t="shared" si="37"/>
        <v>0</v>
      </c>
      <c r="T96" s="85"/>
      <c r="U96" s="86">
        <f t="shared" si="21"/>
        <v>0</v>
      </c>
      <c r="V96" s="87"/>
      <c r="W96" s="86">
        <f t="shared" si="22"/>
        <v>0</v>
      </c>
      <c r="X96" s="85"/>
      <c r="Y96" s="86">
        <f t="shared" si="23"/>
        <v>0</v>
      </c>
      <c r="Z96" s="85"/>
      <c r="AA96" s="85">
        <f t="shared" si="24"/>
        <v>0</v>
      </c>
      <c r="AB96" s="88"/>
      <c r="AC96" s="85">
        <f t="shared" si="25"/>
        <v>0</v>
      </c>
      <c r="AD96" s="89"/>
      <c r="AE96" s="85">
        <f t="shared" si="26"/>
        <v>0</v>
      </c>
      <c r="AF96" s="85"/>
      <c r="AG96" s="89">
        <f t="shared" si="27"/>
        <v>0</v>
      </c>
      <c r="AH96" s="89"/>
      <c r="AI96" s="85">
        <f t="shared" si="28"/>
        <v>0</v>
      </c>
      <c r="AJ96" s="89"/>
      <c r="AK96" s="85">
        <f t="shared" si="29"/>
        <v>0</v>
      </c>
      <c r="AL96" s="113">
        <f t="shared" si="19"/>
        <v>349</v>
      </c>
      <c r="AM96" s="23">
        <f t="shared" si="20"/>
        <v>13506.300000000001</v>
      </c>
    </row>
    <row r="97" spans="1:72" s="114" customFormat="1" x14ac:dyDescent="0.5">
      <c r="A97" s="16">
        <v>93</v>
      </c>
      <c r="B97" s="83" t="s">
        <v>1123</v>
      </c>
      <c r="C97" s="84" t="s">
        <v>1124</v>
      </c>
      <c r="D97" s="85"/>
      <c r="E97" s="85">
        <f t="shared" si="30"/>
        <v>0</v>
      </c>
      <c r="F97" s="86"/>
      <c r="G97" s="85">
        <f t="shared" si="31"/>
        <v>0</v>
      </c>
      <c r="H97" s="86"/>
      <c r="I97" s="85">
        <f t="shared" si="32"/>
        <v>0</v>
      </c>
      <c r="J97" s="86">
        <v>151</v>
      </c>
      <c r="K97" s="86">
        <f t="shared" si="33"/>
        <v>5303.12</v>
      </c>
      <c r="L97" s="86"/>
      <c r="M97" s="86">
        <f t="shared" si="34"/>
        <v>0</v>
      </c>
      <c r="N97" s="85"/>
      <c r="O97" s="86">
        <f t="shared" si="35"/>
        <v>0</v>
      </c>
      <c r="P97" s="85"/>
      <c r="Q97" s="86">
        <f t="shared" si="36"/>
        <v>0</v>
      </c>
      <c r="R97" s="85"/>
      <c r="S97" s="86">
        <f t="shared" si="37"/>
        <v>0</v>
      </c>
      <c r="T97" s="85"/>
      <c r="U97" s="86">
        <f t="shared" si="21"/>
        <v>0</v>
      </c>
      <c r="V97" s="87"/>
      <c r="W97" s="86">
        <f t="shared" si="22"/>
        <v>0</v>
      </c>
      <c r="X97" s="85"/>
      <c r="Y97" s="86">
        <f t="shared" si="23"/>
        <v>0</v>
      </c>
      <c r="Z97" s="85"/>
      <c r="AA97" s="85">
        <f t="shared" si="24"/>
        <v>0</v>
      </c>
      <c r="AB97" s="88"/>
      <c r="AC97" s="85">
        <f t="shared" si="25"/>
        <v>0</v>
      </c>
      <c r="AD97" s="89"/>
      <c r="AE97" s="85">
        <f t="shared" si="26"/>
        <v>0</v>
      </c>
      <c r="AF97" s="85"/>
      <c r="AG97" s="89">
        <f t="shared" si="27"/>
        <v>0</v>
      </c>
      <c r="AH97" s="89"/>
      <c r="AI97" s="85">
        <f t="shared" si="28"/>
        <v>0</v>
      </c>
      <c r="AJ97" s="89"/>
      <c r="AK97" s="85">
        <f t="shared" si="29"/>
        <v>0</v>
      </c>
      <c r="AL97" s="113">
        <f t="shared" si="19"/>
        <v>151</v>
      </c>
      <c r="AM97" s="23">
        <f t="shared" si="20"/>
        <v>5303.12</v>
      </c>
    </row>
    <row r="98" spans="1:72" s="114" customFormat="1" x14ac:dyDescent="0.5">
      <c r="A98" s="16">
        <v>94</v>
      </c>
      <c r="B98" s="83" t="s">
        <v>1125</v>
      </c>
      <c r="C98" s="84" t="s">
        <v>1126</v>
      </c>
      <c r="D98" s="85"/>
      <c r="E98" s="85">
        <f t="shared" si="30"/>
        <v>0</v>
      </c>
      <c r="F98" s="86"/>
      <c r="G98" s="85">
        <f t="shared" si="31"/>
        <v>0</v>
      </c>
      <c r="H98" s="86"/>
      <c r="I98" s="85">
        <f t="shared" si="32"/>
        <v>0</v>
      </c>
      <c r="J98" s="86"/>
      <c r="K98" s="86">
        <f t="shared" si="33"/>
        <v>0</v>
      </c>
      <c r="L98" s="86"/>
      <c r="M98" s="86">
        <f t="shared" si="34"/>
        <v>0</v>
      </c>
      <c r="N98" s="85"/>
      <c r="O98" s="86">
        <f t="shared" si="35"/>
        <v>0</v>
      </c>
      <c r="P98" s="85">
        <v>643</v>
      </c>
      <c r="Q98" s="86">
        <f t="shared" si="36"/>
        <v>24884.100000000002</v>
      </c>
      <c r="R98" s="85"/>
      <c r="S98" s="86">
        <f t="shared" si="37"/>
        <v>0</v>
      </c>
      <c r="T98" s="85"/>
      <c r="U98" s="86">
        <f t="shared" si="21"/>
        <v>0</v>
      </c>
      <c r="V98" s="87"/>
      <c r="W98" s="86">
        <f t="shared" si="22"/>
        <v>0</v>
      </c>
      <c r="X98" s="85"/>
      <c r="Y98" s="86">
        <f t="shared" si="23"/>
        <v>0</v>
      </c>
      <c r="Z98" s="85"/>
      <c r="AA98" s="85">
        <f t="shared" si="24"/>
        <v>0</v>
      </c>
      <c r="AB98" s="88"/>
      <c r="AC98" s="85">
        <f t="shared" si="25"/>
        <v>0</v>
      </c>
      <c r="AD98" s="89"/>
      <c r="AE98" s="85">
        <f t="shared" si="26"/>
        <v>0</v>
      </c>
      <c r="AF98" s="85"/>
      <c r="AG98" s="89">
        <f t="shared" si="27"/>
        <v>0</v>
      </c>
      <c r="AH98" s="89"/>
      <c r="AI98" s="85">
        <f t="shared" si="28"/>
        <v>0</v>
      </c>
      <c r="AJ98" s="89"/>
      <c r="AK98" s="85">
        <f t="shared" si="29"/>
        <v>0</v>
      </c>
      <c r="AL98" s="113">
        <f t="shared" si="19"/>
        <v>643</v>
      </c>
      <c r="AM98" s="23">
        <f t="shared" si="20"/>
        <v>24884.100000000002</v>
      </c>
    </row>
    <row r="99" spans="1:72" x14ac:dyDescent="0.5">
      <c r="A99" s="16">
        <v>95</v>
      </c>
      <c r="B99" s="83" t="s">
        <v>1127</v>
      </c>
      <c r="C99" s="84" t="s">
        <v>1128</v>
      </c>
      <c r="D99" s="85"/>
      <c r="E99" s="85">
        <f t="shared" si="30"/>
        <v>0</v>
      </c>
      <c r="F99" s="86"/>
      <c r="G99" s="85">
        <f t="shared" si="31"/>
        <v>0</v>
      </c>
      <c r="H99" s="86"/>
      <c r="I99" s="85">
        <f t="shared" si="32"/>
        <v>0</v>
      </c>
      <c r="J99" s="86"/>
      <c r="K99" s="86">
        <f t="shared" si="33"/>
        <v>0</v>
      </c>
      <c r="L99" s="86"/>
      <c r="M99" s="86">
        <f t="shared" si="34"/>
        <v>0</v>
      </c>
      <c r="N99" s="85"/>
      <c r="O99" s="86">
        <f t="shared" si="35"/>
        <v>0</v>
      </c>
      <c r="P99" s="85"/>
      <c r="Q99" s="86">
        <f t="shared" si="36"/>
        <v>0</v>
      </c>
      <c r="R99" s="85"/>
      <c r="S99" s="86">
        <f t="shared" si="37"/>
        <v>0</v>
      </c>
      <c r="T99" s="85"/>
      <c r="U99" s="86">
        <f t="shared" si="21"/>
        <v>0</v>
      </c>
      <c r="V99" s="87">
        <v>320</v>
      </c>
      <c r="W99" s="86">
        <f t="shared" si="22"/>
        <v>11248</v>
      </c>
      <c r="X99" s="85"/>
      <c r="Y99" s="86">
        <f t="shared" si="23"/>
        <v>0</v>
      </c>
      <c r="Z99" s="85"/>
      <c r="AA99" s="85">
        <f t="shared" si="24"/>
        <v>0</v>
      </c>
      <c r="AB99" s="88">
        <v>298</v>
      </c>
      <c r="AC99" s="85">
        <f t="shared" si="25"/>
        <v>10441.92</v>
      </c>
      <c r="AD99" s="89">
        <v>289</v>
      </c>
      <c r="AE99" s="85">
        <f t="shared" si="26"/>
        <v>9878.02</v>
      </c>
      <c r="AF99" s="85">
        <v>264</v>
      </c>
      <c r="AG99" s="89">
        <f t="shared" si="27"/>
        <v>8791.1999999999989</v>
      </c>
      <c r="AH99" s="89">
        <v>284</v>
      </c>
      <c r="AI99" s="85">
        <f t="shared" si="28"/>
        <v>10209.800000000001</v>
      </c>
      <c r="AJ99" s="89">
        <v>244</v>
      </c>
      <c r="AK99" s="85">
        <f t="shared" si="29"/>
        <v>8947.48</v>
      </c>
      <c r="AL99" s="113">
        <f t="shared" si="19"/>
        <v>1699</v>
      </c>
      <c r="AM99" s="23">
        <f t="shared" si="20"/>
        <v>59516.42</v>
      </c>
    </row>
    <row r="100" spans="1:72" s="114" customFormat="1" x14ac:dyDescent="0.5">
      <c r="A100" s="16">
        <v>96</v>
      </c>
      <c r="B100" s="83" t="s">
        <v>1129</v>
      </c>
      <c r="C100" s="84" t="s">
        <v>1130</v>
      </c>
      <c r="D100" s="85"/>
      <c r="E100" s="85">
        <f t="shared" si="30"/>
        <v>0</v>
      </c>
      <c r="F100" s="86">
        <v>560</v>
      </c>
      <c r="G100" s="85">
        <f t="shared" si="31"/>
        <v>18149.599999999999</v>
      </c>
      <c r="H100" s="86"/>
      <c r="I100" s="85">
        <f t="shared" si="32"/>
        <v>0</v>
      </c>
      <c r="J100" s="86"/>
      <c r="K100" s="86">
        <f t="shared" si="33"/>
        <v>0</v>
      </c>
      <c r="L100" s="86"/>
      <c r="M100" s="86">
        <f t="shared" si="34"/>
        <v>0</v>
      </c>
      <c r="N100" s="85"/>
      <c r="O100" s="86">
        <f t="shared" si="35"/>
        <v>0</v>
      </c>
      <c r="P100" s="85">
        <v>991</v>
      </c>
      <c r="Q100" s="86">
        <f t="shared" si="36"/>
        <v>38351.700000000004</v>
      </c>
      <c r="R100" s="85"/>
      <c r="S100" s="86">
        <f t="shared" si="37"/>
        <v>0</v>
      </c>
      <c r="T100" s="85"/>
      <c r="U100" s="86">
        <f t="shared" si="21"/>
        <v>0</v>
      </c>
      <c r="V100" s="87"/>
      <c r="W100" s="86">
        <f t="shared" si="22"/>
        <v>0</v>
      </c>
      <c r="X100" s="85"/>
      <c r="Y100" s="86">
        <f t="shared" si="23"/>
        <v>0</v>
      </c>
      <c r="Z100" s="85"/>
      <c r="AA100" s="85">
        <f t="shared" si="24"/>
        <v>0</v>
      </c>
      <c r="AB100" s="88"/>
      <c r="AC100" s="85">
        <f t="shared" si="25"/>
        <v>0</v>
      </c>
      <c r="AD100" s="89"/>
      <c r="AE100" s="85">
        <f t="shared" si="26"/>
        <v>0</v>
      </c>
      <c r="AF100" s="85"/>
      <c r="AG100" s="89">
        <f t="shared" si="27"/>
        <v>0</v>
      </c>
      <c r="AH100" s="89"/>
      <c r="AI100" s="85">
        <f t="shared" si="28"/>
        <v>0</v>
      </c>
      <c r="AJ100" s="89"/>
      <c r="AK100" s="85">
        <f t="shared" si="29"/>
        <v>0</v>
      </c>
      <c r="AL100" s="113">
        <f t="shared" si="19"/>
        <v>1551</v>
      </c>
      <c r="AM100" s="23">
        <f t="shared" si="20"/>
        <v>56501.3</v>
      </c>
    </row>
    <row r="101" spans="1:72" s="114" customFormat="1" x14ac:dyDescent="0.5">
      <c r="A101" s="16">
        <v>97</v>
      </c>
      <c r="B101" s="83" t="s">
        <v>1035</v>
      </c>
      <c r="C101" s="84" t="s">
        <v>1063</v>
      </c>
      <c r="D101" s="85"/>
      <c r="E101" s="85">
        <f t="shared" si="30"/>
        <v>0</v>
      </c>
      <c r="F101" s="86"/>
      <c r="G101" s="85">
        <f t="shared" si="31"/>
        <v>0</v>
      </c>
      <c r="H101" s="86"/>
      <c r="I101" s="85">
        <f t="shared" si="32"/>
        <v>0</v>
      </c>
      <c r="J101" s="86"/>
      <c r="K101" s="86">
        <f t="shared" si="33"/>
        <v>0</v>
      </c>
      <c r="L101" s="86"/>
      <c r="M101" s="86">
        <f t="shared" si="34"/>
        <v>0</v>
      </c>
      <c r="N101" s="85"/>
      <c r="O101" s="86">
        <f t="shared" si="35"/>
        <v>0</v>
      </c>
      <c r="P101" s="85"/>
      <c r="Q101" s="86">
        <f t="shared" si="36"/>
        <v>0</v>
      </c>
      <c r="R101" s="85"/>
      <c r="S101" s="86">
        <f t="shared" si="37"/>
        <v>0</v>
      </c>
      <c r="T101" s="85"/>
      <c r="U101" s="86">
        <f t="shared" si="21"/>
        <v>0</v>
      </c>
      <c r="V101" s="87"/>
      <c r="W101" s="86">
        <f t="shared" si="22"/>
        <v>0</v>
      </c>
      <c r="X101" s="85">
        <v>611</v>
      </c>
      <c r="Y101" s="86">
        <f t="shared" si="23"/>
        <v>21177.26</v>
      </c>
      <c r="Z101" s="85"/>
      <c r="AA101" s="85">
        <f t="shared" si="24"/>
        <v>0</v>
      </c>
      <c r="AB101" s="88"/>
      <c r="AC101" s="85">
        <f t="shared" si="25"/>
        <v>0</v>
      </c>
      <c r="AD101" s="89"/>
      <c r="AE101" s="85">
        <f t="shared" si="26"/>
        <v>0</v>
      </c>
      <c r="AF101" s="85"/>
      <c r="AG101" s="89">
        <f t="shared" si="27"/>
        <v>0</v>
      </c>
      <c r="AH101" s="89"/>
      <c r="AI101" s="85">
        <f t="shared" si="28"/>
        <v>0</v>
      </c>
      <c r="AJ101" s="89"/>
      <c r="AK101" s="85">
        <f t="shared" si="29"/>
        <v>0</v>
      </c>
      <c r="AL101" s="113">
        <f t="shared" si="19"/>
        <v>611</v>
      </c>
      <c r="AM101" s="23">
        <f t="shared" si="20"/>
        <v>21177.26</v>
      </c>
    </row>
    <row r="102" spans="1:72" s="114" customFormat="1" x14ac:dyDescent="0.5">
      <c r="A102" s="16">
        <v>98</v>
      </c>
      <c r="B102" s="83" t="s">
        <v>247</v>
      </c>
      <c r="C102" s="84" t="s">
        <v>1131</v>
      </c>
      <c r="D102" s="85">
        <v>167</v>
      </c>
      <c r="E102" s="85">
        <f t="shared" si="30"/>
        <v>5197.04</v>
      </c>
      <c r="F102" s="86"/>
      <c r="G102" s="85">
        <f t="shared" si="31"/>
        <v>0</v>
      </c>
      <c r="H102" s="86"/>
      <c r="I102" s="85">
        <f t="shared" si="32"/>
        <v>0</v>
      </c>
      <c r="J102" s="86"/>
      <c r="K102" s="86">
        <f t="shared" si="33"/>
        <v>0</v>
      </c>
      <c r="L102" s="86"/>
      <c r="M102" s="86">
        <f t="shared" si="34"/>
        <v>0</v>
      </c>
      <c r="N102" s="85"/>
      <c r="O102" s="86">
        <f t="shared" si="35"/>
        <v>0</v>
      </c>
      <c r="P102" s="85"/>
      <c r="Q102" s="86">
        <f t="shared" si="36"/>
        <v>0</v>
      </c>
      <c r="R102" s="85"/>
      <c r="S102" s="86">
        <f t="shared" si="37"/>
        <v>0</v>
      </c>
      <c r="T102" s="85"/>
      <c r="U102" s="86">
        <f t="shared" si="21"/>
        <v>0</v>
      </c>
      <c r="V102" s="87"/>
      <c r="W102" s="86">
        <f t="shared" si="22"/>
        <v>0</v>
      </c>
      <c r="X102" s="85">
        <v>383</v>
      </c>
      <c r="Y102" s="86">
        <f t="shared" si="23"/>
        <v>13274.779999999999</v>
      </c>
      <c r="Z102" s="85"/>
      <c r="AA102" s="85">
        <f t="shared" si="24"/>
        <v>0</v>
      </c>
      <c r="AB102" s="88"/>
      <c r="AC102" s="85">
        <f t="shared" si="25"/>
        <v>0</v>
      </c>
      <c r="AD102" s="89"/>
      <c r="AE102" s="85">
        <f t="shared" si="26"/>
        <v>0</v>
      </c>
      <c r="AF102" s="85"/>
      <c r="AG102" s="89">
        <f t="shared" si="27"/>
        <v>0</v>
      </c>
      <c r="AH102" s="89"/>
      <c r="AI102" s="85">
        <f t="shared" si="28"/>
        <v>0</v>
      </c>
      <c r="AJ102" s="89"/>
      <c r="AK102" s="85">
        <f t="shared" si="29"/>
        <v>0</v>
      </c>
      <c r="AL102" s="113">
        <f t="shared" si="19"/>
        <v>550</v>
      </c>
      <c r="AM102" s="23">
        <f t="shared" si="20"/>
        <v>18471.82</v>
      </c>
    </row>
    <row r="103" spans="1:72" s="114" customFormat="1" x14ac:dyDescent="0.5">
      <c r="A103" s="16">
        <v>99</v>
      </c>
      <c r="B103" s="83" t="s">
        <v>750</v>
      </c>
      <c r="C103" s="84" t="s">
        <v>1132</v>
      </c>
      <c r="D103" s="85">
        <v>190</v>
      </c>
      <c r="E103" s="85">
        <f t="shared" si="30"/>
        <v>5912.8</v>
      </c>
      <c r="F103" s="86"/>
      <c r="G103" s="85">
        <f t="shared" si="31"/>
        <v>0</v>
      </c>
      <c r="H103" s="86"/>
      <c r="I103" s="85">
        <f t="shared" si="32"/>
        <v>0</v>
      </c>
      <c r="J103" s="86"/>
      <c r="K103" s="86">
        <f t="shared" si="33"/>
        <v>0</v>
      </c>
      <c r="L103" s="86"/>
      <c r="M103" s="86">
        <f t="shared" si="34"/>
        <v>0</v>
      </c>
      <c r="N103" s="85"/>
      <c r="O103" s="86">
        <f t="shared" si="35"/>
        <v>0</v>
      </c>
      <c r="P103" s="85"/>
      <c r="Q103" s="86">
        <f t="shared" si="36"/>
        <v>0</v>
      </c>
      <c r="R103" s="85"/>
      <c r="S103" s="86">
        <f t="shared" si="37"/>
        <v>0</v>
      </c>
      <c r="T103" s="85"/>
      <c r="U103" s="86">
        <f t="shared" si="21"/>
        <v>0</v>
      </c>
      <c r="V103" s="87"/>
      <c r="W103" s="86">
        <f t="shared" si="22"/>
        <v>0</v>
      </c>
      <c r="X103" s="85"/>
      <c r="Y103" s="86">
        <f t="shared" si="23"/>
        <v>0</v>
      </c>
      <c r="Z103" s="85"/>
      <c r="AA103" s="85">
        <f t="shared" si="24"/>
        <v>0</v>
      </c>
      <c r="AB103" s="88"/>
      <c r="AC103" s="85">
        <f t="shared" si="25"/>
        <v>0</v>
      </c>
      <c r="AD103" s="89"/>
      <c r="AE103" s="85">
        <f t="shared" si="26"/>
        <v>0</v>
      </c>
      <c r="AF103" s="85"/>
      <c r="AG103" s="89">
        <f t="shared" si="27"/>
        <v>0</v>
      </c>
      <c r="AH103" s="89"/>
      <c r="AI103" s="85">
        <f t="shared" si="28"/>
        <v>0</v>
      </c>
      <c r="AJ103" s="89"/>
      <c r="AK103" s="85">
        <f t="shared" si="29"/>
        <v>0</v>
      </c>
      <c r="AL103" s="113">
        <f t="shared" si="19"/>
        <v>190</v>
      </c>
      <c r="AM103" s="23">
        <f t="shared" si="20"/>
        <v>5912.8</v>
      </c>
    </row>
    <row r="104" spans="1:72" x14ac:dyDescent="0.5">
      <c r="A104" s="16">
        <v>100</v>
      </c>
      <c r="B104" s="83" t="s">
        <v>170</v>
      </c>
      <c r="C104" s="84" t="s">
        <v>1133</v>
      </c>
      <c r="D104" s="85"/>
      <c r="E104" s="85">
        <f t="shared" si="30"/>
        <v>0</v>
      </c>
      <c r="F104" s="86"/>
      <c r="G104" s="85">
        <f t="shared" si="31"/>
        <v>0</v>
      </c>
      <c r="H104" s="86"/>
      <c r="I104" s="85">
        <f t="shared" si="32"/>
        <v>0</v>
      </c>
      <c r="J104" s="86"/>
      <c r="K104" s="86">
        <f t="shared" si="33"/>
        <v>0</v>
      </c>
      <c r="L104" s="86"/>
      <c r="M104" s="86">
        <f t="shared" si="34"/>
        <v>0</v>
      </c>
      <c r="N104" s="85">
        <v>297</v>
      </c>
      <c r="O104" s="86">
        <f t="shared" si="35"/>
        <v>12474</v>
      </c>
      <c r="P104" s="85">
        <v>330</v>
      </c>
      <c r="Q104" s="86">
        <f t="shared" si="36"/>
        <v>12771.000000000002</v>
      </c>
      <c r="R104" s="85"/>
      <c r="S104" s="86">
        <f t="shared" si="37"/>
        <v>0</v>
      </c>
      <c r="T104" s="85"/>
      <c r="U104" s="86">
        <f t="shared" si="21"/>
        <v>0</v>
      </c>
      <c r="V104" s="87"/>
      <c r="W104" s="86">
        <f t="shared" si="22"/>
        <v>0</v>
      </c>
      <c r="X104" s="85"/>
      <c r="Y104" s="86">
        <f t="shared" si="23"/>
        <v>0</v>
      </c>
      <c r="Z104" s="85"/>
      <c r="AA104" s="85">
        <f t="shared" si="24"/>
        <v>0</v>
      </c>
      <c r="AB104" s="88"/>
      <c r="AC104" s="85">
        <f t="shared" si="25"/>
        <v>0</v>
      </c>
      <c r="AD104" s="89"/>
      <c r="AE104" s="85">
        <f t="shared" si="26"/>
        <v>0</v>
      </c>
      <c r="AF104" s="85"/>
      <c r="AG104" s="89">
        <f t="shared" si="27"/>
        <v>0</v>
      </c>
      <c r="AH104" s="89"/>
      <c r="AI104" s="85">
        <f t="shared" si="28"/>
        <v>0</v>
      </c>
      <c r="AJ104" s="89">
        <v>332</v>
      </c>
      <c r="AK104" s="85">
        <f t="shared" si="29"/>
        <v>12174.44</v>
      </c>
      <c r="AL104" s="113">
        <f t="shared" si="19"/>
        <v>959</v>
      </c>
      <c r="AM104" s="23">
        <f t="shared" si="20"/>
        <v>37419.440000000002</v>
      </c>
    </row>
    <row r="105" spans="1:72" s="114" customFormat="1" x14ac:dyDescent="0.5">
      <c r="A105" s="16">
        <v>101</v>
      </c>
      <c r="B105" s="83" t="s">
        <v>830</v>
      </c>
      <c r="C105" s="84" t="s">
        <v>1134</v>
      </c>
      <c r="D105" s="85"/>
      <c r="E105" s="85">
        <f t="shared" si="30"/>
        <v>0</v>
      </c>
      <c r="F105" s="86"/>
      <c r="G105" s="85">
        <f t="shared" si="31"/>
        <v>0</v>
      </c>
      <c r="H105" s="86"/>
      <c r="I105" s="85">
        <f t="shared" si="32"/>
        <v>0</v>
      </c>
      <c r="J105" s="86"/>
      <c r="K105" s="86">
        <f t="shared" si="33"/>
        <v>0</v>
      </c>
      <c r="L105" s="86"/>
      <c r="M105" s="86">
        <f t="shared" si="34"/>
        <v>0</v>
      </c>
      <c r="N105" s="85"/>
      <c r="O105" s="86">
        <f t="shared" si="35"/>
        <v>0</v>
      </c>
      <c r="P105" s="85">
        <v>109</v>
      </c>
      <c r="Q105" s="86">
        <f t="shared" si="36"/>
        <v>4218.3</v>
      </c>
      <c r="R105" s="85"/>
      <c r="S105" s="86">
        <f t="shared" si="37"/>
        <v>0</v>
      </c>
      <c r="T105" s="85"/>
      <c r="U105" s="86">
        <f t="shared" si="21"/>
        <v>0</v>
      </c>
      <c r="V105" s="87"/>
      <c r="W105" s="86">
        <f t="shared" si="22"/>
        <v>0</v>
      </c>
      <c r="X105" s="85"/>
      <c r="Y105" s="86">
        <f t="shared" si="23"/>
        <v>0</v>
      </c>
      <c r="Z105" s="85"/>
      <c r="AA105" s="85">
        <f t="shared" si="24"/>
        <v>0</v>
      </c>
      <c r="AB105" s="88"/>
      <c r="AC105" s="85">
        <f t="shared" si="25"/>
        <v>0</v>
      </c>
      <c r="AD105" s="89"/>
      <c r="AE105" s="85">
        <f t="shared" si="26"/>
        <v>0</v>
      </c>
      <c r="AF105" s="85"/>
      <c r="AG105" s="89">
        <f t="shared" si="27"/>
        <v>0</v>
      </c>
      <c r="AH105" s="89"/>
      <c r="AI105" s="85">
        <f t="shared" si="28"/>
        <v>0</v>
      </c>
      <c r="AJ105" s="89"/>
      <c r="AK105" s="85">
        <f t="shared" si="29"/>
        <v>0</v>
      </c>
      <c r="AL105" s="113">
        <f t="shared" si="19"/>
        <v>109</v>
      </c>
      <c r="AM105" s="23">
        <f t="shared" si="20"/>
        <v>4218.3</v>
      </c>
    </row>
    <row r="106" spans="1:72" s="114" customFormat="1" x14ac:dyDescent="0.5">
      <c r="A106" s="16">
        <v>102</v>
      </c>
      <c r="B106" s="83" t="s">
        <v>1096</v>
      </c>
      <c r="C106" s="84" t="s">
        <v>1135</v>
      </c>
      <c r="D106" s="85"/>
      <c r="E106" s="85">
        <f t="shared" si="30"/>
        <v>0</v>
      </c>
      <c r="F106" s="86"/>
      <c r="G106" s="85">
        <f t="shared" si="31"/>
        <v>0</v>
      </c>
      <c r="H106" s="86"/>
      <c r="I106" s="85">
        <f t="shared" si="32"/>
        <v>0</v>
      </c>
      <c r="J106" s="86"/>
      <c r="K106" s="86">
        <f t="shared" si="33"/>
        <v>0</v>
      </c>
      <c r="L106" s="86"/>
      <c r="M106" s="86">
        <f t="shared" si="34"/>
        <v>0</v>
      </c>
      <c r="N106" s="85"/>
      <c r="O106" s="86">
        <f t="shared" si="35"/>
        <v>0</v>
      </c>
      <c r="P106" s="85"/>
      <c r="Q106" s="86">
        <f t="shared" si="36"/>
        <v>0</v>
      </c>
      <c r="R106" s="85"/>
      <c r="S106" s="86">
        <f t="shared" si="37"/>
        <v>0</v>
      </c>
      <c r="T106" s="85">
        <v>1370</v>
      </c>
      <c r="U106" s="86">
        <f t="shared" si="21"/>
        <v>44935.999999999993</v>
      </c>
      <c r="V106" s="87">
        <v>1054</v>
      </c>
      <c r="W106" s="86">
        <f t="shared" si="22"/>
        <v>37048.1</v>
      </c>
      <c r="X106" s="85"/>
      <c r="Y106" s="86">
        <f t="shared" si="23"/>
        <v>0</v>
      </c>
      <c r="Z106" s="85"/>
      <c r="AA106" s="85">
        <f t="shared" si="24"/>
        <v>0</v>
      </c>
      <c r="AB106" s="88">
        <v>474</v>
      </c>
      <c r="AC106" s="85">
        <f t="shared" si="25"/>
        <v>16608.96</v>
      </c>
      <c r="AD106" s="89">
        <v>1363</v>
      </c>
      <c r="AE106" s="85">
        <f t="shared" si="26"/>
        <v>46587.34</v>
      </c>
      <c r="AF106" s="85">
        <v>872</v>
      </c>
      <c r="AG106" s="89">
        <f t="shared" si="27"/>
        <v>29037.599999999999</v>
      </c>
      <c r="AH106" s="89"/>
      <c r="AI106" s="85">
        <f t="shared" si="28"/>
        <v>0</v>
      </c>
      <c r="AJ106" s="89"/>
      <c r="AK106" s="85">
        <f t="shared" si="29"/>
        <v>0</v>
      </c>
      <c r="AL106" s="113">
        <f t="shared" si="19"/>
        <v>5133</v>
      </c>
      <c r="AM106" s="23">
        <f t="shared" si="20"/>
        <v>174218</v>
      </c>
    </row>
    <row r="107" spans="1:72" s="114" customFormat="1" x14ac:dyDescent="0.5">
      <c r="A107" s="16">
        <v>103</v>
      </c>
      <c r="B107" s="83" t="s">
        <v>923</v>
      </c>
      <c r="C107" s="84" t="s">
        <v>1136</v>
      </c>
      <c r="D107" s="85"/>
      <c r="E107" s="85">
        <f t="shared" si="30"/>
        <v>0</v>
      </c>
      <c r="F107" s="86"/>
      <c r="G107" s="85">
        <f t="shared" si="31"/>
        <v>0</v>
      </c>
      <c r="H107" s="86"/>
      <c r="I107" s="85">
        <f t="shared" si="32"/>
        <v>0</v>
      </c>
      <c r="J107" s="86"/>
      <c r="K107" s="86">
        <f t="shared" si="33"/>
        <v>0</v>
      </c>
      <c r="L107" s="86"/>
      <c r="M107" s="86">
        <f t="shared" si="34"/>
        <v>0</v>
      </c>
      <c r="N107" s="85">
        <v>1200</v>
      </c>
      <c r="O107" s="86">
        <f t="shared" si="35"/>
        <v>50400</v>
      </c>
      <c r="P107" s="85"/>
      <c r="Q107" s="86">
        <f t="shared" si="36"/>
        <v>0</v>
      </c>
      <c r="R107" s="85"/>
      <c r="S107" s="86">
        <f t="shared" si="37"/>
        <v>0</v>
      </c>
      <c r="T107" s="85"/>
      <c r="U107" s="86">
        <f t="shared" si="21"/>
        <v>0</v>
      </c>
      <c r="V107" s="87"/>
      <c r="W107" s="86">
        <f t="shared" si="22"/>
        <v>0</v>
      </c>
      <c r="X107" s="85"/>
      <c r="Y107" s="86">
        <f t="shared" si="23"/>
        <v>0</v>
      </c>
      <c r="Z107" s="85"/>
      <c r="AA107" s="85">
        <f t="shared" si="24"/>
        <v>0</v>
      </c>
      <c r="AB107" s="88"/>
      <c r="AC107" s="85">
        <f t="shared" si="25"/>
        <v>0</v>
      </c>
      <c r="AD107" s="89"/>
      <c r="AE107" s="85">
        <f t="shared" si="26"/>
        <v>0</v>
      </c>
      <c r="AF107" s="85"/>
      <c r="AG107" s="89">
        <f t="shared" si="27"/>
        <v>0</v>
      </c>
      <c r="AH107" s="89"/>
      <c r="AI107" s="85">
        <f t="shared" si="28"/>
        <v>0</v>
      </c>
      <c r="AJ107" s="89"/>
      <c r="AK107" s="85">
        <f t="shared" si="29"/>
        <v>0</v>
      </c>
      <c r="AL107" s="113">
        <f t="shared" si="19"/>
        <v>1200</v>
      </c>
      <c r="AM107" s="23">
        <f t="shared" si="20"/>
        <v>50400</v>
      </c>
    </row>
    <row r="108" spans="1:72" s="114" customFormat="1" x14ac:dyDescent="0.5">
      <c r="A108" s="16">
        <v>104</v>
      </c>
      <c r="B108" s="83" t="s">
        <v>1137</v>
      </c>
      <c r="C108" s="84" t="s">
        <v>1138</v>
      </c>
      <c r="D108" s="85">
        <v>272</v>
      </c>
      <c r="E108" s="85">
        <f t="shared" si="30"/>
        <v>8464.64</v>
      </c>
      <c r="F108" s="86"/>
      <c r="G108" s="85">
        <f t="shared" si="31"/>
        <v>0</v>
      </c>
      <c r="H108" s="86">
        <v>341</v>
      </c>
      <c r="I108" s="85">
        <f t="shared" si="32"/>
        <v>11256.41</v>
      </c>
      <c r="J108" s="86">
        <v>253</v>
      </c>
      <c r="K108" s="86">
        <f t="shared" si="33"/>
        <v>8885.3599999999988</v>
      </c>
      <c r="L108" s="86">
        <v>278</v>
      </c>
      <c r="M108" s="86">
        <f t="shared" si="34"/>
        <v>10633.5</v>
      </c>
      <c r="N108" s="85">
        <v>286</v>
      </c>
      <c r="O108" s="86">
        <f t="shared" si="35"/>
        <v>12012</v>
      </c>
      <c r="P108" s="85"/>
      <c r="Q108" s="86">
        <f t="shared" si="36"/>
        <v>0</v>
      </c>
      <c r="R108" s="85">
        <v>107</v>
      </c>
      <c r="S108" s="86">
        <f t="shared" si="37"/>
        <v>3605.9</v>
      </c>
      <c r="T108" s="85">
        <v>274</v>
      </c>
      <c r="U108" s="86">
        <f t="shared" si="21"/>
        <v>8987.1999999999989</v>
      </c>
      <c r="V108" s="87">
        <v>142</v>
      </c>
      <c r="W108" s="86">
        <f t="shared" si="22"/>
        <v>4991.3</v>
      </c>
      <c r="X108" s="85"/>
      <c r="Y108" s="86">
        <f t="shared" si="23"/>
        <v>0</v>
      </c>
      <c r="Z108" s="85">
        <v>314</v>
      </c>
      <c r="AA108" s="85">
        <f t="shared" si="24"/>
        <v>11319.699999999999</v>
      </c>
      <c r="AB108" s="88">
        <v>358</v>
      </c>
      <c r="AC108" s="85">
        <f t="shared" si="25"/>
        <v>12544.32</v>
      </c>
      <c r="AD108" s="89"/>
      <c r="AE108" s="85">
        <f t="shared" si="26"/>
        <v>0</v>
      </c>
      <c r="AF108" s="85"/>
      <c r="AG108" s="89">
        <f t="shared" si="27"/>
        <v>0</v>
      </c>
      <c r="AH108" s="89"/>
      <c r="AI108" s="85">
        <f t="shared" si="28"/>
        <v>0</v>
      </c>
      <c r="AJ108" s="89"/>
      <c r="AK108" s="85">
        <f t="shared" si="29"/>
        <v>0</v>
      </c>
      <c r="AL108" s="113">
        <f t="shared" si="19"/>
        <v>2625</v>
      </c>
      <c r="AM108" s="23">
        <f t="shared" si="20"/>
        <v>92700.329999999987</v>
      </c>
    </row>
    <row r="109" spans="1:72" s="114" customFormat="1" x14ac:dyDescent="0.5">
      <c r="A109" s="16">
        <v>105</v>
      </c>
      <c r="B109" s="83" t="s">
        <v>1139</v>
      </c>
      <c r="C109" s="84" t="s">
        <v>1140</v>
      </c>
      <c r="D109" s="85"/>
      <c r="E109" s="85">
        <f t="shared" si="30"/>
        <v>0</v>
      </c>
      <c r="F109" s="86"/>
      <c r="G109" s="85">
        <f t="shared" si="31"/>
        <v>0</v>
      </c>
      <c r="H109" s="86"/>
      <c r="I109" s="85">
        <f t="shared" si="32"/>
        <v>0</v>
      </c>
      <c r="J109" s="86"/>
      <c r="K109" s="86">
        <f t="shared" si="33"/>
        <v>0</v>
      </c>
      <c r="L109" s="86">
        <v>986</v>
      </c>
      <c r="M109" s="86">
        <f t="shared" si="34"/>
        <v>37714.5</v>
      </c>
      <c r="N109" s="85"/>
      <c r="O109" s="86">
        <f t="shared" si="35"/>
        <v>0</v>
      </c>
      <c r="P109" s="85"/>
      <c r="Q109" s="86">
        <f t="shared" si="36"/>
        <v>0</v>
      </c>
      <c r="R109" s="85">
        <v>325</v>
      </c>
      <c r="S109" s="86">
        <f t="shared" si="37"/>
        <v>10952.500000000002</v>
      </c>
      <c r="T109" s="85">
        <v>228</v>
      </c>
      <c r="U109" s="86">
        <f t="shared" si="21"/>
        <v>7478.4</v>
      </c>
      <c r="V109" s="87">
        <v>351</v>
      </c>
      <c r="W109" s="86">
        <f t="shared" si="22"/>
        <v>12337.65</v>
      </c>
      <c r="X109" s="85">
        <v>590</v>
      </c>
      <c r="Y109" s="86">
        <f t="shared" si="23"/>
        <v>20449.399999999998</v>
      </c>
      <c r="Z109" s="85">
        <v>305</v>
      </c>
      <c r="AA109" s="85">
        <f t="shared" si="24"/>
        <v>10995.25</v>
      </c>
      <c r="AB109" s="88">
        <v>325</v>
      </c>
      <c r="AC109" s="85">
        <f t="shared" si="25"/>
        <v>11388</v>
      </c>
      <c r="AD109" s="89"/>
      <c r="AE109" s="85">
        <f t="shared" si="26"/>
        <v>0</v>
      </c>
      <c r="AF109" s="85"/>
      <c r="AG109" s="89">
        <f t="shared" si="27"/>
        <v>0</v>
      </c>
      <c r="AH109" s="89"/>
      <c r="AI109" s="85">
        <f t="shared" si="28"/>
        <v>0</v>
      </c>
      <c r="AJ109" s="89"/>
      <c r="AK109" s="85">
        <f t="shared" si="29"/>
        <v>0</v>
      </c>
      <c r="AL109" s="113">
        <f t="shared" si="19"/>
        <v>3110</v>
      </c>
      <c r="AM109" s="23">
        <f t="shared" si="20"/>
        <v>111315.7</v>
      </c>
    </row>
    <row r="110" spans="1:72" s="114" customFormat="1" x14ac:dyDescent="0.5">
      <c r="A110" s="16">
        <v>106</v>
      </c>
      <c r="B110" s="83" t="s">
        <v>471</v>
      </c>
      <c r="C110" s="84" t="s">
        <v>1141</v>
      </c>
      <c r="D110" s="85"/>
      <c r="E110" s="85">
        <f t="shared" si="30"/>
        <v>0</v>
      </c>
      <c r="F110" s="86">
        <v>456</v>
      </c>
      <c r="G110" s="85">
        <f t="shared" si="31"/>
        <v>14778.96</v>
      </c>
      <c r="H110" s="86"/>
      <c r="I110" s="85">
        <f t="shared" si="32"/>
        <v>0</v>
      </c>
      <c r="J110" s="86"/>
      <c r="K110" s="86">
        <f t="shared" si="33"/>
        <v>0</v>
      </c>
      <c r="L110" s="86"/>
      <c r="M110" s="86">
        <f t="shared" si="34"/>
        <v>0</v>
      </c>
      <c r="N110" s="85"/>
      <c r="O110" s="86">
        <f t="shared" si="35"/>
        <v>0</v>
      </c>
      <c r="P110" s="85"/>
      <c r="Q110" s="86">
        <f t="shared" si="36"/>
        <v>0</v>
      </c>
      <c r="R110" s="85"/>
      <c r="S110" s="86">
        <f t="shared" si="37"/>
        <v>0</v>
      </c>
      <c r="T110" s="85"/>
      <c r="U110" s="86">
        <f t="shared" si="21"/>
        <v>0</v>
      </c>
      <c r="V110" s="87"/>
      <c r="W110" s="86">
        <f t="shared" si="22"/>
        <v>0</v>
      </c>
      <c r="X110" s="85"/>
      <c r="Y110" s="86">
        <f t="shared" si="23"/>
        <v>0</v>
      </c>
      <c r="Z110" s="85"/>
      <c r="AA110" s="85">
        <f t="shared" si="24"/>
        <v>0</v>
      </c>
      <c r="AB110" s="88"/>
      <c r="AC110" s="85">
        <f t="shared" si="25"/>
        <v>0</v>
      </c>
      <c r="AD110" s="89"/>
      <c r="AE110" s="85">
        <f t="shared" si="26"/>
        <v>0</v>
      </c>
      <c r="AF110" s="85"/>
      <c r="AG110" s="89">
        <f t="shared" si="27"/>
        <v>0</v>
      </c>
      <c r="AH110" s="89"/>
      <c r="AI110" s="85">
        <f t="shared" si="28"/>
        <v>0</v>
      </c>
      <c r="AJ110" s="89"/>
      <c r="AK110" s="85">
        <f t="shared" si="29"/>
        <v>0</v>
      </c>
      <c r="AL110" s="113">
        <f t="shared" si="19"/>
        <v>456</v>
      </c>
      <c r="AM110" s="23">
        <f t="shared" si="20"/>
        <v>14778.96</v>
      </c>
    </row>
    <row r="111" spans="1:72" x14ac:dyDescent="0.5">
      <c r="A111" s="16">
        <v>107</v>
      </c>
      <c r="B111" s="83" t="s">
        <v>1142</v>
      </c>
      <c r="C111" s="84" t="s">
        <v>1143</v>
      </c>
      <c r="D111" s="85"/>
      <c r="E111" s="85">
        <f t="shared" si="30"/>
        <v>0</v>
      </c>
      <c r="F111" s="86"/>
      <c r="G111" s="85">
        <f t="shared" si="31"/>
        <v>0</v>
      </c>
      <c r="H111" s="86"/>
      <c r="I111" s="85">
        <f t="shared" si="32"/>
        <v>0</v>
      </c>
      <c r="J111" s="86"/>
      <c r="K111" s="86">
        <f t="shared" si="33"/>
        <v>0</v>
      </c>
      <c r="L111" s="86"/>
      <c r="M111" s="86">
        <f t="shared" si="34"/>
        <v>0</v>
      </c>
      <c r="N111" s="85"/>
      <c r="O111" s="86">
        <f t="shared" si="35"/>
        <v>0</v>
      </c>
      <c r="P111" s="85"/>
      <c r="Q111" s="86">
        <f t="shared" si="36"/>
        <v>0</v>
      </c>
      <c r="R111" s="85"/>
      <c r="S111" s="86">
        <f t="shared" si="37"/>
        <v>0</v>
      </c>
      <c r="T111" s="85">
        <v>236</v>
      </c>
      <c r="U111" s="86">
        <f t="shared" si="21"/>
        <v>7740.7999999999993</v>
      </c>
      <c r="V111" s="87">
        <v>247</v>
      </c>
      <c r="W111" s="86">
        <f t="shared" si="22"/>
        <v>8682.0499999999993</v>
      </c>
      <c r="X111" s="85">
        <v>209</v>
      </c>
      <c r="Y111" s="86">
        <f t="shared" si="23"/>
        <v>7243.94</v>
      </c>
      <c r="Z111" s="85">
        <v>202</v>
      </c>
      <c r="AA111" s="85">
        <f t="shared" si="24"/>
        <v>7282.0999999999995</v>
      </c>
      <c r="AB111" s="88">
        <v>260</v>
      </c>
      <c r="AC111" s="85">
        <f t="shared" si="25"/>
        <v>9110.4</v>
      </c>
      <c r="AD111" s="89">
        <v>274</v>
      </c>
      <c r="AE111" s="85">
        <f t="shared" si="26"/>
        <v>9365.32</v>
      </c>
      <c r="AF111" s="85"/>
      <c r="AG111" s="89">
        <f t="shared" si="27"/>
        <v>0</v>
      </c>
      <c r="AH111" s="89">
        <v>255</v>
      </c>
      <c r="AI111" s="85">
        <f t="shared" si="28"/>
        <v>9167.25</v>
      </c>
      <c r="AJ111" s="89">
        <v>277</v>
      </c>
      <c r="AK111" s="85">
        <f t="shared" si="29"/>
        <v>10157.59</v>
      </c>
      <c r="AL111" s="113">
        <f t="shared" si="19"/>
        <v>1960</v>
      </c>
      <c r="AM111" s="23">
        <f t="shared" si="20"/>
        <v>68749.45</v>
      </c>
      <c r="BK111" s="31">
        <v>4</v>
      </c>
      <c r="BT111" s="31">
        <v>3</v>
      </c>
    </row>
    <row r="112" spans="1:72" s="114" customFormat="1" x14ac:dyDescent="0.5">
      <c r="A112" s="16">
        <v>108</v>
      </c>
      <c r="B112" s="83" t="s">
        <v>1144</v>
      </c>
      <c r="C112" s="84" t="s">
        <v>1145</v>
      </c>
      <c r="D112" s="85"/>
      <c r="E112" s="85">
        <f t="shared" si="30"/>
        <v>0</v>
      </c>
      <c r="F112" s="86"/>
      <c r="G112" s="85">
        <f t="shared" si="31"/>
        <v>0</v>
      </c>
      <c r="H112" s="86"/>
      <c r="I112" s="85">
        <f t="shared" si="32"/>
        <v>0</v>
      </c>
      <c r="J112" s="86"/>
      <c r="K112" s="86">
        <f t="shared" si="33"/>
        <v>0</v>
      </c>
      <c r="L112" s="86"/>
      <c r="M112" s="86">
        <f t="shared" si="34"/>
        <v>0</v>
      </c>
      <c r="N112" s="85"/>
      <c r="O112" s="86">
        <f t="shared" si="35"/>
        <v>0</v>
      </c>
      <c r="P112" s="85">
        <v>240</v>
      </c>
      <c r="Q112" s="86">
        <f t="shared" si="36"/>
        <v>9288</v>
      </c>
      <c r="R112" s="85"/>
      <c r="S112" s="86">
        <f t="shared" si="37"/>
        <v>0</v>
      </c>
      <c r="T112" s="85"/>
      <c r="U112" s="86">
        <f t="shared" si="21"/>
        <v>0</v>
      </c>
      <c r="V112" s="87"/>
      <c r="W112" s="86">
        <f t="shared" si="22"/>
        <v>0</v>
      </c>
      <c r="X112" s="85"/>
      <c r="Y112" s="86">
        <f t="shared" si="23"/>
        <v>0</v>
      </c>
      <c r="Z112" s="85"/>
      <c r="AA112" s="85">
        <f t="shared" si="24"/>
        <v>0</v>
      </c>
      <c r="AB112" s="88"/>
      <c r="AC112" s="85">
        <f t="shared" si="25"/>
        <v>0</v>
      </c>
      <c r="AD112" s="89"/>
      <c r="AE112" s="85">
        <f t="shared" si="26"/>
        <v>0</v>
      </c>
      <c r="AF112" s="85"/>
      <c r="AG112" s="89">
        <f t="shared" si="27"/>
        <v>0</v>
      </c>
      <c r="AH112" s="89"/>
      <c r="AI112" s="85">
        <f t="shared" si="28"/>
        <v>0</v>
      </c>
      <c r="AJ112" s="89"/>
      <c r="AK112" s="85">
        <f t="shared" si="29"/>
        <v>0</v>
      </c>
      <c r="AL112" s="113">
        <f t="shared" si="19"/>
        <v>240</v>
      </c>
      <c r="AM112" s="23">
        <f t="shared" si="20"/>
        <v>9288</v>
      </c>
    </row>
    <row r="113" spans="1:39" s="114" customFormat="1" x14ac:dyDescent="0.5">
      <c r="A113" s="16">
        <v>109</v>
      </c>
      <c r="B113" s="83" t="s">
        <v>1146</v>
      </c>
      <c r="C113" s="84" t="s">
        <v>1147</v>
      </c>
      <c r="D113" s="85"/>
      <c r="E113" s="85">
        <f t="shared" si="30"/>
        <v>0</v>
      </c>
      <c r="F113" s="86"/>
      <c r="G113" s="85">
        <f t="shared" si="31"/>
        <v>0</v>
      </c>
      <c r="H113" s="86"/>
      <c r="I113" s="85">
        <f t="shared" si="32"/>
        <v>0</v>
      </c>
      <c r="J113" s="86"/>
      <c r="K113" s="86">
        <f t="shared" si="33"/>
        <v>0</v>
      </c>
      <c r="L113" s="86">
        <v>282</v>
      </c>
      <c r="M113" s="86">
        <f t="shared" si="34"/>
        <v>10786.5</v>
      </c>
      <c r="N113" s="85">
        <v>453</v>
      </c>
      <c r="O113" s="86">
        <f t="shared" si="35"/>
        <v>19026</v>
      </c>
      <c r="P113" s="85">
        <v>449</v>
      </c>
      <c r="Q113" s="86">
        <f t="shared" si="36"/>
        <v>17376.300000000003</v>
      </c>
      <c r="R113" s="85">
        <v>387</v>
      </c>
      <c r="S113" s="86">
        <f t="shared" si="37"/>
        <v>13041.900000000001</v>
      </c>
      <c r="T113" s="85">
        <v>541</v>
      </c>
      <c r="U113" s="86">
        <f t="shared" si="21"/>
        <v>17744.8</v>
      </c>
      <c r="V113" s="87">
        <v>578</v>
      </c>
      <c r="W113" s="86">
        <f t="shared" si="22"/>
        <v>20316.7</v>
      </c>
      <c r="X113" s="85">
        <v>501</v>
      </c>
      <c r="Y113" s="86">
        <f t="shared" si="23"/>
        <v>17364.66</v>
      </c>
      <c r="Z113" s="85"/>
      <c r="AA113" s="85">
        <f t="shared" si="24"/>
        <v>0</v>
      </c>
      <c r="AB113" s="88"/>
      <c r="AC113" s="85">
        <f t="shared" si="25"/>
        <v>0</v>
      </c>
      <c r="AD113" s="89"/>
      <c r="AE113" s="85">
        <f t="shared" si="26"/>
        <v>0</v>
      </c>
      <c r="AF113" s="85"/>
      <c r="AG113" s="89">
        <f t="shared" si="27"/>
        <v>0</v>
      </c>
      <c r="AH113" s="89"/>
      <c r="AI113" s="85">
        <f t="shared" si="28"/>
        <v>0</v>
      </c>
      <c r="AJ113" s="89"/>
      <c r="AK113" s="85">
        <f t="shared" si="29"/>
        <v>0</v>
      </c>
      <c r="AL113" s="113">
        <f t="shared" si="19"/>
        <v>3191</v>
      </c>
      <c r="AM113" s="23">
        <f t="shared" si="20"/>
        <v>115656.86</v>
      </c>
    </row>
    <row r="114" spans="1:39" x14ac:dyDescent="0.5">
      <c r="A114" s="16">
        <v>110</v>
      </c>
      <c r="B114" s="83" t="s">
        <v>1148</v>
      </c>
      <c r="C114" s="84" t="s">
        <v>1149</v>
      </c>
      <c r="D114" s="85">
        <v>159</v>
      </c>
      <c r="E114" s="85">
        <f t="shared" si="30"/>
        <v>4948.08</v>
      </c>
      <c r="F114" s="86"/>
      <c r="G114" s="85">
        <f t="shared" si="31"/>
        <v>0</v>
      </c>
      <c r="H114" s="86"/>
      <c r="I114" s="85">
        <f t="shared" si="32"/>
        <v>0</v>
      </c>
      <c r="J114" s="86"/>
      <c r="K114" s="86">
        <f t="shared" si="33"/>
        <v>0</v>
      </c>
      <c r="L114" s="86"/>
      <c r="M114" s="86">
        <f t="shared" si="34"/>
        <v>0</v>
      </c>
      <c r="N114" s="85">
        <v>165</v>
      </c>
      <c r="O114" s="86">
        <f t="shared" si="35"/>
        <v>6930</v>
      </c>
      <c r="P114" s="85">
        <v>166</v>
      </c>
      <c r="Q114" s="86">
        <f t="shared" si="36"/>
        <v>6424.2000000000007</v>
      </c>
      <c r="R114" s="85">
        <v>232</v>
      </c>
      <c r="S114" s="86">
        <f t="shared" si="37"/>
        <v>7818.4000000000005</v>
      </c>
      <c r="T114" s="85"/>
      <c r="U114" s="86">
        <f t="shared" si="21"/>
        <v>0</v>
      </c>
      <c r="V114" s="87">
        <v>308</v>
      </c>
      <c r="W114" s="86">
        <f t="shared" si="22"/>
        <v>10826.199999999999</v>
      </c>
      <c r="X114" s="85"/>
      <c r="Y114" s="86">
        <f t="shared" si="23"/>
        <v>0</v>
      </c>
      <c r="Z114" s="85"/>
      <c r="AA114" s="85">
        <f t="shared" si="24"/>
        <v>0</v>
      </c>
      <c r="AB114" s="88"/>
      <c r="AC114" s="85">
        <f t="shared" si="25"/>
        <v>0</v>
      </c>
      <c r="AD114" s="89"/>
      <c r="AE114" s="85">
        <f t="shared" si="26"/>
        <v>0</v>
      </c>
      <c r="AF114" s="85"/>
      <c r="AG114" s="89">
        <f t="shared" si="27"/>
        <v>0</v>
      </c>
      <c r="AH114" s="89"/>
      <c r="AI114" s="85">
        <f t="shared" si="28"/>
        <v>0</v>
      </c>
      <c r="AJ114" s="89">
        <v>200</v>
      </c>
      <c r="AK114" s="85">
        <f t="shared" si="29"/>
        <v>7334</v>
      </c>
      <c r="AL114" s="113">
        <f t="shared" si="19"/>
        <v>1230</v>
      </c>
      <c r="AM114" s="23">
        <f t="shared" si="20"/>
        <v>44280.88</v>
      </c>
    </row>
    <row r="115" spans="1:39" s="114" customFormat="1" x14ac:dyDescent="0.5">
      <c r="A115" s="16">
        <v>111</v>
      </c>
      <c r="B115" s="83" t="s">
        <v>1150</v>
      </c>
      <c r="C115" s="84" t="s">
        <v>1151</v>
      </c>
      <c r="D115" s="85">
        <v>1047</v>
      </c>
      <c r="E115" s="85">
        <f t="shared" si="30"/>
        <v>32582.639999999999</v>
      </c>
      <c r="F115" s="86">
        <v>765</v>
      </c>
      <c r="G115" s="85">
        <f t="shared" si="31"/>
        <v>24793.649999999998</v>
      </c>
      <c r="H115" s="86">
        <v>513</v>
      </c>
      <c r="I115" s="85">
        <f t="shared" si="32"/>
        <v>16934.129999999997</v>
      </c>
      <c r="J115" s="86">
        <v>314</v>
      </c>
      <c r="K115" s="86">
        <f t="shared" si="33"/>
        <v>11027.679999999998</v>
      </c>
      <c r="L115" s="86">
        <v>577</v>
      </c>
      <c r="M115" s="86">
        <f t="shared" si="34"/>
        <v>22070.25</v>
      </c>
      <c r="N115" s="85">
        <v>752</v>
      </c>
      <c r="O115" s="86">
        <f t="shared" si="35"/>
        <v>31584</v>
      </c>
      <c r="P115" s="85">
        <v>259</v>
      </c>
      <c r="Q115" s="86">
        <f t="shared" si="36"/>
        <v>10023.300000000001</v>
      </c>
      <c r="R115" s="85"/>
      <c r="S115" s="86">
        <f t="shared" si="37"/>
        <v>0</v>
      </c>
      <c r="T115" s="85">
        <v>424</v>
      </c>
      <c r="U115" s="86">
        <f t="shared" si="21"/>
        <v>13907.199999999999</v>
      </c>
      <c r="V115" s="87"/>
      <c r="W115" s="86">
        <f t="shared" si="22"/>
        <v>0</v>
      </c>
      <c r="X115" s="85"/>
      <c r="Y115" s="86">
        <f t="shared" si="23"/>
        <v>0</v>
      </c>
      <c r="Z115" s="85"/>
      <c r="AA115" s="85">
        <f t="shared" si="24"/>
        <v>0</v>
      </c>
      <c r="AB115" s="88"/>
      <c r="AC115" s="85">
        <f t="shared" si="25"/>
        <v>0</v>
      </c>
      <c r="AD115" s="89"/>
      <c r="AE115" s="85">
        <f t="shared" si="26"/>
        <v>0</v>
      </c>
      <c r="AF115" s="85"/>
      <c r="AG115" s="89">
        <f t="shared" si="27"/>
        <v>0</v>
      </c>
      <c r="AH115" s="89"/>
      <c r="AI115" s="85">
        <f t="shared" si="28"/>
        <v>0</v>
      </c>
      <c r="AJ115" s="89"/>
      <c r="AK115" s="85">
        <f t="shared" si="29"/>
        <v>0</v>
      </c>
      <c r="AL115" s="113">
        <f t="shared" si="19"/>
        <v>4651</v>
      </c>
      <c r="AM115" s="23">
        <f t="shared" si="20"/>
        <v>162922.84999999998</v>
      </c>
    </row>
    <row r="116" spans="1:39" x14ac:dyDescent="0.5">
      <c r="A116" s="16">
        <v>112</v>
      </c>
      <c r="B116" s="83" t="s">
        <v>1152</v>
      </c>
      <c r="C116" s="84" t="s">
        <v>1153</v>
      </c>
      <c r="D116" s="85"/>
      <c r="E116" s="85">
        <f t="shared" si="30"/>
        <v>0</v>
      </c>
      <c r="F116" s="86"/>
      <c r="G116" s="85">
        <f t="shared" si="31"/>
        <v>0</v>
      </c>
      <c r="H116" s="86"/>
      <c r="I116" s="85">
        <f t="shared" si="32"/>
        <v>0</v>
      </c>
      <c r="J116" s="86"/>
      <c r="K116" s="86">
        <f t="shared" si="33"/>
        <v>0</v>
      </c>
      <c r="L116" s="86"/>
      <c r="M116" s="86">
        <f t="shared" si="34"/>
        <v>0</v>
      </c>
      <c r="N116" s="85"/>
      <c r="O116" s="86">
        <f t="shared" si="35"/>
        <v>0</v>
      </c>
      <c r="P116" s="85">
        <v>781</v>
      </c>
      <c r="Q116" s="86">
        <f t="shared" si="36"/>
        <v>30224.7</v>
      </c>
      <c r="R116" s="85">
        <v>1117</v>
      </c>
      <c r="S116" s="86">
        <f t="shared" si="37"/>
        <v>37642.9</v>
      </c>
      <c r="T116" s="85">
        <v>978</v>
      </c>
      <c r="U116" s="86">
        <f t="shared" si="21"/>
        <v>32078.399999999998</v>
      </c>
      <c r="V116" s="87">
        <v>981</v>
      </c>
      <c r="W116" s="86">
        <f t="shared" si="22"/>
        <v>34482.15</v>
      </c>
      <c r="X116" s="85">
        <v>1045</v>
      </c>
      <c r="Y116" s="86">
        <f t="shared" si="23"/>
        <v>36219.699999999997</v>
      </c>
      <c r="Z116" s="85">
        <v>807</v>
      </c>
      <c r="AA116" s="85">
        <f t="shared" si="24"/>
        <v>29092.35</v>
      </c>
      <c r="AB116" s="88">
        <v>1068</v>
      </c>
      <c r="AC116" s="85">
        <f t="shared" si="25"/>
        <v>37422.720000000001</v>
      </c>
      <c r="AD116" s="89">
        <v>1187</v>
      </c>
      <c r="AE116" s="85">
        <f t="shared" si="26"/>
        <v>40571.659999999996</v>
      </c>
      <c r="AF116" s="85">
        <v>1148</v>
      </c>
      <c r="AG116" s="89">
        <f t="shared" si="27"/>
        <v>38228.399999999994</v>
      </c>
      <c r="AH116" s="89">
        <v>1202</v>
      </c>
      <c r="AI116" s="85">
        <f t="shared" si="28"/>
        <v>43211.9</v>
      </c>
      <c r="AJ116" s="89">
        <v>1160</v>
      </c>
      <c r="AK116" s="85">
        <f t="shared" si="29"/>
        <v>42537.200000000004</v>
      </c>
      <c r="AL116" s="113">
        <f t="shared" si="19"/>
        <v>11474</v>
      </c>
      <c r="AM116" s="23">
        <f t="shared" si="20"/>
        <v>401712.08</v>
      </c>
    </row>
    <row r="117" spans="1:39" s="114" customFormat="1" x14ac:dyDescent="0.5">
      <c r="A117" s="16">
        <v>113</v>
      </c>
      <c r="B117" s="83" t="s">
        <v>1154</v>
      </c>
      <c r="C117" s="84" t="s">
        <v>1155</v>
      </c>
      <c r="D117" s="85">
        <v>314</v>
      </c>
      <c r="E117" s="85">
        <f t="shared" si="30"/>
        <v>9771.68</v>
      </c>
      <c r="F117" s="86"/>
      <c r="G117" s="85">
        <f t="shared" si="31"/>
        <v>0</v>
      </c>
      <c r="H117" s="86"/>
      <c r="I117" s="85">
        <f t="shared" si="32"/>
        <v>0</v>
      </c>
      <c r="J117" s="86"/>
      <c r="K117" s="86">
        <f t="shared" si="33"/>
        <v>0</v>
      </c>
      <c r="L117" s="86"/>
      <c r="M117" s="86">
        <f t="shared" si="34"/>
        <v>0</v>
      </c>
      <c r="N117" s="85"/>
      <c r="O117" s="86">
        <f t="shared" si="35"/>
        <v>0</v>
      </c>
      <c r="P117" s="85"/>
      <c r="Q117" s="86">
        <f t="shared" si="36"/>
        <v>0</v>
      </c>
      <c r="R117" s="85"/>
      <c r="S117" s="86">
        <f t="shared" si="37"/>
        <v>0</v>
      </c>
      <c r="T117" s="85"/>
      <c r="U117" s="86">
        <f t="shared" si="21"/>
        <v>0</v>
      </c>
      <c r="V117" s="87"/>
      <c r="W117" s="86">
        <f t="shared" si="22"/>
        <v>0</v>
      </c>
      <c r="X117" s="85"/>
      <c r="Y117" s="86">
        <f t="shared" si="23"/>
        <v>0</v>
      </c>
      <c r="Z117" s="85"/>
      <c r="AA117" s="85">
        <f t="shared" si="24"/>
        <v>0</v>
      </c>
      <c r="AB117" s="88"/>
      <c r="AC117" s="85">
        <f t="shared" si="25"/>
        <v>0</v>
      </c>
      <c r="AD117" s="89"/>
      <c r="AE117" s="85">
        <f t="shared" si="26"/>
        <v>0</v>
      </c>
      <c r="AF117" s="85"/>
      <c r="AG117" s="89">
        <f t="shared" si="27"/>
        <v>0</v>
      </c>
      <c r="AH117" s="89"/>
      <c r="AI117" s="85">
        <f t="shared" si="28"/>
        <v>0</v>
      </c>
      <c r="AJ117" s="89"/>
      <c r="AK117" s="85">
        <f t="shared" si="29"/>
        <v>0</v>
      </c>
      <c r="AL117" s="113">
        <f t="shared" si="19"/>
        <v>314</v>
      </c>
      <c r="AM117" s="23">
        <f t="shared" si="20"/>
        <v>9771.68</v>
      </c>
    </row>
    <row r="118" spans="1:39" s="114" customFormat="1" x14ac:dyDescent="0.5">
      <c r="A118" s="16">
        <v>114</v>
      </c>
      <c r="B118" s="83" t="s">
        <v>1156</v>
      </c>
      <c r="C118" s="84" t="s">
        <v>1157</v>
      </c>
      <c r="D118" s="85">
        <v>818</v>
      </c>
      <c r="E118" s="85">
        <f t="shared" si="30"/>
        <v>25456.16</v>
      </c>
      <c r="F118" s="86">
        <v>270</v>
      </c>
      <c r="G118" s="85">
        <f t="shared" si="31"/>
        <v>8750.6999999999989</v>
      </c>
      <c r="H118" s="86"/>
      <c r="I118" s="85">
        <f t="shared" si="32"/>
        <v>0</v>
      </c>
      <c r="J118" s="86"/>
      <c r="K118" s="86">
        <f t="shared" si="33"/>
        <v>0</v>
      </c>
      <c r="L118" s="86"/>
      <c r="M118" s="86">
        <f t="shared" si="34"/>
        <v>0</v>
      </c>
      <c r="N118" s="85">
        <v>172</v>
      </c>
      <c r="O118" s="86">
        <f t="shared" si="35"/>
        <v>7224</v>
      </c>
      <c r="P118" s="85">
        <v>562</v>
      </c>
      <c r="Q118" s="86">
        <f t="shared" si="36"/>
        <v>21749.4</v>
      </c>
      <c r="R118" s="85">
        <v>943</v>
      </c>
      <c r="S118" s="86">
        <f t="shared" si="37"/>
        <v>31779.100000000002</v>
      </c>
      <c r="T118" s="85">
        <v>774</v>
      </c>
      <c r="U118" s="86">
        <f t="shared" si="21"/>
        <v>25387.199999999997</v>
      </c>
      <c r="V118" s="87">
        <v>1215</v>
      </c>
      <c r="W118" s="86">
        <f t="shared" si="22"/>
        <v>42707.25</v>
      </c>
      <c r="X118" s="85"/>
      <c r="Y118" s="86">
        <f t="shared" si="23"/>
        <v>0</v>
      </c>
      <c r="Z118" s="85"/>
      <c r="AA118" s="85">
        <f t="shared" si="24"/>
        <v>0</v>
      </c>
      <c r="AB118" s="88"/>
      <c r="AC118" s="85">
        <f t="shared" si="25"/>
        <v>0</v>
      </c>
      <c r="AD118" s="89"/>
      <c r="AE118" s="85">
        <f t="shared" si="26"/>
        <v>0</v>
      </c>
      <c r="AF118" s="85"/>
      <c r="AG118" s="89">
        <f t="shared" si="27"/>
        <v>0</v>
      </c>
      <c r="AH118" s="89"/>
      <c r="AI118" s="85">
        <f t="shared" si="28"/>
        <v>0</v>
      </c>
      <c r="AJ118" s="89"/>
      <c r="AK118" s="85">
        <f t="shared" si="29"/>
        <v>0</v>
      </c>
      <c r="AL118" s="113">
        <f t="shared" si="19"/>
        <v>4754</v>
      </c>
      <c r="AM118" s="23">
        <f t="shared" si="20"/>
        <v>163053.81</v>
      </c>
    </row>
    <row r="119" spans="1:39" s="114" customFormat="1" x14ac:dyDescent="0.5">
      <c r="A119" s="16">
        <v>115</v>
      </c>
      <c r="B119" s="83" t="s">
        <v>1158</v>
      </c>
      <c r="C119" s="84" t="s">
        <v>1157</v>
      </c>
      <c r="D119" s="85"/>
      <c r="E119" s="85">
        <f t="shared" si="30"/>
        <v>0</v>
      </c>
      <c r="F119" s="86"/>
      <c r="G119" s="85">
        <f t="shared" si="31"/>
        <v>0</v>
      </c>
      <c r="H119" s="86"/>
      <c r="I119" s="85">
        <f t="shared" si="32"/>
        <v>0</v>
      </c>
      <c r="J119" s="86"/>
      <c r="K119" s="86">
        <f t="shared" si="33"/>
        <v>0</v>
      </c>
      <c r="L119" s="86"/>
      <c r="M119" s="86">
        <f t="shared" si="34"/>
        <v>0</v>
      </c>
      <c r="N119" s="85"/>
      <c r="O119" s="86">
        <f t="shared" si="35"/>
        <v>0</v>
      </c>
      <c r="P119" s="85"/>
      <c r="Q119" s="86">
        <f t="shared" si="36"/>
        <v>0</v>
      </c>
      <c r="R119" s="85"/>
      <c r="S119" s="86">
        <f t="shared" si="37"/>
        <v>0</v>
      </c>
      <c r="T119" s="85"/>
      <c r="U119" s="86">
        <f t="shared" si="21"/>
        <v>0</v>
      </c>
      <c r="V119" s="87"/>
      <c r="W119" s="86">
        <f t="shared" si="22"/>
        <v>0</v>
      </c>
      <c r="X119" s="85"/>
      <c r="Y119" s="86">
        <f t="shared" si="23"/>
        <v>0</v>
      </c>
      <c r="Z119" s="85"/>
      <c r="AA119" s="85">
        <f t="shared" si="24"/>
        <v>0</v>
      </c>
      <c r="AB119" s="88"/>
      <c r="AC119" s="85">
        <f t="shared" si="25"/>
        <v>0</v>
      </c>
      <c r="AD119" s="89"/>
      <c r="AE119" s="85">
        <f t="shared" si="26"/>
        <v>0</v>
      </c>
      <c r="AF119" s="85"/>
      <c r="AG119" s="89">
        <f t="shared" si="27"/>
        <v>0</v>
      </c>
      <c r="AH119" s="89"/>
      <c r="AI119" s="85">
        <f t="shared" si="28"/>
        <v>0</v>
      </c>
      <c r="AJ119" s="89"/>
      <c r="AK119" s="85">
        <f t="shared" si="29"/>
        <v>0</v>
      </c>
      <c r="AL119" s="113">
        <f t="shared" si="19"/>
        <v>0</v>
      </c>
      <c r="AM119" s="23">
        <f t="shared" si="20"/>
        <v>0</v>
      </c>
    </row>
    <row r="120" spans="1:39" s="114" customFormat="1" x14ac:dyDescent="0.5">
      <c r="A120" s="16">
        <v>116</v>
      </c>
      <c r="B120" s="83" t="s">
        <v>611</v>
      </c>
      <c r="C120" s="84" t="s">
        <v>1159</v>
      </c>
      <c r="D120" s="85"/>
      <c r="E120" s="85">
        <f t="shared" si="30"/>
        <v>0</v>
      </c>
      <c r="F120" s="86">
        <v>158</v>
      </c>
      <c r="G120" s="85">
        <f t="shared" si="31"/>
        <v>5120.78</v>
      </c>
      <c r="H120" s="86">
        <v>210</v>
      </c>
      <c r="I120" s="85">
        <f t="shared" si="32"/>
        <v>6932.0999999999995</v>
      </c>
      <c r="J120" s="86">
        <v>219</v>
      </c>
      <c r="K120" s="86">
        <f t="shared" si="33"/>
        <v>7691.28</v>
      </c>
      <c r="L120" s="86"/>
      <c r="M120" s="86">
        <f t="shared" si="34"/>
        <v>0</v>
      </c>
      <c r="N120" s="85">
        <v>610</v>
      </c>
      <c r="O120" s="86">
        <f t="shared" si="35"/>
        <v>25620</v>
      </c>
      <c r="P120" s="85"/>
      <c r="Q120" s="86">
        <f t="shared" si="36"/>
        <v>0</v>
      </c>
      <c r="R120" s="85">
        <v>250</v>
      </c>
      <c r="S120" s="86">
        <f t="shared" si="37"/>
        <v>8425</v>
      </c>
      <c r="T120" s="85"/>
      <c r="U120" s="86">
        <f t="shared" si="21"/>
        <v>0</v>
      </c>
      <c r="V120" s="87"/>
      <c r="W120" s="86">
        <f t="shared" si="22"/>
        <v>0</v>
      </c>
      <c r="X120" s="85">
        <v>392</v>
      </c>
      <c r="Y120" s="86">
        <f t="shared" si="23"/>
        <v>13586.72</v>
      </c>
      <c r="Z120" s="85">
        <v>350</v>
      </c>
      <c r="AA120" s="85">
        <f t="shared" si="24"/>
        <v>12617.499999999998</v>
      </c>
      <c r="AB120" s="88">
        <v>420</v>
      </c>
      <c r="AC120" s="85">
        <f t="shared" si="25"/>
        <v>14716.8</v>
      </c>
      <c r="AD120" s="89">
        <v>264</v>
      </c>
      <c r="AE120" s="85">
        <f t="shared" si="26"/>
        <v>9023.52</v>
      </c>
      <c r="AF120" s="85"/>
      <c r="AG120" s="89">
        <f t="shared" si="27"/>
        <v>0</v>
      </c>
      <c r="AH120" s="89"/>
      <c r="AI120" s="85">
        <f t="shared" si="28"/>
        <v>0</v>
      </c>
      <c r="AJ120" s="89"/>
      <c r="AK120" s="85">
        <f t="shared" si="29"/>
        <v>0</v>
      </c>
      <c r="AL120" s="113">
        <f t="shared" si="19"/>
        <v>2873</v>
      </c>
      <c r="AM120" s="23">
        <f t="shared" si="20"/>
        <v>103733.70000000001</v>
      </c>
    </row>
    <row r="121" spans="1:39" x14ac:dyDescent="0.5">
      <c r="A121" s="16">
        <v>117</v>
      </c>
      <c r="B121" s="83" t="s">
        <v>1160</v>
      </c>
      <c r="C121" s="84" t="s">
        <v>1161</v>
      </c>
      <c r="D121" s="85">
        <v>660</v>
      </c>
      <c r="E121" s="85">
        <f t="shared" si="30"/>
        <v>20539.2</v>
      </c>
      <c r="F121" s="86">
        <v>475</v>
      </c>
      <c r="G121" s="85">
        <f t="shared" si="31"/>
        <v>15394.749999999998</v>
      </c>
      <c r="H121" s="86">
        <v>408</v>
      </c>
      <c r="I121" s="85">
        <f t="shared" si="32"/>
        <v>13468.08</v>
      </c>
      <c r="J121" s="86"/>
      <c r="K121" s="86">
        <f t="shared" si="33"/>
        <v>0</v>
      </c>
      <c r="L121" s="86">
        <v>557</v>
      </c>
      <c r="M121" s="86">
        <f t="shared" si="34"/>
        <v>21305.25</v>
      </c>
      <c r="N121" s="85">
        <v>588</v>
      </c>
      <c r="O121" s="86">
        <f t="shared" si="35"/>
        <v>24696</v>
      </c>
      <c r="P121" s="85">
        <v>346</v>
      </c>
      <c r="Q121" s="86">
        <f t="shared" si="36"/>
        <v>13390.2</v>
      </c>
      <c r="R121" s="85"/>
      <c r="S121" s="86">
        <f t="shared" si="37"/>
        <v>0</v>
      </c>
      <c r="T121" s="85">
        <v>519</v>
      </c>
      <c r="U121" s="86">
        <f t="shared" si="21"/>
        <v>17023.199999999997</v>
      </c>
      <c r="V121" s="87">
        <v>398</v>
      </c>
      <c r="W121" s="86">
        <f t="shared" si="22"/>
        <v>13989.699999999999</v>
      </c>
      <c r="X121" s="85">
        <v>785</v>
      </c>
      <c r="Y121" s="86">
        <f t="shared" si="23"/>
        <v>27208.1</v>
      </c>
      <c r="Z121" s="85">
        <v>495</v>
      </c>
      <c r="AA121" s="85">
        <f t="shared" si="24"/>
        <v>17844.75</v>
      </c>
      <c r="AB121" s="88">
        <v>848</v>
      </c>
      <c r="AC121" s="85">
        <f t="shared" si="25"/>
        <v>29713.919999999998</v>
      </c>
      <c r="AD121" s="89">
        <v>680</v>
      </c>
      <c r="AE121" s="85">
        <f t="shared" si="26"/>
        <v>23242.400000000001</v>
      </c>
      <c r="AF121" s="85">
        <v>826</v>
      </c>
      <c r="AG121" s="89">
        <f t="shared" si="27"/>
        <v>27505.8</v>
      </c>
      <c r="AH121" s="89">
        <v>1057</v>
      </c>
      <c r="AI121" s="85">
        <f t="shared" si="28"/>
        <v>37999.15</v>
      </c>
      <c r="AJ121" s="89">
        <v>1023</v>
      </c>
      <c r="AK121" s="85">
        <f t="shared" si="29"/>
        <v>37513.410000000003</v>
      </c>
      <c r="AL121" s="113">
        <f t="shared" si="19"/>
        <v>9665</v>
      </c>
      <c r="AM121" s="23">
        <f t="shared" si="20"/>
        <v>340833.91000000003</v>
      </c>
    </row>
    <row r="122" spans="1:39" x14ac:dyDescent="0.5">
      <c r="A122" s="16">
        <v>118</v>
      </c>
      <c r="B122" s="83" t="s">
        <v>1162</v>
      </c>
      <c r="C122" s="84" t="s">
        <v>1163</v>
      </c>
      <c r="D122" s="85"/>
      <c r="E122" s="85">
        <f t="shared" si="30"/>
        <v>0</v>
      </c>
      <c r="F122" s="86"/>
      <c r="G122" s="85">
        <f t="shared" si="31"/>
        <v>0</v>
      </c>
      <c r="H122" s="86"/>
      <c r="I122" s="85">
        <f t="shared" si="32"/>
        <v>0</v>
      </c>
      <c r="J122" s="86"/>
      <c r="K122" s="86">
        <f t="shared" si="33"/>
        <v>0</v>
      </c>
      <c r="L122" s="86">
        <v>243</v>
      </c>
      <c r="M122" s="86">
        <f t="shared" si="34"/>
        <v>9294.75</v>
      </c>
      <c r="N122" s="85"/>
      <c r="O122" s="86">
        <f t="shared" si="35"/>
        <v>0</v>
      </c>
      <c r="P122" s="85">
        <v>420</v>
      </c>
      <c r="Q122" s="86">
        <f t="shared" si="36"/>
        <v>16254.000000000002</v>
      </c>
      <c r="R122" s="85">
        <v>350</v>
      </c>
      <c r="S122" s="86">
        <f t="shared" si="37"/>
        <v>11795.000000000002</v>
      </c>
      <c r="T122" s="85">
        <v>486</v>
      </c>
      <c r="U122" s="86">
        <f t="shared" si="21"/>
        <v>15940.8</v>
      </c>
      <c r="V122" s="87">
        <v>433</v>
      </c>
      <c r="W122" s="86">
        <f t="shared" si="22"/>
        <v>15219.949999999999</v>
      </c>
      <c r="X122" s="85">
        <v>434</v>
      </c>
      <c r="Y122" s="86">
        <f t="shared" si="23"/>
        <v>15042.439999999999</v>
      </c>
      <c r="Z122" s="85">
        <v>342</v>
      </c>
      <c r="AA122" s="85">
        <f t="shared" si="24"/>
        <v>12329.099999999999</v>
      </c>
      <c r="AB122" s="88">
        <v>468</v>
      </c>
      <c r="AC122" s="85">
        <f t="shared" si="25"/>
        <v>16398.72</v>
      </c>
      <c r="AD122" s="89">
        <v>573</v>
      </c>
      <c r="AE122" s="85">
        <f t="shared" si="26"/>
        <v>19585.14</v>
      </c>
      <c r="AF122" s="85"/>
      <c r="AG122" s="89">
        <f t="shared" si="27"/>
        <v>0</v>
      </c>
      <c r="AH122" s="89">
        <v>424</v>
      </c>
      <c r="AI122" s="85">
        <f t="shared" si="28"/>
        <v>15242.800000000001</v>
      </c>
      <c r="AJ122" s="89">
        <v>419</v>
      </c>
      <c r="AK122" s="85">
        <f t="shared" si="29"/>
        <v>15364.730000000001</v>
      </c>
      <c r="AL122" s="113">
        <f t="shared" si="19"/>
        <v>4592</v>
      </c>
      <c r="AM122" s="23">
        <f t="shared" si="20"/>
        <v>162467.43000000002</v>
      </c>
    </row>
    <row r="123" spans="1:39" s="114" customFormat="1" x14ac:dyDescent="0.5">
      <c r="A123" s="16">
        <v>119</v>
      </c>
      <c r="B123" s="83" t="s">
        <v>1164</v>
      </c>
      <c r="C123" s="84" t="s">
        <v>1165</v>
      </c>
      <c r="D123" s="85"/>
      <c r="E123" s="85">
        <f t="shared" si="30"/>
        <v>0</v>
      </c>
      <c r="F123" s="86"/>
      <c r="G123" s="85">
        <f t="shared" si="31"/>
        <v>0</v>
      </c>
      <c r="H123" s="86"/>
      <c r="I123" s="85">
        <f t="shared" si="32"/>
        <v>0</v>
      </c>
      <c r="J123" s="86">
        <v>276</v>
      </c>
      <c r="K123" s="86">
        <f t="shared" si="33"/>
        <v>9693.119999999999</v>
      </c>
      <c r="L123" s="86">
        <v>440</v>
      </c>
      <c r="M123" s="86">
        <f t="shared" si="34"/>
        <v>16830</v>
      </c>
      <c r="N123" s="85">
        <v>208</v>
      </c>
      <c r="O123" s="86">
        <f t="shared" si="35"/>
        <v>8736</v>
      </c>
      <c r="P123" s="85">
        <v>77</v>
      </c>
      <c r="Q123" s="86">
        <f t="shared" si="36"/>
        <v>2979.9</v>
      </c>
      <c r="R123" s="85"/>
      <c r="S123" s="86">
        <f t="shared" si="37"/>
        <v>0</v>
      </c>
      <c r="T123" s="85"/>
      <c r="U123" s="86">
        <f t="shared" si="21"/>
        <v>0</v>
      </c>
      <c r="V123" s="87">
        <v>206</v>
      </c>
      <c r="W123" s="86">
        <f t="shared" si="22"/>
        <v>7240.9</v>
      </c>
      <c r="X123" s="85">
        <v>617</v>
      </c>
      <c r="Y123" s="86">
        <f t="shared" si="23"/>
        <v>21385.219999999998</v>
      </c>
      <c r="Z123" s="85">
        <v>536</v>
      </c>
      <c r="AA123" s="85">
        <f t="shared" si="24"/>
        <v>19322.8</v>
      </c>
      <c r="AB123" s="88"/>
      <c r="AC123" s="85">
        <f t="shared" si="25"/>
        <v>0</v>
      </c>
      <c r="AD123" s="89"/>
      <c r="AE123" s="85">
        <f t="shared" si="26"/>
        <v>0</v>
      </c>
      <c r="AF123" s="85">
        <v>523</v>
      </c>
      <c r="AG123" s="89">
        <f t="shared" si="27"/>
        <v>17415.899999999998</v>
      </c>
      <c r="AH123" s="89"/>
      <c r="AI123" s="85">
        <f t="shared" si="28"/>
        <v>0</v>
      </c>
      <c r="AJ123" s="89"/>
      <c r="AK123" s="85">
        <f t="shared" si="29"/>
        <v>0</v>
      </c>
      <c r="AL123" s="113">
        <f t="shared" si="19"/>
        <v>2883</v>
      </c>
      <c r="AM123" s="23">
        <f t="shared" si="20"/>
        <v>103603.84</v>
      </c>
    </row>
    <row r="124" spans="1:39" s="114" customFormat="1" x14ac:dyDescent="0.5">
      <c r="A124" s="16">
        <v>120</v>
      </c>
      <c r="B124" s="83" t="s">
        <v>1166</v>
      </c>
      <c r="C124" s="84" t="s">
        <v>1167</v>
      </c>
      <c r="D124" s="85"/>
      <c r="E124" s="85">
        <f t="shared" si="30"/>
        <v>0</v>
      </c>
      <c r="F124" s="86"/>
      <c r="G124" s="85">
        <f t="shared" si="31"/>
        <v>0</v>
      </c>
      <c r="H124" s="86"/>
      <c r="I124" s="85">
        <f t="shared" si="32"/>
        <v>0</v>
      </c>
      <c r="J124" s="86">
        <v>318</v>
      </c>
      <c r="K124" s="86">
        <f t="shared" si="33"/>
        <v>11168.16</v>
      </c>
      <c r="L124" s="86"/>
      <c r="M124" s="86">
        <f t="shared" si="34"/>
        <v>0</v>
      </c>
      <c r="N124" s="85"/>
      <c r="O124" s="86">
        <f t="shared" si="35"/>
        <v>0</v>
      </c>
      <c r="P124" s="85"/>
      <c r="Q124" s="86">
        <f t="shared" si="36"/>
        <v>0</v>
      </c>
      <c r="R124" s="85"/>
      <c r="S124" s="86">
        <f t="shared" si="37"/>
        <v>0</v>
      </c>
      <c r="T124" s="85"/>
      <c r="U124" s="86">
        <f t="shared" si="21"/>
        <v>0</v>
      </c>
      <c r="V124" s="87"/>
      <c r="W124" s="86">
        <f t="shared" si="22"/>
        <v>0</v>
      </c>
      <c r="X124" s="85"/>
      <c r="Y124" s="86">
        <f t="shared" si="23"/>
        <v>0</v>
      </c>
      <c r="Z124" s="85"/>
      <c r="AA124" s="85">
        <f t="shared" si="24"/>
        <v>0</v>
      </c>
      <c r="AB124" s="88"/>
      <c r="AC124" s="85">
        <f t="shared" si="25"/>
        <v>0</v>
      </c>
      <c r="AD124" s="89"/>
      <c r="AE124" s="85">
        <f t="shared" si="26"/>
        <v>0</v>
      </c>
      <c r="AF124" s="85"/>
      <c r="AG124" s="89">
        <f t="shared" si="27"/>
        <v>0</v>
      </c>
      <c r="AH124" s="89"/>
      <c r="AI124" s="85">
        <f t="shared" si="28"/>
        <v>0</v>
      </c>
      <c r="AJ124" s="89"/>
      <c r="AK124" s="85">
        <f t="shared" si="29"/>
        <v>0</v>
      </c>
      <c r="AL124" s="113">
        <f t="shared" si="19"/>
        <v>318</v>
      </c>
      <c r="AM124" s="23">
        <f t="shared" si="20"/>
        <v>11168.16</v>
      </c>
    </row>
    <row r="125" spans="1:39" x14ac:dyDescent="0.5">
      <c r="A125" s="16">
        <v>121</v>
      </c>
      <c r="B125" s="83" t="s">
        <v>267</v>
      </c>
      <c r="C125" s="84" t="s">
        <v>1168</v>
      </c>
      <c r="D125" s="85">
        <v>581</v>
      </c>
      <c r="E125" s="85">
        <f t="shared" si="30"/>
        <v>18080.72</v>
      </c>
      <c r="F125" s="86">
        <v>333</v>
      </c>
      <c r="G125" s="85">
        <f t="shared" si="31"/>
        <v>10792.529999999999</v>
      </c>
      <c r="H125" s="86"/>
      <c r="I125" s="85">
        <f t="shared" si="32"/>
        <v>0</v>
      </c>
      <c r="J125" s="86"/>
      <c r="K125" s="86">
        <f t="shared" si="33"/>
        <v>0</v>
      </c>
      <c r="L125" s="86">
        <v>269</v>
      </c>
      <c r="M125" s="86">
        <f t="shared" si="34"/>
        <v>10289.25</v>
      </c>
      <c r="N125" s="85">
        <v>409</v>
      </c>
      <c r="O125" s="86">
        <f t="shared" si="35"/>
        <v>17178</v>
      </c>
      <c r="P125" s="85">
        <v>370</v>
      </c>
      <c r="Q125" s="86">
        <f t="shared" si="36"/>
        <v>14319.000000000002</v>
      </c>
      <c r="R125" s="85">
        <v>611</v>
      </c>
      <c r="S125" s="86">
        <f t="shared" si="37"/>
        <v>20590.7</v>
      </c>
      <c r="T125" s="85">
        <v>511</v>
      </c>
      <c r="U125" s="86">
        <f t="shared" si="21"/>
        <v>16760.8</v>
      </c>
      <c r="V125" s="87">
        <v>625</v>
      </c>
      <c r="W125" s="86">
        <f t="shared" si="22"/>
        <v>21968.75</v>
      </c>
      <c r="X125" s="85">
        <v>619</v>
      </c>
      <c r="Y125" s="86">
        <f t="shared" si="23"/>
        <v>21454.539999999997</v>
      </c>
      <c r="Z125" s="85">
        <v>265</v>
      </c>
      <c r="AA125" s="85">
        <f t="shared" si="24"/>
        <v>9553.25</v>
      </c>
      <c r="AB125" s="88">
        <v>661</v>
      </c>
      <c r="AC125" s="85">
        <f t="shared" si="25"/>
        <v>23161.439999999999</v>
      </c>
      <c r="AD125" s="89">
        <v>915</v>
      </c>
      <c r="AE125" s="85">
        <f t="shared" si="26"/>
        <v>31274.7</v>
      </c>
      <c r="AF125" s="85">
        <v>755</v>
      </c>
      <c r="AG125" s="89">
        <f t="shared" si="27"/>
        <v>25141.499999999996</v>
      </c>
      <c r="AH125" s="89">
        <v>911</v>
      </c>
      <c r="AI125" s="85">
        <f t="shared" si="28"/>
        <v>32750.450000000004</v>
      </c>
      <c r="AJ125" s="89"/>
      <c r="AK125" s="85">
        <f t="shared" si="29"/>
        <v>0</v>
      </c>
      <c r="AL125" s="113">
        <f t="shared" si="19"/>
        <v>7835</v>
      </c>
      <c r="AM125" s="23">
        <f t="shared" si="20"/>
        <v>273315.63</v>
      </c>
    </row>
    <row r="126" spans="1:39" s="114" customFormat="1" x14ac:dyDescent="0.5">
      <c r="A126" s="16">
        <v>122</v>
      </c>
      <c r="B126" s="83" t="s">
        <v>1169</v>
      </c>
      <c r="C126" s="84" t="s">
        <v>1170</v>
      </c>
      <c r="D126" s="85"/>
      <c r="E126" s="85">
        <f t="shared" si="30"/>
        <v>0</v>
      </c>
      <c r="F126" s="86"/>
      <c r="G126" s="85">
        <f t="shared" si="31"/>
        <v>0</v>
      </c>
      <c r="H126" s="86"/>
      <c r="I126" s="85">
        <f t="shared" si="32"/>
        <v>0</v>
      </c>
      <c r="J126" s="86"/>
      <c r="K126" s="86">
        <f t="shared" si="33"/>
        <v>0</v>
      </c>
      <c r="L126" s="86">
        <v>923</v>
      </c>
      <c r="M126" s="86">
        <f t="shared" si="34"/>
        <v>35304.75</v>
      </c>
      <c r="N126" s="85">
        <v>922</v>
      </c>
      <c r="O126" s="86">
        <f t="shared" si="35"/>
        <v>38724</v>
      </c>
      <c r="P126" s="85">
        <v>941</v>
      </c>
      <c r="Q126" s="86">
        <f t="shared" si="36"/>
        <v>36416.700000000004</v>
      </c>
      <c r="R126" s="85">
        <v>1001</v>
      </c>
      <c r="S126" s="86">
        <f t="shared" si="37"/>
        <v>33733.700000000004</v>
      </c>
      <c r="T126" s="85">
        <v>1142</v>
      </c>
      <c r="U126" s="86">
        <f t="shared" si="21"/>
        <v>37457.599999999999</v>
      </c>
      <c r="V126" s="87">
        <v>1144</v>
      </c>
      <c r="W126" s="86">
        <f t="shared" si="22"/>
        <v>40211.599999999999</v>
      </c>
      <c r="X126" s="85">
        <v>786</v>
      </c>
      <c r="Y126" s="86">
        <f t="shared" si="23"/>
        <v>27242.76</v>
      </c>
      <c r="Z126" s="85"/>
      <c r="AA126" s="85">
        <f t="shared" si="24"/>
        <v>0</v>
      </c>
      <c r="AB126" s="88"/>
      <c r="AC126" s="85">
        <f t="shared" si="25"/>
        <v>0</v>
      </c>
      <c r="AD126" s="89"/>
      <c r="AE126" s="85">
        <f t="shared" si="26"/>
        <v>0</v>
      </c>
      <c r="AF126" s="85"/>
      <c r="AG126" s="89">
        <f t="shared" si="27"/>
        <v>0</v>
      </c>
      <c r="AH126" s="89"/>
      <c r="AI126" s="85">
        <f t="shared" si="28"/>
        <v>0</v>
      </c>
      <c r="AJ126" s="89"/>
      <c r="AK126" s="85">
        <f t="shared" si="29"/>
        <v>0</v>
      </c>
      <c r="AL126" s="113">
        <f t="shared" si="19"/>
        <v>6859</v>
      </c>
      <c r="AM126" s="23">
        <f t="shared" si="20"/>
        <v>249091.11000000004</v>
      </c>
    </row>
    <row r="127" spans="1:39" x14ac:dyDescent="0.5">
      <c r="A127" s="16">
        <v>123</v>
      </c>
      <c r="B127" s="83" t="s">
        <v>1171</v>
      </c>
      <c r="C127" s="84"/>
      <c r="D127" s="85">
        <v>1615</v>
      </c>
      <c r="E127" s="85">
        <f t="shared" si="30"/>
        <v>50258.8</v>
      </c>
      <c r="F127" s="86"/>
      <c r="G127" s="85">
        <f t="shared" si="31"/>
        <v>0</v>
      </c>
      <c r="H127" s="86"/>
      <c r="I127" s="85">
        <f t="shared" si="32"/>
        <v>0</v>
      </c>
      <c r="J127" s="86"/>
      <c r="K127" s="86">
        <f t="shared" si="33"/>
        <v>0</v>
      </c>
      <c r="L127" s="86"/>
      <c r="M127" s="86">
        <f t="shared" si="34"/>
        <v>0</v>
      </c>
      <c r="N127" s="85">
        <v>434</v>
      </c>
      <c r="O127" s="86">
        <f t="shared" si="35"/>
        <v>18228</v>
      </c>
      <c r="P127" s="85">
        <v>1340</v>
      </c>
      <c r="Q127" s="86">
        <f t="shared" si="36"/>
        <v>51858.000000000007</v>
      </c>
      <c r="R127" s="85">
        <v>1748</v>
      </c>
      <c r="S127" s="86">
        <f t="shared" si="37"/>
        <v>58907.600000000006</v>
      </c>
      <c r="T127" s="85">
        <v>2613</v>
      </c>
      <c r="U127" s="86">
        <f t="shared" si="21"/>
        <v>85706.4</v>
      </c>
      <c r="V127" s="87">
        <v>2706</v>
      </c>
      <c r="W127" s="86">
        <f t="shared" si="22"/>
        <v>95115.9</v>
      </c>
      <c r="X127" s="85">
        <v>2130</v>
      </c>
      <c r="Y127" s="86">
        <f t="shared" si="23"/>
        <v>73825.799999999988</v>
      </c>
      <c r="Z127" s="85">
        <v>2147</v>
      </c>
      <c r="AA127" s="85">
        <f t="shared" si="24"/>
        <v>77399.349999999991</v>
      </c>
      <c r="AB127" s="88">
        <v>2671</v>
      </c>
      <c r="AC127" s="85">
        <f t="shared" si="25"/>
        <v>93591.84</v>
      </c>
      <c r="AD127" s="89">
        <v>3492</v>
      </c>
      <c r="AE127" s="85">
        <f t="shared" si="26"/>
        <v>119356.56</v>
      </c>
      <c r="AF127" s="85">
        <v>3099</v>
      </c>
      <c r="AG127" s="89">
        <f t="shared" si="27"/>
        <v>103196.7</v>
      </c>
      <c r="AH127" s="89">
        <v>3149</v>
      </c>
      <c r="AI127" s="85">
        <f t="shared" si="28"/>
        <v>113206.55</v>
      </c>
      <c r="AJ127" s="89">
        <v>3073</v>
      </c>
      <c r="AK127" s="85">
        <f t="shared" si="29"/>
        <v>112686.91</v>
      </c>
      <c r="AL127" s="113">
        <f t="shared" si="19"/>
        <v>30217</v>
      </c>
      <c r="AM127" s="23">
        <f t="shared" si="20"/>
        <v>1053338.4099999999</v>
      </c>
    </row>
    <row r="128" spans="1:39" x14ac:dyDescent="0.5">
      <c r="A128" s="16">
        <v>124</v>
      </c>
      <c r="B128" s="83" t="s">
        <v>1172</v>
      </c>
      <c r="C128" s="84" t="s">
        <v>1173</v>
      </c>
      <c r="D128" s="85">
        <v>907</v>
      </c>
      <c r="E128" s="85">
        <f t="shared" si="30"/>
        <v>28225.84</v>
      </c>
      <c r="F128" s="86">
        <v>698</v>
      </c>
      <c r="G128" s="85">
        <f t="shared" si="31"/>
        <v>22622.179999999997</v>
      </c>
      <c r="H128" s="86">
        <v>685</v>
      </c>
      <c r="I128" s="85">
        <f t="shared" si="32"/>
        <v>22611.85</v>
      </c>
      <c r="J128" s="86">
        <v>370</v>
      </c>
      <c r="K128" s="86">
        <f t="shared" si="33"/>
        <v>12994.4</v>
      </c>
      <c r="L128" s="86">
        <v>497</v>
      </c>
      <c r="M128" s="86">
        <f t="shared" si="34"/>
        <v>19010.25</v>
      </c>
      <c r="N128" s="85">
        <v>778</v>
      </c>
      <c r="O128" s="86">
        <f t="shared" si="35"/>
        <v>32676</v>
      </c>
      <c r="P128" s="85">
        <v>714</v>
      </c>
      <c r="Q128" s="86">
        <f t="shared" si="36"/>
        <v>27631.800000000003</v>
      </c>
      <c r="R128" s="85">
        <v>779</v>
      </c>
      <c r="S128" s="86">
        <f t="shared" si="37"/>
        <v>26252.300000000003</v>
      </c>
      <c r="T128" s="85">
        <v>817</v>
      </c>
      <c r="U128" s="86">
        <f t="shared" si="21"/>
        <v>26797.599999999999</v>
      </c>
      <c r="V128" s="87">
        <v>877</v>
      </c>
      <c r="W128" s="86">
        <f t="shared" si="22"/>
        <v>30826.55</v>
      </c>
      <c r="X128" s="85">
        <v>862</v>
      </c>
      <c r="Y128" s="86">
        <f t="shared" si="23"/>
        <v>29876.92</v>
      </c>
      <c r="Z128" s="85">
        <v>1332</v>
      </c>
      <c r="AA128" s="85">
        <f t="shared" si="24"/>
        <v>48018.6</v>
      </c>
      <c r="AB128" s="88">
        <v>650</v>
      </c>
      <c r="AC128" s="85">
        <f t="shared" si="25"/>
        <v>22776</v>
      </c>
      <c r="AD128" s="89">
        <v>875</v>
      </c>
      <c r="AE128" s="85">
        <f t="shared" si="26"/>
        <v>29907.5</v>
      </c>
      <c r="AF128" s="85">
        <v>871</v>
      </c>
      <c r="AG128" s="89">
        <f t="shared" si="27"/>
        <v>29004.3</v>
      </c>
      <c r="AH128" s="89">
        <v>985</v>
      </c>
      <c r="AI128" s="85">
        <f t="shared" si="28"/>
        <v>35410.75</v>
      </c>
      <c r="AJ128" s="89">
        <v>1058</v>
      </c>
      <c r="AK128" s="85">
        <f t="shared" si="29"/>
        <v>38796.86</v>
      </c>
      <c r="AL128" s="113">
        <f t="shared" si="19"/>
        <v>13755</v>
      </c>
      <c r="AM128" s="23">
        <f t="shared" si="20"/>
        <v>483439.69999999995</v>
      </c>
    </row>
    <row r="129" spans="1:39" x14ac:dyDescent="0.5">
      <c r="A129" s="16">
        <v>125</v>
      </c>
      <c r="B129" s="83" t="s">
        <v>1174</v>
      </c>
      <c r="C129" s="84" t="s">
        <v>1175</v>
      </c>
      <c r="D129" s="85"/>
      <c r="E129" s="85">
        <f t="shared" si="30"/>
        <v>0</v>
      </c>
      <c r="F129" s="86"/>
      <c r="G129" s="85">
        <f t="shared" si="31"/>
        <v>0</v>
      </c>
      <c r="H129" s="86"/>
      <c r="I129" s="85">
        <f t="shared" si="32"/>
        <v>0</v>
      </c>
      <c r="J129" s="86"/>
      <c r="K129" s="86">
        <f t="shared" si="33"/>
        <v>0</v>
      </c>
      <c r="L129" s="86"/>
      <c r="M129" s="86">
        <f t="shared" si="34"/>
        <v>0</v>
      </c>
      <c r="N129" s="85">
        <v>520</v>
      </c>
      <c r="O129" s="86">
        <f t="shared" si="35"/>
        <v>21840</v>
      </c>
      <c r="P129" s="85">
        <v>504</v>
      </c>
      <c r="Q129" s="86">
        <f t="shared" si="36"/>
        <v>19504.800000000003</v>
      </c>
      <c r="R129" s="85">
        <v>705</v>
      </c>
      <c r="S129" s="86">
        <f t="shared" si="37"/>
        <v>23758.500000000004</v>
      </c>
      <c r="T129" s="85">
        <v>666</v>
      </c>
      <c r="U129" s="86">
        <f t="shared" si="21"/>
        <v>21844.799999999999</v>
      </c>
      <c r="V129" s="87">
        <v>1004</v>
      </c>
      <c r="W129" s="86">
        <f t="shared" si="22"/>
        <v>35290.6</v>
      </c>
      <c r="X129" s="85">
        <v>802</v>
      </c>
      <c r="Y129" s="86">
        <f t="shared" si="23"/>
        <v>27797.319999999996</v>
      </c>
      <c r="Z129" s="85">
        <v>741</v>
      </c>
      <c r="AA129" s="85">
        <f t="shared" si="24"/>
        <v>26713.05</v>
      </c>
      <c r="AB129" s="88">
        <v>701</v>
      </c>
      <c r="AC129" s="85">
        <f t="shared" si="25"/>
        <v>24563.040000000001</v>
      </c>
      <c r="AD129" s="89">
        <v>895</v>
      </c>
      <c r="AE129" s="85">
        <f t="shared" si="26"/>
        <v>30591.1</v>
      </c>
      <c r="AF129" s="85">
        <v>571</v>
      </c>
      <c r="AG129" s="89">
        <f t="shared" si="27"/>
        <v>19014.3</v>
      </c>
      <c r="AH129" s="89">
        <v>870</v>
      </c>
      <c r="AI129" s="85">
        <f t="shared" si="28"/>
        <v>31276.500000000004</v>
      </c>
      <c r="AJ129" s="89">
        <v>814</v>
      </c>
      <c r="AK129" s="85">
        <f t="shared" si="29"/>
        <v>29849.38</v>
      </c>
      <c r="AL129" s="113">
        <f t="shared" si="19"/>
        <v>8793</v>
      </c>
      <c r="AM129" s="23">
        <f t="shared" si="20"/>
        <v>312043.39</v>
      </c>
    </row>
    <row r="130" spans="1:39" s="114" customFormat="1" x14ac:dyDescent="0.5">
      <c r="A130" s="16">
        <v>126</v>
      </c>
      <c r="B130" s="83" t="s">
        <v>1176</v>
      </c>
      <c r="C130" s="84" t="s">
        <v>1177</v>
      </c>
      <c r="D130" s="85"/>
      <c r="E130" s="85">
        <f t="shared" si="30"/>
        <v>0</v>
      </c>
      <c r="F130" s="86"/>
      <c r="G130" s="85">
        <f t="shared" si="31"/>
        <v>0</v>
      </c>
      <c r="H130" s="86"/>
      <c r="I130" s="85">
        <f t="shared" si="32"/>
        <v>0</v>
      </c>
      <c r="J130" s="86"/>
      <c r="K130" s="86">
        <f t="shared" si="33"/>
        <v>0</v>
      </c>
      <c r="L130" s="86"/>
      <c r="M130" s="86">
        <f t="shared" si="34"/>
        <v>0</v>
      </c>
      <c r="N130" s="85"/>
      <c r="O130" s="86">
        <f t="shared" si="35"/>
        <v>0</v>
      </c>
      <c r="P130" s="85"/>
      <c r="Q130" s="86">
        <f t="shared" si="36"/>
        <v>0</v>
      </c>
      <c r="R130" s="85"/>
      <c r="S130" s="86">
        <f t="shared" si="37"/>
        <v>0</v>
      </c>
      <c r="T130" s="85"/>
      <c r="U130" s="86">
        <f t="shared" si="21"/>
        <v>0</v>
      </c>
      <c r="V130" s="87"/>
      <c r="W130" s="86">
        <f t="shared" si="22"/>
        <v>0</v>
      </c>
      <c r="X130" s="85"/>
      <c r="Y130" s="86">
        <f t="shared" si="23"/>
        <v>0</v>
      </c>
      <c r="Z130" s="85"/>
      <c r="AA130" s="85">
        <f t="shared" si="24"/>
        <v>0</v>
      </c>
      <c r="AB130" s="88"/>
      <c r="AC130" s="85">
        <f t="shared" si="25"/>
        <v>0</v>
      </c>
      <c r="AD130" s="89"/>
      <c r="AE130" s="85">
        <f t="shared" si="26"/>
        <v>0</v>
      </c>
      <c r="AF130" s="85"/>
      <c r="AG130" s="89">
        <f t="shared" si="27"/>
        <v>0</v>
      </c>
      <c r="AH130" s="89"/>
      <c r="AI130" s="85">
        <f t="shared" si="28"/>
        <v>0</v>
      </c>
      <c r="AJ130" s="89"/>
      <c r="AK130" s="85">
        <f t="shared" si="29"/>
        <v>0</v>
      </c>
      <c r="AL130" s="113">
        <f t="shared" si="19"/>
        <v>0</v>
      </c>
      <c r="AM130" s="23">
        <f t="shared" si="20"/>
        <v>0</v>
      </c>
    </row>
    <row r="131" spans="1:39" s="114" customFormat="1" x14ac:dyDescent="0.5">
      <c r="A131" s="16">
        <v>127</v>
      </c>
      <c r="B131" s="83" t="s">
        <v>46</v>
      </c>
      <c r="C131" s="84" t="s">
        <v>418</v>
      </c>
      <c r="D131" s="85"/>
      <c r="E131" s="85">
        <f t="shared" si="30"/>
        <v>0</v>
      </c>
      <c r="F131" s="86"/>
      <c r="G131" s="85">
        <f t="shared" si="31"/>
        <v>0</v>
      </c>
      <c r="H131" s="86"/>
      <c r="I131" s="85">
        <f t="shared" si="32"/>
        <v>0</v>
      </c>
      <c r="J131" s="86"/>
      <c r="K131" s="86">
        <f t="shared" si="33"/>
        <v>0</v>
      </c>
      <c r="L131" s="86"/>
      <c r="M131" s="86">
        <f t="shared" si="34"/>
        <v>0</v>
      </c>
      <c r="N131" s="85">
        <v>329</v>
      </c>
      <c r="O131" s="86">
        <f t="shared" si="35"/>
        <v>13818</v>
      </c>
      <c r="P131" s="85">
        <v>532</v>
      </c>
      <c r="Q131" s="86">
        <f t="shared" si="36"/>
        <v>20588.400000000001</v>
      </c>
      <c r="R131" s="85">
        <v>687</v>
      </c>
      <c r="S131" s="86">
        <f t="shared" si="37"/>
        <v>23151.9</v>
      </c>
      <c r="T131" s="85"/>
      <c r="U131" s="86">
        <f t="shared" si="21"/>
        <v>0</v>
      </c>
      <c r="V131" s="87"/>
      <c r="W131" s="86">
        <f t="shared" si="22"/>
        <v>0</v>
      </c>
      <c r="X131" s="85"/>
      <c r="Y131" s="86">
        <f t="shared" si="23"/>
        <v>0</v>
      </c>
      <c r="Z131" s="85"/>
      <c r="AA131" s="85">
        <f t="shared" si="24"/>
        <v>0</v>
      </c>
      <c r="AB131" s="88"/>
      <c r="AC131" s="85">
        <f t="shared" si="25"/>
        <v>0</v>
      </c>
      <c r="AD131" s="89"/>
      <c r="AE131" s="85">
        <f t="shared" si="26"/>
        <v>0</v>
      </c>
      <c r="AF131" s="85"/>
      <c r="AG131" s="89">
        <f t="shared" si="27"/>
        <v>0</v>
      </c>
      <c r="AH131" s="89"/>
      <c r="AI131" s="85">
        <f t="shared" si="28"/>
        <v>0</v>
      </c>
      <c r="AJ131" s="89"/>
      <c r="AK131" s="85">
        <f t="shared" si="29"/>
        <v>0</v>
      </c>
      <c r="AL131" s="113">
        <f t="shared" si="19"/>
        <v>1548</v>
      </c>
      <c r="AM131" s="23">
        <f t="shared" si="20"/>
        <v>57558.3</v>
      </c>
    </row>
    <row r="132" spans="1:39" s="114" customFormat="1" x14ac:dyDescent="0.5">
      <c r="A132" s="16">
        <v>128</v>
      </c>
      <c r="B132" s="83" t="s">
        <v>1081</v>
      </c>
      <c r="C132" s="84" t="s">
        <v>985</v>
      </c>
      <c r="D132" s="85"/>
      <c r="E132" s="85">
        <f t="shared" si="30"/>
        <v>0</v>
      </c>
      <c r="F132" s="86"/>
      <c r="G132" s="85">
        <f t="shared" si="31"/>
        <v>0</v>
      </c>
      <c r="H132" s="86"/>
      <c r="I132" s="85">
        <f t="shared" si="32"/>
        <v>0</v>
      </c>
      <c r="J132" s="86"/>
      <c r="K132" s="86">
        <f t="shared" si="33"/>
        <v>0</v>
      </c>
      <c r="L132" s="86">
        <v>413</v>
      </c>
      <c r="M132" s="86">
        <f t="shared" si="34"/>
        <v>15797.25</v>
      </c>
      <c r="N132" s="85">
        <v>466</v>
      </c>
      <c r="O132" s="86">
        <f t="shared" si="35"/>
        <v>19572</v>
      </c>
      <c r="P132" s="85"/>
      <c r="Q132" s="86">
        <f t="shared" si="36"/>
        <v>0</v>
      </c>
      <c r="R132" s="85"/>
      <c r="S132" s="86">
        <f t="shared" si="37"/>
        <v>0</v>
      </c>
      <c r="T132" s="85"/>
      <c r="U132" s="86">
        <f t="shared" si="21"/>
        <v>0</v>
      </c>
      <c r="V132" s="87"/>
      <c r="W132" s="86">
        <f t="shared" si="22"/>
        <v>0</v>
      </c>
      <c r="X132" s="85"/>
      <c r="Y132" s="86">
        <f t="shared" si="23"/>
        <v>0</v>
      </c>
      <c r="Z132" s="85">
        <v>509</v>
      </c>
      <c r="AA132" s="85">
        <f t="shared" si="24"/>
        <v>18349.449999999997</v>
      </c>
      <c r="AB132" s="88">
        <v>552</v>
      </c>
      <c r="AC132" s="85">
        <f t="shared" si="25"/>
        <v>19342.079999999998</v>
      </c>
      <c r="AD132" s="89"/>
      <c r="AE132" s="85">
        <f t="shared" si="26"/>
        <v>0</v>
      </c>
      <c r="AF132" s="85"/>
      <c r="AG132" s="89">
        <f t="shared" si="27"/>
        <v>0</v>
      </c>
      <c r="AH132" s="89"/>
      <c r="AI132" s="85">
        <f t="shared" si="28"/>
        <v>0</v>
      </c>
      <c r="AJ132" s="89"/>
      <c r="AK132" s="85">
        <f t="shared" si="29"/>
        <v>0</v>
      </c>
      <c r="AL132" s="113">
        <f t="shared" si="19"/>
        <v>1940</v>
      </c>
      <c r="AM132" s="23">
        <f t="shared" si="20"/>
        <v>73060.78</v>
      </c>
    </row>
    <row r="133" spans="1:39" s="114" customFormat="1" x14ac:dyDescent="0.5">
      <c r="A133" s="16">
        <v>129</v>
      </c>
      <c r="B133" s="83" t="s">
        <v>1178</v>
      </c>
      <c r="C133" s="84" t="s">
        <v>1179</v>
      </c>
      <c r="D133" s="85">
        <v>375</v>
      </c>
      <c r="E133" s="85">
        <f t="shared" si="30"/>
        <v>11670</v>
      </c>
      <c r="F133" s="86"/>
      <c r="G133" s="85">
        <f t="shared" si="31"/>
        <v>0</v>
      </c>
      <c r="H133" s="86">
        <v>373</v>
      </c>
      <c r="I133" s="85">
        <f t="shared" si="32"/>
        <v>12312.73</v>
      </c>
      <c r="J133" s="86">
        <v>340</v>
      </c>
      <c r="K133" s="86">
        <f t="shared" si="33"/>
        <v>11940.8</v>
      </c>
      <c r="L133" s="86"/>
      <c r="M133" s="86">
        <f t="shared" si="34"/>
        <v>0</v>
      </c>
      <c r="N133" s="85">
        <v>488</v>
      </c>
      <c r="O133" s="86">
        <f t="shared" si="35"/>
        <v>20496</v>
      </c>
      <c r="P133" s="85">
        <v>380</v>
      </c>
      <c r="Q133" s="86">
        <f t="shared" si="36"/>
        <v>14706.000000000002</v>
      </c>
      <c r="R133" s="85"/>
      <c r="S133" s="86">
        <f t="shared" si="37"/>
        <v>0</v>
      </c>
      <c r="T133" s="85">
        <v>416</v>
      </c>
      <c r="U133" s="86">
        <f t="shared" si="21"/>
        <v>13644.8</v>
      </c>
      <c r="V133" s="87">
        <v>357</v>
      </c>
      <c r="W133" s="86">
        <f t="shared" si="22"/>
        <v>12548.55</v>
      </c>
      <c r="X133" s="85">
        <v>442</v>
      </c>
      <c r="Y133" s="86">
        <f t="shared" si="23"/>
        <v>15319.72</v>
      </c>
      <c r="Z133" s="85"/>
      <c r="AA133" s="85">
        <f t="shared" si="24"/>
        <v>0</v>
      </c>
      <c r="AB133" s="88"/>
      <c r="AC133" s="85">
        <f t="shared" si="25"/>
        <v>0</v>
      </c>
      <c r="AD133" s="89"/>
      <c r="AE133" s="85">
        <f t="shared" si="26"/>
        <v>0</v>
      </c>
      <c r="AF133" s="85"/>
      <c r="AG133" s="89">
        <f t="shared" si="27"/>
        <v>0</v>
      </c>
      <c r="AH133" s="89"/>
      <c r="AI133" s="85">
        <f t="shared" si="28"/>
        <v>0</v>
      </c>
      <c r="AJ133" s="89"/>
      <c r="AK133" s="85">
        <f t="shared" si="29"/>
        <v>0</v>
      </c>
      <c r="AL133" s="113">
        <f t="shared" ref="AL133:AL196" si="38">D133+F133+H133+J133+L133+N133+P133+R133+T133+V133+X133+Z133+AB133+AD133+AF133+AH133+AJ133</f>
        <v>3171</v>
      </c>
      <c r="AM133" s="23">
        <f t="shared" ref="AM133:AM196" si="39">E133+G133+I133+K133+M133+O133+Q133+S133+U133+W133+Y133+AA133+AC133+AE133+AG133+AI133+AK133</f>
        <v>112638.6</v>
      </c>
    </row>
    <row r="134" spans="1:39" s="114" customFormat="1" x14ac:dyDescent="0.5">
      <c r="A134" s="16">
        <v>130</v>
      </c>
      <c r="B134" s="83" t="s">
        <v>1180</v>
      </c>
      <c r="C134" s="84" t="s">
        <v>1181</v>
      </c>
      <c r="D134" s="85"/>
      <c r="E134" s="85">
        <f t="shared" si="30"/>
        <v>0</v>
      </c>
      <c r="F134" s="86"/>
      <c r="G134" s="85">
        <f t="shared" si="31"/>
        <v>0</v>
      </c>
      <c r="H134" s="86"/>
      <c r="I134" s="85">
        <f t="shared" si="32"/>
        <v>0</v>
      </c>
      <c r="J134" s="86"/>
      <c r="K134" s="86">
        <f t="shared" si="33"/>
        <v>0</v>
      </c>
      <c r="L134" s="86"/>
      <c r="M134" s="86">
        <f t="shared" si="34"/>
        <v>0</v>
      </c>
      <c r="N134" s="85">
        <v>394</v>
      </c>
      <c r="O134" s="86">
        <f t="shared" si="35"/>
        <v>16548</v>
      </c>
      <c r="P134" s="85"/>
      <c r="Q134" s="86">
        <f t="shared" si="36"/>
        <v>0</v>
      </c>
      <c r="R134" s="85">
        <v>453</v>
      </c>
      <c r="S134" s="86">
        <f t="shared" si="37"/>
        <v>15266.100000000002</v>
      </c>
      <c r="T134" s="85">
        <v>502</v>
      </c>
      <c r="U134" s="86">
        <f t="shared" si="21"/>
        <v>16465.599999999999</v>
      </c>
      <c r="V134" s="87">
        <v>618</v>
      </c>
      <c r="W134" s="86">
        <f t="shared" si="22"/>
        <v>21722.7</v>
      </c>
      <c r="X134" s="85"/>
      <c r="Y134" s="86">
        <f t="shared" si="23"/>
        <v>0</v>
      </c>
      <c r="Z134" s="85">
        <v>480</v>
      </c>
      <c r="AA134" s="85">
        <f t="shared" si="24"/>
        <v>17304</v>
      </c>
      <c r="AB134" s="88">
        <v>519</v>
      </c>
      <c r="AC134" s="85">
        <f t="shared" si="25"/>
        <v>18185.759999999998</v>
      </c>
      <c r="AD134" s="89"/>
      <c r="AE134" s="85">
        <f t="shared" si="26"/>
        <v>0</v>
      </c>
      <c r="AF134" s="85"/>
      <c r="AG134" s="89">
        <f t="shared" si="27"/>
        <v>0</v>
      </c>
      <c r="AH134" s="89"/>
      <c r="AI134" s="85">
        <f t="shared" si="28"/>
        <v>0</v>
      </c>
      <c r="AJ134" s="89"/>
      <c r="AK134" s="85">
        <f t="shared" si="29"/>
        <v>0</v>
      </c>
      <c r="AL134" s="113">
        <f t="shared" si="38"/>
        <v>2966</v>
      </c>
      <c r="AM134" s="23">
        <f t="shared" si="39"/>
        <v>105492.15999999999</v>
      </c>
    </row>
    <row r="135" spans="1:39" s="114" customFormat="1" x14ac:dyDescent="0.5">
      <c r="A135" s="16">
        <v>131</v>
      </c>
      <c r="B135" s="83" t="s">
        <v>1182</v>
      </c>
      <c r="C135" s="84" t="s">
        <v>1183</v>
      </c>
      <c r="D135" s="85"/>
      <c r="E135" s="85">
        <f t="shared" si="30"/>
        <v>0</v>
      </c>
      <c r="F135" s="86">
        <v>385</v>
      </c>
      <c r="G135" s="85">
        <f t="shared" si="31"/>
        <v>12477.849999999999</v>
      </c>
      <c r="H135" s="86">
        <v>389</v>
      </c>
      <c r="I135" s="85">
        <f t="shared" si="32"/>
        <v>12840.89</v>
      </c>
      <c r="J135" s="86"/>
      <c r="K135" s="86">
        <f t="shared" si="33"/>
        <v>0</v>
      </c>
      <c r="L135" s="86"/>
      <c r="M135" s="86">
        <f t="shared" si="34"/>
        <v>0</v>
      </c>
      <c r="N135" s="85">
        <v>244</v>
      </c>
      <c r="O135" s="86">
        <f t="shared" si="35"/>
        <v>10248</v>
      </c>
      <c r="P135" s="85">
        <v>246</v>
      </c>
      <c r="Q135" s="86">
        <f t="shared" si="36"/>
        <v>9520.2000000000007</v>
      </c>
      <c r="R135" s="85"/>
      <c r="S135" s="86">
        <f t="shared" si="37"/>
        <v>0</v>
      </c>
      <c r="T135" s="85">
        <v>304</v>
      </c>
      <c r="U135" s="86">
        <f t="shared" ref="U135:U200" si="40">T135*32.8</f>
        <v>9971.1999999999989</v>
      </c>
      <c r="V135" s="87"/>
      <c r="W135" s="86">
        <f t="shared" ref="W135:W200" si="41">V135*35.15</f>
        <v>0</v>
      </c>
      <c r="X135" s="85">
        <v>391</v>
      </c>
      <c r="Y135" s="86">
        <f t="shared" ref="Y135:Y200" si="42">X135*34.66</f>
        <v>13552.06</v>
      </c>
      <c r="Z135" s="85"/>
      <c r="AA135" s="85">
        <f t="shared" ref="AA135:AA200" si="43">Z135*36.05</f>
        <v>0</v>
      </c>
      <c r="AB135" s="88"/>
      <c r="AC135" s="85">
        <f t="shared" ref="AC135:AC200" si="44">AB135*35.04</f>
        <v>0</v>
      </c>
      <c r="AD135" s="89"/>
      <c r="AE135" s="85">
        <f t="shared" ref="AE135:AE200" si="45">AD135*34.18</f>
        <v>0</v>
      </c>
      <c r="AF135" s="85"/>
      <c r="AG135" s="89">
        <f t="shared" ref="AG135:AG200" si="46">AF135*33.3</f>
        <v>0</v>
      </c>
      <c r="AH135" s="89"/>
      <c r="AI135" s="85">
        <f t="shared" ref="AI135:AI200" si="47">AH135*35.95</f>
        <v>0</v>
      </c>
      <c r="AJ135" s="89"/>
      <c r="AK135" s="85">
        <f t="shared" ref="AK135:AK200" si="48">AJ135*36.67</f>
        <v>0</v>
      </c>
      <c r="AL135" s="113">
        <f t="shared" si="38"/>
        <v>1959</v>
      </c>
      <c r="AM135" s="23">
        <f t="shared" si="39"/>
        <v>68610.2</v>
      </c>
    </row>
    <row r="136" spans="1:39" s="114" customFormat="1" x14ac:dyDescent="0.5">
      <c r="A136" s="16">
        <v>132</v>
      </c>
      <c r="B136" s="83" t="s">
        <v>1184</v>
      </c>
      <c r="C136" s="84" t="s">
        <v>1185</v>
      </c>
      <c r="D136" s="85"/>
      <c r="E136" s="85">
        <f t="shared" ref="E136:E201" si="49">D136*31.12</f>
        <v>0</v>
      </c>
      <c r="F136" s="86"/>
      <c r="G136" s="85">
        <f t="shared" ref="G136:G201" si="50">F136*32.41</f>
        <v>0</v>
      </c>
      <c r="H136" s="86"/>
      <c r="I136" s="85">
        <f t="shared" ref="I136:I201" si="51">H136*33.01</f>
        <v>0</v>
      </c>
      <c r="J136" s="86"/>
      <c r="K136" s="86">
        <f t="shared" ref="K136:K201" si="52">J136*35.12</f>
        <v>0</v>
      </c>
      <c r="L136" s="86"/>
      <c r="M136" s="86">
        <f t="shared" ref="M136:M201" si="53">L136*38.25</f>
        <v>0</v>
      </c>
      <c r="N136" s="85"/>
      <c r="O136" s="86">
        <f t="shared" ref="O136:O201" si="54">N136*42</f>
        <v>0</v>
      </c>
      <c r="P136" s="85"/>
      <c r="Q136" s="86">
        <f t="shared" ref="Q136:Q201" si="55">P136*38.7</f>
        <v>0</v>
      </c>
      <c r="R136" s="85"/>
      <c r="S136" s="86">
        <f t="shared" ref="S136:S201" si="56">R136*33.7</f>
        <v>0</v>
      </c>
      <c r="T136" s="85"/>
      <c r="U136" s="86">
        <f t="shared" si="40"/>
        <v>0</v>
      </c>
      <c r="V136" s="87"/>
      <c r="W136" s="86">
        <f t="shared" si="41"/>
        <v>0</v>
      </c>
      <c r="X136" s="85"/>
      <c r="Y136" s="86">
        <f t="shared" si="42"/>
        <v>0</v>
      </c>
      <c r="Z136" s="85"/>
      <c r="AA136" s="85">
        <f t="shared" si="43"/>
        <v>0</v>
      </c>
      <c r="AB136" s="88"/>
      <c r="AC136" s="85">
        <f t="shared" si="44"/>
        <v>0</v>
      </c>
      <c r="AD136" s="89"/>
      <c r="AE136" s="85">
        <f t="shared" si="45"/>
        <v>0</v>
      </c>
      <c r="AF136" s="85"/>
      <c r="AG136" s="89">
        <f t="shared" si="46"/>
        <v>0</v>
      </c>
      <c r="AH136" s="89"/>
      <c r="AI136" s="85">
        <f t="shared" si="47"/>
        <v>0</v>
      </c>
      <c r="AJ136" s="89"/>
      <c r="AK136" s="85">
        <f t="shared" si="48"/>
        <v>0</v>
      </c>
      <c r="AL136" s="113">
        <f t="shared" si="38"/>
        <v>0</v>
      </c>
      <c r="AM136" s="23">
        <f t="shared" si="39"/>
        <v>0</v>
      </c>
    </row>
    <row r="137" spans="1:39" s="114" customFormat="1" x14ac:dyDescent="0.5">
      <c r="A137" s="16">
        <v>133</v>
      </c>
      <c r="B137" s="83" t="s">
        <v>1186</v>
      </c>
      <c r="C137" s="84" t="s">
        <v>195</v>
      </c>
      <c r="D137" s="85">
        <v>493</v>
      </c>
      <c r="E137" s="85">
        <f t="shared" si="49"/>
        <v>15342.16</v>
      </c>
      <c r="F137" s="86">
        <v>685</v>
      </c>
      <c r="G137" s="85">
        <f t="shared" si="50"/>
        <v>22200.85</v>
      </c>
      <c r="H137" s="86">
        <v>619</v>
      </c>
      <c r="I137" s="85">
        <f t="shared" si="51"/>
        <v>20433.189999999999</v>
      </c>
      <c r="J137" s="86">
        <v>386</v>
      </c>
      <c r="K137" s="86">
        <f t="shared" si="52"/>
        <v>13556.32</v>
      </c>
      <c r="L137" s="86">
        <v>419</v>
      </c>
      <c r="M137" s="86">
        <f t="shared" si="53"/>
        <v>16026.75</v>
      </c>
      <c r="N137" s="85">
        <v>721</v>
      </c>
      <c r="O137" s="86">
        <f t="shared" si="54"/>
        <v>30282</v>
      </c>
      <c r="P137" s="85">
        <v>673</v>
      </c>
      <c r="Q137" s="86">
        <f t="shared" si="55"/>
        <v>26045.100000000002</v>
      </c>
      <c r="R137" s="85">
        <v>761</v>
      </c>
      <c r="S137" s="86">
        <f t="shared" si="56"/>
        <v>25645.7</v>
      </c>
      <c r="T137" s="85">
        <v>694</v>
      </c>
      <c r="U137" s="86">
        <f t="shared" si="40"/>
        <v>22763.199999999997</v>
      </c>
      <c r="V137" s="87">
        <v>828</v>
      </c>
      <c r="W137" s="86">
        <f t="shared" si="41"/>
        <v>29104.199999999997</v>
      </c>
      <c r="X137" s="85">
        <v>753</v>
      </c>
      <c r="Y137" s="86">
        <f t="shared" si="42"/>
        <v>26098.979999999996</v>
      </c>
      <c r="Z137" s="85"/>
      <c r="AA137" s="85">
        <f t="shared" si="43"/>
        <v>0</v>
      </c>
      <c r="AB137" s="88">
        <v>756</v>
      </c>
      <c r="AC137" s="85">
        <f t="shared" si="44"/>
        <v>26490.239999999998</v>
      </c>
      <c r="AD137" s="89"/>
      <c r="AE137" s="85">
        <f t="shared" si="45"/>
        <v>0</v>
      </c>
      <c r="AF137" s="85"/>
      <c r="AG137" s="89">
        <f t="shared" si="46"/>
        <v>0</v>
      </c>
      <c r="AH137" s="89"/>
      <c r="AI137" s="85">
        <f t="shared" si="47"/>
        <v>0</v>
      </c>
      <c r="AJ137" s="89"/>
      <c r="AK137" s="85">
        <f t="shared" si="48"/>
        <v>0</v>
      </c>
      <c r="AL137" s="113">
        <f t="shared" si="38"/>
        <v>7788</v>
      </c>
      <c r="AM137" s="23">
        <f t="shared" si="39"/>
        <v>273988.69</v>
      </c>
    </row>
    <row r="138" spans="1:39" s="114" customFormat="1" x14ac:dyDescent="0.5">
      <c r="A138" s="16">
        <v>134</v>
      </c>
      <c r="B138" s="83" t="s">
        <v>746</v>
      </c>
      <c r="C138" s="84" t="s">
        <v>1187</v>
      </c>
      <c r="D138" s="85">
        <v>228</v>
      </c>
      <c r="E138" s="85">
        <f t="shared" si="49"/>
        <v>7095.3600000000006</v>
      </c>
      <c r="F138" s="86"/>
      <c r="G138" s="85">
        <f t="shared" si="50"/>
        <v>0</v>
      </c>
      <c r="H138" s="86"/>
      <c r="I138" s="85">
        <f t="shared" si="51"/>
        <v>0</v>
      </c>
      <c r="J138" s="86"/>
      <c r="K138" s="86">
        <f t="shared" si="52"/>
        <v>0</v>
      </c>
      <c r="L138" s="86"/>
      <c r="M138" s="86">
        <f t="shared" si="53"/>
        <v>0</v>
      </c>
      <c r="N138" s="85"/>
      <c r="O138" s="86">
        <f t="shared" si="54"/>
        <v>0</v>
      </c>
      <c r="P138" s="85">
        <v>340</v>
      </c>
      <c r="Q138" s="86">
        <f t="shared" si="55"/>
        <v>13158.000000000002</v>
      </c>
      <c r="R138" s="85"/>
      <c r="S138" s="86">
        <f t="shared" si="56"/>
        <v>0</v>
      </c>
      <c r="T138" s="85"/>
      <c r="U138" s="86">
        <f t="shared" si="40"/>
        <v>0</v>
      </c>
      <c r="V138" s="87"/>
      <c r="W138" s="86">
        <f t="shared" si="41"/>
        <v>0</v>
      </c>
      <c r="X138" s="85"/>
      <c r="Y138" s="86">
        <f t="shared" si="42"/>
        <v>0</v>
      </c>
      <c r="Z138" s="85"/>
      <c r="AA138" s="85">
        <f t="shared" si="43"/>
        <v>0</v>
      </c>
      <c r="AB138" s="88"/>
      <c r="AC138" s="85">
        <f t="shared" si="44"/>
        <v>0</v>
      </c>
      <c r="AD138" s="89"/>
      <c r="AE138" s="85">
        <f t="shared" si="45"/>
        <v>0</v>
      </c>
      <c r="AF138" s="85"/>
      <c r="AG138" s="89">
        <f t="shared" si="46"/>
        <v>0</v>
      </c>
      <c r="AH138" s="89"/>
      <c r="AI138" s="85">
        <f t="shared" si="47"/>
        <v>0</v>
      </c>
      <c r="AJ138" s="89"/>
      <c r="AK138" s="85">
        <f t="shared" si="48"/>
        <v>0</v>
      </c>
      <c r="AL138" s="113">
        <f t="shared" si="38"/>
        <v>568</v>
      </c>
      <c r="AM138" s="23">
        <f t="shared" si="39"/>
        <v>20253.36</v>
      </c>
    </row>
    <row r="139" spans="1:39" x14ac:dyDescent="0.5">
      <c r="A139" s="16">
        <v>135</v>
      </c>
      <c r="B139" s="83" t="s">
        <v>467</v>
      </c>
      <c r="C139" s="84" t="s">
        <v>1188</v>
      </c>
      <c r="D139" s="85"/>
      <c r="E139" s="85">
        <f t="shared" si="49"/>
        <v>0</v>
      </c>
      <c r="F139" s="86"/>
      <c r="G139" s="85">
        <f t="shared" si="50"/>
        <v>0</v>
      </c>
      <c r="H139" s="86"/>
      <c r="I139" s="85">
        <f t="shared" si="51"/>
        <v>0</v>
      </c>
      <c r="J139" s="86"/>
      <c r="K139" s="86">
        <f t="shared" si="52"/>
        <v>0</v>
      </c>
      <c r="L139" s="86"/>
      <c r="M139" s="86">
        <f t="shared" si="53"/>
        <v>0</v>
      </c>
      <c r="N139" s="85"/>
      <c r="O139" s="86">
        <f t="shared" si="54"/>
        <v>0</v>
      </c>
      <c r="P139" s="85"/>
      <c r="Q139" s="86">
        <f t="shared" si="55"/>
        <v>0</v>
      </c>
      <c r="R139" s="85"/>
      <c r="S139" s="86">
        <f t="shared" si="56"/>
        <v>0</v>
      </c>
      <c r="T139" s="85"/>
      <c r="U139" s="86">
        <f t="shared" si="40"/>
        <v>0</v>
      </c>
      <c r="V139" s="87"/>
      <c r="W139" s="86">
        <f t="shared" si="41"/>
        <v>0</v>
      </c>
      <c r="X139" s="85"/>
      <c r="Y139" s="86">
        <f t="shared" si="42"/>
        <v>0</v>
      </c>
      <c r="Z139" s="85">
        <v>384</v>
      </c>
      <c r="AA139" s="85">
        <f t="shared" si="43"/>
        <v>13843.199999999999</v>
      </c>
      <c r="AB139" s="88"/>
      <c r="AC139" s="85">
        <f t="shared" si="44"/>
        <v>0</v>
      </c>
      <c r="AD139" s="89">
        <v>419</v>
      </c>
      <c r="AE139" s="85">
        <f t="shared" si="45"/>
        <v>14321.42</v>
      </c>
      <c r="AF139" s="85"/>
      <c r="AG139" s="89">
        <f t="shared" si="46"/>
        <v>0</v>
      </c>
      <c r="AH139" s="89">
        <v>539</v>
      </c>
      <c r="AI139" s="85">
        <f t="shared" si="47"/>
        <v>19377.050000000003</v>
      </c>
      <c r="AJ139" s="89"/>
      <c r="AK139" s="85">
        <f t="shared" si="48"/>
        <v>0</v>
      </c>
      <c r="AL139" s="113">
        <f t="shared" si="38"/>
        <v>1342</v>
      </c>
      <c r="AM139" s="23">
        <f t="shared" si="39"/>
        <v>47541.67</v>
      </c>
    </row>
    <row r="140" spans="1:39" x14ac:dyDescent="0.5">
      <c r="A140" s="16">
        <v>136</v>
      </c>
      <c r="B140" s="83" t="s">
        <v>1189</v>
      </c>
      <c r="C140" s="84" t="s">
        <v>1190</v>
      </c>
      <c r="D140" s="85"/>
      <c r="E140" s="85">
        <f t="shared" si="49"/>
        <v>0</v>
      </c>
      <c r="F140" s="86"/>
      <c r="G140" s="85">
        <f t="shared" si="50"/>
        <v>0</v>
      </c>
      <c r="H140" s="86"/>
      <c r="I140" s="85">
        <f t="shared" si="51"/>
        <v>0</v>
      </c>
      <c r="J140" s="86"/>
      <c r="K140" s="86">
        <f t="shared" si="52"/>
        <v>0</v>
      </c>
      <c r="L140" s="86"/>
      <c r="M140" s="86">
        <f t="shared" si="53"/>
        <v>0</v>
      </c>
      <c r="N140" s="85"/>
      <c r="O140" s="86">
        <f t="shared" si="54"/>
        <v>0</v>
      </c>
      <c r="P140" s="85"/>
      <c r="Q140" s="86">
        <f t="shared" si="55"/>
        <v>0</v>
      </c>
      <c r="R140" s="85"/>
      <c r="S140" s="86">
        <f t="shared" si="56"/>
        <v>0</v>
      </c>
      <c r="T140" s="85"/>
      <c r="U140" s="86">
        <f t="shared" si="40"/>
        <v>0</v>
      </c>
      <c r="V140" s="87"/>
      <c r="W140" s="86">
        <f t="shared" si="41"/>
        <v>0</v>
      </c>
      <c r="X140" s="85"/>
      <c r="Y140" s="86">
        <f t="shared" si="42"/>
        <v>0</v>
      </c>
      <c r="Z140" s="85"/>
      <c r="AA140" s="85">
        <f t="shared" si="43"/>
        <v>0</v>
      </c>
      <c r="AB140" s="88"/>
      <c r="AC140" s="85">
        <f t="shared" si="44"/>
        <v>0</v>
      </c>
      <c r="AD140" s="89"/>
      <c r="AE140" s="85">
        <f t="shared" si="45"/>
        <v>0</v>
      </c>
      <c r="AF140" s="85">
        <v>354</v>
      </c>
      <c r="AG140" s="89">
        <f t="shared" si="46"/>
        <v>11788.199999999999</v>
      </c>
      <c r="AH140" s="89">
        <v>342</v>
      </c>
      <c r="AI140" s="85">
        <f t="shared" si="47"/>
        <v>12294.900000000001</v>
      </c>
      <c r="AJ140" s="89">
        <v>371</v>
      </c>
      <c r="AK140" s="85">
        <f t="shared" si="48"/>
        <v>13604.570000000002</v>
      </c>
      <c r="AL140" s="113">
        <f t="shared" si="38"/>
        <v>1067</v>
      </c>
      <c r="AM140" s="23">
        <f t="shared" si="39"/>
        <v>37687.67</v>
      </c>
    </row>
    <row r="141" spans="1:39" x14ac:dyDescent="0.5">
      <c r="A141" s="16">
        <v>137</v>
      </c>
      <c r="B141" s="83" t="s">
        <v>1191</v>
      </c>
      <c r="C141" s="84" t="s">
        <v>1192</v>
      </c>
      <c r="D141" s="85">
        <v>507</v>
      </c>
      <c r="E141" s="85">
        <f t="shared" si="49"/>
        <v>15777.84</v>
      </c>
      <c r="F141" s="86">
        <v>242</v>
      </c>
      <c r="G141" s="85">
        <f t="shared" si="50"/>
        <v>7843.2199999999993</v>
      </c>
      <c r="H141" s="86">
        <v>187</v>
      </c>
      <c r="I141" s="85">
        <f t="shared" si="51"/>
        <v>6172.87</v>
      </c>
      <c r="J141" s="86"/>
      <c r="K141" s="86">
        <f t="shared" si="52"/>
        <v>0</v>
      </c>
      <c r="L141" s="86">
        <v>134</v>
      </c>
      <c r="M141" s="86">
        <f t="shared" si="53"/>
        <v>5125.5</v>
      </c>
      <c r="N141" s="85">
        <v>297</v>
      </c>
      <c r="O141" s="86">
        <f t="shared" si="54"/>
        <v>12474</v>
      </c>
      <c r="P141" s="85">
        <v>158</v>
      </c>
      <c r="Q141" s="86">
        <f t="shared" si="55"/>
        <v>6114.6</v>
      </c>
      <c r="R141" s="85">
        <v>445</v>
      </c>
      <c r="S141" s="86">
        <f t="shared" si="56"/>
        <v>14996.500000000002</v>
      </c>
      <c r="T141" s="85">
        <v>266</v>
      </c>
      <c r="U141" s="86">
        <f t="shared" si="40"/>
        <v>8724.7999999999993</v>
      </c>
      <c r="V141" s="87">
        <v>350</v>
      </c>
      <c r="W141" s="86">
        <f t="shared" si="41"/>
        <v>12302.5</v>
      </c>
      <c r="X141" s="85">
        <v>415</v>
      </c>
      <c r="Y141" s="86">
        <f t="shared" si="42"/>
        <v>14383.899999999998</v>
      </c>
      <c r="Z141" s="85">
        <v>316</v>
      </c>
      <c r="AA141" s="85">
        <f t="shared" si="43"/>
        <v>11391.8</v>
      </c>
      <c r="AB141" s="88">
        <v>428</v>
      </c>
      <c r="AC141" s="85">
        <f t="shared" si="44"/>
        <v>14997.119999999999</v>
      </c>
      <c r="AD141" s="89">
        <v>414</v>
      </c>
      <c r="AE141" s="85">
        <f t="shared" si="45"/>
        <v>14150.52</v>
      </c>
      <c r="AF141" s="85"/>
      <c r="AG141" s="89">
        <f t="shared" si="46"/>
        <v>0</v>
      </c>
      <c r="AH141" s="89">
        <v>534</v>
      </c>
      <c r="AI141" s="85">
        <f t="shared" si="47"/>
        <v>19197.300000000003</v>
      </c>
      <c r="AJ141" s="89">
        <v>231</v>
      </c>
      <c r="AK141" s="85">
        <f t="shared" si="48"/>
        <v>8470.77</v>
      </c>
      <c r="AL141" s="113">
        <f t="shared" si="38"/>
        <v>4924</v>
      </c>
      <c r="AM141" s="23">
        <f t="shared" si="39"/>
        <v>172123.23999999996</v>
      </c>
    </row>
    <row r="142" spans="1:39" x14ac:dyDescent="0.5">
      <c r="A142" s="16">
        <v>138</v>
      </c>
      <c r="B142" s="83" t="s">
        <v>1193</v>
      </c>
      <c r="C142" s="84" t="s">
        <v>1194</v>
      </c>
      <c r="D142" s="85">
        <v>770</v>
      </c>
      <c r="E142" s="85">
        <f t="shared" si="49"/>
        <v>23962.400000000001</v>
      </c>
      <c r="F142" s="86">
        <v>736</v>
      </c>
      <c r="G142" s="85">
        <f t="shared" si="50"/>
        <v>23853.759999999998</v>
      </c>
      <c r="H142" s="86">
        <v>865</v>
      </c>
      <c r="I142" s="85">
        <f t="shared" si="51"/>
        <v>28553.649999999998</v>
      </c>
      <c r="J142" s="86">
        <v>494</v>
      </c>
      <c r="K142" s="86">
        <f t="shared" si="52"/>
        <v>17349.28</v>
      </c>
      <c r="L142" s="86">
        <v>778</v>
      </c>
      <c r="M142" s="86">
        <f t="shared" si="53"/>
        <v>29758.5</v>
      </c>
      <c r="N142" s="85">
        <v>563</v>
      </c>
      <c r="O142" s="86">
        <f t="shared" si="54"/>
        <v>23646</v>
      </c>
      <c r="P142" s="85">
        <v>708</v>
      </c>
      <c r="Q142" s="86">
        <f t="shared" si="55"/>
        <v>27399.600000000002</v>
      </c>
      <c r="R142" s="85">
        <v>833</v>
      </c>
      <c r="S142" s="86">
        <f t="shared" si="56"/>
        <v>28072.100000000002</v>
      </c>
      <c r="T142" s="85">
        <v>819</v>
      </c>
      <c r="U142" s="86">
        <f t="shared" si="40"/>
        <v>26863.199999999997</v>
      </c>
      <c r="V142" s="87">
        <v>978</v>
      </c>
      <c r="W142" s="86">
        <f t="shared" si="41"/>
        <v>34376.699999999997</v>
      </c>
      <c r="X142" s="85">
        <v>800</v>
      </c>
      <c r="Y142" s="86">
        <f t="shared" si="42"/>
        <v>27727.999999999996</v>
      </c>
      <c r="Z142" s="85">
        <v>236</v>
      </c>
      <c r="AA142" s="85">
        <f t="shared" si="43"/>
        <v>8507.7999999999993</v>
      </c>
      <c r="AB142" s="88">
        <v>892</v>
      </c>
      <c r="AC142" s="85">
        <f t="shared" si="44"/>
        <v>31255.68</v>
      </c>
      <c r="AD142" s="89">
        <v>908</v>
      </c>
      <c r="AE142" s="85">
        <f t="shared" si="45"/>
        <v>31035.439999999999</v>
      </c>
      <c r="AF142" s="85">
        <v>855</v>
      </c>
      <c r="AG142" s="89">
        <f t="shared" si="46"/>
        <v>28471.499999999996</v>
      </c>
      <c r="AH142" s="89">
        <v>710</v>
      </c>
      <c r="AI142" s="85">
        <f t="shared" si="47"/>
        <v>25524.500000000004</v>
      </c>
      <c r="AJ142" s="89">
        <v>955</v>
      </c>
      <c r="AK142" s="85">
        <f t="shared" si="48"/>
        <v>35019.85</v>
      </c>
      <c r="AL142" s="113">
        <f t="shared" si="38"/>
        <v>12900</v>
      </c>
      <c r="AM142" s="23">
        <f t="shared" si="39"/>
        <v>451377.95999999996</v>
      </c>
    </row>
    <row r="143" spans="1:39" s="114" customFormat="1" x14ac:dyDescent="0.5">
      <c r="A143" s="16">
        <v>139</v>
      </c>
      <c r="B143" s="83" t="s">
        <v>467</v>
      </c>
      <c r="C143" s="84" t="s">
        <v>1168</v>
      </c>
      <c r="D143" s="85"/>
      <c r="E143" s="85">
        <f t="shared" si="49"/>
        <v>0</v>
      </c>
      <c r="F143" s="86"/>
      <c r="G143" s="85">
        <f t="shared" si="50"/>
        <v>0</v>
      </c>
      <c r="H143" s="86"/>
      <c r="I143" s="85">
        <f t="shared" si="51"/>
        <v>0</v>
      </c>
      <c r="J143" s="86"/>
      <c r="K143" s="86">
        <f t="shared" si="52"/>
        <v>0</v>
      </c>
      <c r="L143" s="86"/>
      <c r="M143" s="86">
        <f t="shared" si="53"/>
        <v>0</v>
      </c>
      <c r="N143" s="85"/>
      <c r="O143" s="86">
        <f t="shared" si="54"/>
        <v>0</v>
      </c>
      <c r="P143" s="85">
        <v>762</v>
      </c>
      <c r="Q143" s="86">
        <f t="shared" si="55"/>
        <v>29489.4</v>
      </c>
      <c r="R143" s="85">
        <v>812</v>
      </c>
      <c r="S143" s="86">
        <f t="shared" si="56"/>
        <v>27364.400000000001</v>
      </c>
      <c r="T143" s="85"/>
      <c r="U143" s="86">
        <f t="shared" si="40"/>
        <v>0</v>
      </c>
      <c r="V143" s="87"/>
      <c r="W143" s="86">
        <f t="shared" si="41"/>
        <v>0</v>
      </c>
      <c r="X143" s="85"/>
      <c r="Y143" s="86">
        <f t="shared" si="42"/>
        <v>0</v>
      </c>
      <c r="Z143" s="85"/>
      <c r="AA143" s="85">
        <f t="shared" si="43"/>
        <v>0</v>
      </c>
      <c r="AB143" s="88"/>
      <c r="AC143" s="85">
        <f t="shared" si="44"/>
        <v>0</v>
      </c>
      <c r="AD143" s="89"/>
      <c r="AE143" s="85">
        <f t="shared" si="45"/>
        <v>0</v>
      </c>
      <c r="AF143" s="85"/>
      <c r="AG143" s="89">
        <f t="shared" si="46"/>
        <v>0</v>
      </c>
      <c r="AH143" s="89"/>
      <c r="AI143" s="85">
        <f t="shared" si="47"/>
        <v>0</v>
      </c>
      <c r="AJ143" s="89"/>
      <c r="AK143" s="85">
        <f t="shared" si="48"/>
        <v>0</v>
      </c>
      <c r="AL143" s="113">
        <f t="shared" si="38"/>
        <v>1574</v>
      </c>
      <c r="AM143" s="23">
        <f t="shared" si="39"/>
        <v>56853.8</v>
      </c>
    </row>
    <row r="144" spans="1:39" s="114" customFormat="1" x14ac:dyDescent="0.5">
      <c r="A144" s="16">
        <v>140</v>
      </c>
      <c r="B144" s="83" t="s">
        <v>1195</v>
      </c>
      <c r="C144" s="84" t="s">
        <v>1196</v>
      </c>
      <c r="D144" s="85"/>
      <c r="E144" s="85">
        <f t="shared" si="49"/>
        <v>0</v>
      </c>
      <c r="F144" s="86"/>
      <c r="G144" s="85">
        <f t="shared" si="50"/>
        <v>0</v>
      </c>
      <c r="H144" s="86"/>
      <c r="I144" s="85">
        <f t="shared" si="51"/>
        <v>0</v>
      </c>
      <c r="J144" s="86"/>
      <c r="K144" s="86">
        <f t="shared" si="52"/>
        <v>0</v>
      </c>
      <c r="L144" s="86"/>
      <c r="M144" s="86">
        <f t="shared" si="53"/>
        <v>0</v>
      </c>
      <c r="N144" s="85">
        <v>729</v>
      </c>
      <c r="O144" s="86">
        <f t="shared" si="54"/>
        <v>30618</v>
      </c>
      <c r="P144" s="85"/>
      <c r="Q144" s="86">
        <f t="shared" si="55"/>
        <v>0</v>
      </c>
      <c r="R144" s="85"/>
      <c r="S144" s="86">
        <f t="shared" si="56"/>
        <v>0</v>
      </c>
      <c r="T144" s="85"/>
      <c r="U144" s="86">
        <f t="shared" si="40"/>
        <v>0</v>
      </c>
      <c r="V144" s="87"/>
      <c r="W144" s="86">
        <f t="shared" si="41"/>
        <v>0</v>
      </c>
      <c r="X144" s="85"/>
      <c r="Y144" s="86">
        <f t="shared" si="42"/>
        <v>0</v>
      </c>
      <c r="Z144" s="85"/>
      <c r="AA144" s="85">
        <f t="shared" si="43"/>
        <v>0</v>
      </c>
      <c r="AB144" s="88"/>
      <c r="AC144" s="85">
        <f t="shared" si="44"/>
        <v>0</v>
      </c>
      <c r="AD144" s="89"/>
      <c r="AE144" s="85">
        <f t="shared" si="45"/>
        <v>0</v>
      </c>
      <c r="AF144" s="85"/>
      <c r="AG144" s="89">
        <f t="shared" si="46"/>
        <v>0</v>
      </c>
      <c r="AH144" s="89"/>
      <c r="AI144" s="85">
        <f t="shared" si="47"/>
        <v>0</v>
      </c>
      <c r="AJ144" s="89"/>
      <c r="AK144" s="85">
        <f t="shared" si="48"/>
        <v>0</v>
      </c>
      <c r="AL144" s="113">
        <f t="shared" si="38"/>
        <v>729</v>
      </c>
      <c r="AM144" s="23">
        <f t="shared" si="39"/>
        <v>30618</v>
      </c>
    </row>
    <row r="145" spans="1:39" s="114" customFormat="1" x14ac:dyDescent="0.5">
      <c r="A145" s="16">
        <v>141</v>
      </c>
      <c r="B145" s="83" t="s">
        <v>585</v>
      </c>
      <c r="C145" s="84" t="s">
        <v>1197</v>
      </c>
      <c r="D145" s="85">
        <v>577</v>
      </c>
      <c r="E145" s="85">
        <f t="shared" si="49"/>
        <v>17956.240000000002</v>
      </c>
      <c r="F145" s="86">
        <v>421</v>
      </c>
      <c r="G145" s="85">
        <f t="shared" si="50"/>
        <v>13644.609999999999</v>
      </c>
      <c r="H145" s="86">
        <v>331</v>
      </c>
      <c r="I145" s="85">
        <f t="shared" si="51"/>
        <v>10926.31</v>
      </c>
      <c r="J145" s="86">
        <v>330</v>
      </c>
      <c r="K145" s="86">
        <f t="shared" si="52"/>
        <v>11589.599999999999</v>
      </c>
      <c r="L145" s="86">
        <v>204</v>
      </c>
      <c r="M145" s="86">
        <f t="shared" si="53"/>
        <v>7803</v>
      </c>
      <c r="N145" s="85">
        <v>258</v>
      </c>
      <c r="O145" s="86">
        <f t="shared" si="54"/>
        <v>10836</v>
      </c>
      <c r="P145" s="85"/>
      <c r="Q145" s="86">
        <f t="shared" si="55"/>
        <v>0</v>
      </c>
      <c r="R145" s="85"/>
      <c r="S145" s="86">
        <f t="shared" si="56"/>
        <v>0</v>
      </c>
      <c r="T145" s="85">
        <v>372</v>
      </c>
      <c r="U145" s="86">
        <f t="shared" si="40"/>
        <v>12201.599999999999</v>
      </c>
      <c r="V145" s="87">
        <v>426</v>
      </c>
      <c r="W145" s="86">
        <f t="shared" si="41"/>
        <v>14973.9</v>
      </c>
      <c r="X145" s="85">
        <v>434</v>
      </c>
      <c r="Y145" s="86">
        <f t="shared" si="42"/>
        <v>15042.439999999999</v>
      </c>
      <c r="Z145" s="85"/>
      <c r="AA145" s="85">
        <f t="shared" si="43"/>
        <v>0</v>
      </c>
      <c r="AB145" s="88"/>
      <c r="AC145" s="85">
        <f t="shared" si="44"/>
        <v>0</v>
      </c>
      <c r="AD145" s="89"/>
      <c r="AE145" s="85">
        <f t="shared" si="45"/>
        <v>0</v>
      </c>
      <c r="AF145" s="85"/>
      <c r="AG145" s="89">
        <f t="shared" si="46"/>
        <v>0</v>
      </c>
      <c r="AH145" s="89"/>
      <c r="AI145" s="85">
        <f t="shared" si="47"/>
        <v>0</v>
      </c>
      <c r="AJ145" s="89"/>
      <c r="AK145" s="85">
        <f t="shared" si="48"/>
        <v>0</v>
      </c>
      <c r="AL145" s="113">
        <f t="shared" si="38"/>
        <v>3353</v>
      </c>
      <c r="AM145" s="23">
        <f t="shared" si="39"/>
        <v>114973.69999999998</v>
      </c>
    </row>
    <row r="146" spans="1:39" x14ac:dyDescent="0.5">
      <c r="A146" s="16">
        <v>142</v>
      </c>
      <c r="B146" s="83" t="s">
        <v>1198</v>
      </c>
      <c r="C146" s="84" t="s">
        <v>1199</v>
      </c>
      <c r="D146" s="85">
        <v>403</v>
      </c>
      <c r="E146" s="85">
        <f t="shared" si="49"/>
        <v>12541.36</v>
      </c>
      <c r="F146" s="86">
        <v>134</v>
      </c>
      <c r="G146" s="85">
        <f t="shared" si="50"/>
        <v>4342.9399999999996</v>
      </c>
      <c r="H146" s="86">
        <v>420</v>
      </c>
      <c r="I146" s="85">
        <f t="shared" si="51"/>
        <v>13864.199999999999</v>
      </c>
      <c r="J146" s="86">
        <v>776</v>
      </c>
      <c r="K146" s="86">
        <f t="shared" si="52"/>
        <v>27253.119999999999</v>
      </c>
      <c r="L146" s="86"/>
      <c r="M146" s="86">
        <f t="shared" si="53"/>
        <v>0</v>
      </c>
      <c r="N146" s="85"/>
      <c r="O146" s="86">
        <f t="shared" si="54"/>
        <v>0</v>
      </c>
      <c r="P146" s="85">
        <v>597</v>
      </c>
      <c r="Q146" s="86">
        <f t="shared" si="55"/>
        <v>23103.9</v>
      </c>
      <c r="R146" s="85"/>
      <c r="S146" s="86">
        <f t="shared" si="56"/>
        <v>0</v>
      </c>
      <c r="T146" s="85">
        <v>357</v>
      </c>
      <c r="U146" s="86">
        <f t="shared" si="40"/>
        <v>11709.599999999999</v>
      </c>
      <c r="V146" s="87">
        <v>197</v>
      </c>
      <c r="W146" s="86">
        <f t="shared" si="41"/>
        <v>6924.5499999999993</v>
      </c>
      <c r="X146" s="85">
        <v>200</v>
      </c>
      <c r="Y146" s="86">
        <f t="shared" si="42"/>
        <v>6931.9999999999991</v>
      </c>
      <c r="Z146" s="85">
        <v>180</v>
      </c>
      <c r="AA146" s="85">
        <f t="shared" si="43"/>
        <v>6488.9999999999991</v>
      </c>
      <c r="AB146" s="88">
        <v>378</v>
      </c>
      <c r="AC146" s="85">
        <f t="shared" si="44"/>
        <v>13245.119999999999</v>
      </c>
      <c r="AD146" s="89">
        <v>244</v>
      </c>
      <c r="AE146" s="85">
        <f t="shared" si="45"/>
        <v>8339.92</v>
      </c>
      <c r="AF146" s="85">
        <v>371</v>
      </c>
      <c r="AG146" s="89">
        <f t="shared" si="46"/>
        <v>12354.3</v>
      </c>
      <c r="AH146" s="89">
        <v>399</v>
      </c>
      <c r="AI146" s="85">
        <f t="shared" si="47"/>
        <v>14344.050000000001</v>
      </c>
      <c r="AJ146" s="89">
        <v>409</v>
      </c>
      <c r="AK146" s="85">
        <f t="shared" si="48"/>
        <v>14998.03</v>
      </c>
      <c r="AL146" s="113">
        <f t="shared" si="38"/>
        <v>5065</v>
      </c>
      <c r="AM146" s="23">
        <f t="shared" si="39"/>
        <v>176442.08999999997</v>
      </c>
    </row>
    <row r="147" spans="1:39" x14ac:dyDescent="0.5">
      <c r="A147" s="16">
        <v>143</v>
      </c>
      <c r="B147" s="83" t="s">
        <v>460</v>
      </c>
      <c r="C147" s="84" t="s">
        <v>1200</v>
      </c>
      <c r="D147" s="85">
        <v>779</v>
      </c>
      <c r="E147" s="85">
        <f t="shared" si="49"/>
        <v>24242.48</v>
      </c>
      <c r="F147" s="86"/>
      <c r="G147" s="85">
        <f t="shared" si="50"/>
        <v>0</v>
      </c>
      <c r="H147" s="86"/>
      <c r="I147" s="85">
        <f t="shared" si="51"/>
        <v>0</v>
      </c>
      <c r="J147" s="86">
        <v>1136</v>
      </c>
      <c r="K147" s="86">
        <f t="shared" si="52"/>
        <v>39896.32</v>
      </c>
      <c r="L147" s="86">
        <v>708</v>
      </c>
      <c r="M147" s="86">
        <f t="shared" si="53"/>
        <v>27081</v>
      </c>
      <c r="N147" s="85">
        <v>766</v>
      </c>
      <c r="O147" s="86">
        <f t="shared" si="54"/>
        <v>32172</v>
      </c>
      <c r="P147" s="85">
        <v>497</v>
      </c>
      <c r="Q147" s="86">
        <f t="shared" si="55"/>
        <v>19233.900000000001</v>
      </c>
      <c r="R147" s="85">
        <v>584</v>
      </c>
      <c r="S147" s="86">
        <f t="shared" si="56"/>
        <v>19680.800000000003</v>
      </c>
      <c r="T147" s="85">
        <v>731</v>
      </c>
      <c r="U147" s="86">
        <f t="shared" si="40"/>
        <v>23976.799999999999</v>
      </c>
      <c r="V147" s="87">
        <v>592</v>
      </c>
      <c r="W147" s="86">
        <f t="shared" si="41"/>
        <v>20808.8</v>
      </c>
      <c r="X147" s="85">
        <v>488</v>
      </c>
      <c r="Y147" s="86">
        <f t="shared" si="42"/>
        <v>16914.079999999998</v>
      </c>
      <c r="Z147" s="85">
        <v>514</v>
      </c>
      <c r="AA147" s="85">
        <f t="shared" si="43"/>
        <v>18529.699999999997</v>
      </c>
      <c r="AB147" s="88">
        <v>642</v>
      </c>
      <c r="AC147" s="85">
        <f t="shared" si="44"/>
        <v>22495.68</v>
      </c>
      <c r="AD147" s="89">
        <v>962</v>
      </c>
      <c r="AE147" s="85">
        <f t="shared" si="45"/>
        <v>32881.159999999996</v>
      </c>
      <c r="AF147" s="85">
        <v>686</v>
      </c>
      <c r="AG147" s="89">
        <f t="shared" si="46"/>
        <v>22843.8</v>
      </c>
      <c r="AH147" s="89">
        <v>711</v>
      </c>
      <c r="AI147" s="85">
        <f t="shared" si="47"/>
        <v>25560.45</v>
      </c>
      <c r="AJ147" s="89">
        <v>707</v>
      </c>
      <c r="AK147" s="85">
        <f t="shared" si="48"/>
        <v>25925.690000000002</v>
      </c>
      <c r="AL147" s="113">
        <f t="shared" si="38"/>
        <v>10503</v>
      </c>
      <c r="AM147" s="23">
        <f t="shared" si="39"/>
        <v>372242.65999999992</v>
      </c>
    </row>
    <row r="148" spans="1:39" x14ac:dyDescent="0.5">
      <c r="A148" s="16">
        <v>144</v>
      </c>
      <c r="B148" s="83" t="s">
        <v>1201</v>
      </c>
      <c r="C148" s="84" t="s">
        <v>1202</v>
      </c>
      <c r="D148" s="85">
        <v>244</v>
      </c>
      <c r="E148" s="85">
        <f t="shared" si="49"/>
        <v>7593.2800000000007</v>
      </c>
      <c r="F148" s="86">
        <v>148</v>
      </c>
      <c r="G148" s="85">
        <f t="shared" si="50"/>
        <v>4796.6799999999994</v>
      </c>
      <c r="H148" s="86">
        <v>139</v>
      </c>
      <c r="I148" s="85">
        <f t="shared" si="51"/>
        <v>4588.3899999999994</v>
      </c>
      <c r="J148" s="86"/>
      <c r="K148" s="86">
        <f t="shared" si="52"/>
        <v>0</v>
      </c>
      <c r="L148" s="86"/>
      <c r="M148" s="86">
        <f t="shared" si="53"/>
        <v>0</v>
      </c>
      <c r="N148" s="85">
        <v>174</v>
      </c>
      <c r="O148" s="86">
        <f t="shared" si="54"/>
        <v>7308</v>
      </c>
      <c r="P148" s="85">
        <v>352</v>
      </c>
      <c r="Q148" s="86">
        <f t="shared" si="55"/>
        <v>13622.400000000001</v>
      </c>
      <c r="R148" s="85">
        <v>248</v>
      </c>
      <c r="S148" s="86">
        <f t="shared" si="56"/>
        <v>8357.6</v>
      </c>
      <c r="T148" s="85">
        <v>361</v>
      </c>
      <c r="U148" s="86">
        <f t="shared" si="40"/>
        <v>11840.8</v>
      </c>
      <c r="V148" s="87">
        <v>419</v>
      </c>
      <c r="W148" s="86">
        <f t="shared" si="41"/>
        <v>14727.849999999999</v>
      </c>
      <c r="X148" s="85">
        <v>364</v>
      </c>
      <c r="Y148" s="86">
        <f t="shared" si="42"/>
        <v>12616.239999999998</v>
      </c>
      <c r="Z148" s="85">
        <v>241</v>
      </c>
      <c r="AA148" s="85">
        <f t="shared" si="43"/>
        <v>8688.0499999999993</v>
      </c>
      <c r="AB148" s="88">
        <v>313</v>
      </c>
      <c r="AC148" s="85">
        <f t="shared" si="44"/>
        <v>10967.52</v>
      </c>
      <c r="AD148" s="89">
        <v>294</v>
      </c>
      <c r="AE148" s="85">
        <f t="shared" si="45"/>
        <v>10048.92</v>
      </c>
      <c r="AF148" s="85">
        <v>350</v>
      </c>
      <c r="AG148" s="89">
        <f t="shared" si="46"/>
        <v>11654.999999999998</v>
      </c>
      <c r="AH148" s="89">
        <v>334</v>
      </c>
      <c r="AI148" s="85">
        <f t="shared" si="47"/>
        <v>12007.300000000001</v>
      </c>
      <c r="AJ148" s="89"/>
      <c r="AK148" s="85">
        <f t="shared" si="48"/>
        <v>0</v>
      </c>
      <c r="AL148" s="113">
        <f t="shared" si="38"/>
        <v>3981</v>
      </c>
      <c r="AM148" s="23">
        <f t="shared" si="39"/>
        <v>138818.03</v>
      </c>
    </row>
    <row r="149" spans="1:39" x14ac:dyDescent="0.5">
      <c r="A149" s="16">
        <v>145</v>
      </c>
      <c r="B149" s="83" t="s">
        <v>1203</v>
      </c>
      <c r="C149" s="84" t="s">
        <v>1204</v>
      </c>
      <c r="D149" s="85">
        <v>802</v>
      </c>
      <c r="E149" s="85">
        <f t="shared" si="49"/>
        <v>24958.240000000002</v>
      </c>
      <c r="F149" s="86">
        <v>623</v>
      </c>
      <c r="G149" s="85">
        <f t="shared" si="50"/>
        <v>20191.429999999997</v>
      </c>
      <c r="H149" s="86">
        <v>426</v>
      </c>
      <c r="I149" s="85">
        <f t="shared" si="51"/>
        <v>14062.259999999998</v>
      </c>
      <c r="J149" s="86"/>
      <c r="K149" s="86">
        <f t="shared" si="52"/>
        <v>0</v>
      </c>
      <c r="L149" s="86">
        <v>622</v>
      </c>
      <c r="M149" s="86">
        <f t="shared" si="53"/>
        <v>23791.5</v>
      </c>
      <c r="N149" s="85">
        <v>815</v>
      </c>
      <c r="O149" s="86">
        <f t="shared" si="54"/>
        <v>34230</v>
      </c>
      <c r="P149" s="85">
        <v>875</v>
      </c>
      <c r="Q149" s="86">
        <f t="shared" si="55"/>
        <v>33862.5</v>
      </c>
      <c r="R149" s="85">
        <v>354</v>
      </c>
      <c r="S149" s="86">
        <f t="shared" si="56"/>
        <v>11929.800000000001</v>
      </c>
      <c r="T149" s="85">
        <v>831</v>
      </c>
      <c r="U149" s="86">
        <f t="shared" si="40"/>
        <v>27256.799999999999</v>
      </c>
      <c r="V149" s="87">
        <v>789</v>
      </c>
      <c r="W149" s="86">
        <f t="shared" si="41"/>
        <v>27733.35</v>
      </c>
      <c r="X149" s="85">
        <v>666</v>
      </c>
      <c r="Y149" s="86">
        <f t="shared" si="42"/>
        <v>23083.559999999998</v>
      </c>
      <c r="Z149" s="85"/>
      <c r="AA149" s="85">
        <f t="shared" si="43"/>
        <v>0</v>
      </c>
      <c r="AB149" s="88">
        <v>650</v>
      </c>
      <c r="AC149" s="85">
        <f t="shared" si="44"/>
        <v>22776</v>
      </c>
      <c r="AD149" s="89">
        <v>874</v>
      </c>
      <c r="AE149" s="85">
        <f t="shared" si="45"/>
        <v>29873.32</v>
      </c>
      <c r="AF149" s="85">
        <v>597</v>
      </c>
      <c r="AG149" s="89">
        <f t="shared" si="46"/>
        <v>19880.099999999999</v>
      </c>
      <c r="AH149" s="89">
        <v>719</v>
      </c>
      <c r="AI149" s="85">
        <f t="shared" si="47"/>
        <v>25848.050000000003</v>
      </c>
      <c r="AJ149" s="89"/>
      <c r="AK149" s="85">
        <f t="shared" si="48"/>
        <v>0</v>
      </c>
      <c r="AL149" s="113">
        <f t="shared" si="38"/>
        <v>9643</v>
      </c>
      <c r="AM149" s="23">
        <f t="shared" si="39"/>
        <v>339476.90999999992</v>
      </c>
    </row>
    <row r="150" spans="1:39" s="114" customFormat="1" x14ac:dyDescent="0.5">
      <c r="A150" s="16">
        <v>146</v>
      </c>
      <c r="B150" s="83" t="s">
        <v>1205</v>
      </c>
      <c r="C150" s="84" t="s">
        <v>1206</v>
      </c>
      <c r="D150" s="85"/>
      <c r="E150" s="85">
        <f t="shared" si="49"/>
        <v>0</v>
      </c>
      <c r="F150" s="86"/>
      <c r="G150" s="85">
        <f t="shared" si="50"/>
        <v>0</v>
      </c>
      <c r="H150" s="86"/>
      <c r="I150" s="85">
        <f t="shared" si="51"/>
        <v>0</v>
      </c>
      <c r="J150" s="86"/>
      <c r="K150" s="86">
        <f t="shared" si="52"/>
        <v>0</v>
      </c>
      <c r="L150" s="86"/>
      <c r="M150" s="86">
        <f t="shared" si="53"/>
        <v>0</v>
      </c>
      <c r="N150" s="85"/>
      <c r="O150" s="86">
        <f t="shared" si="54"/>
        <v>0</v>
      </c>
      <c r="P150" s="85"/>
      <c r="Q150" s="86">
        <f t="shared" si="55"/>
        <v>0</v>
      </c>
      <c r="R150" s="85"/>
      <c r="S150" s="86">
        <f t="shared" si="56"/>
        <v>0</v>
      </c>
      <c r="T150" s="85"/>
      <c r="U150" s="86">
        <f t="shared" si="40"/>
        <v>0</v>
      </c>
      <c r="V150" s="87"/>
      <c r="W150" s="86">
        <f t="shared" si="41"/>
        <v>0</v>
      </c>
      <c r="X150" s="85"/>
      <c r="Y150" s="86">
        <f t="shared" si="42"/>
        <v>0</v>
      </c>
      <c r="Z150" s="85"/>
      <c r="AA150" s="85">
        <f t="shared" si="43"/>
        <v>0</v>
      </c>
      <c r="AB150" s="88"/>
      <c r="AC150" s="85">
        <f t="shared" si="44"/>
        <v>0</v>
      </c>
      <c r="AD150" s="89"/>
      <c r="AE150" s="85">
        <f t="shared" si="45"/>
        <v>0</v>
      </c>
      <c r="AF150" s="85"/>
      <c r="AG150" s="89">
        <f t="shared" si="46"/>
        <v>0</v>
      </c>
      <c r="AH150" s="89"/>
      <c r="AI150" s="85">
        <f t="shared" si="47"/>
        <v>0</v>
      </c>
      <c r="AJ150" s="89"/>
      <c r="AK150" s="85">
        <f t="shared" si="48"/>
        <v>0</v>
      </c>
      <c r="AL150" s="113">
        <f t="shared" si="38"/>
        <v>0</v>
      </c>
      <c r="AM150" s="23">
        <f t="shared" si="39"/>
        <v>0</v>
      </c>
    </row>
    <row r="151" spans="1:39" s="114" customFormat="1" x14ac:dyDescent="0.5">
      <c r="A151" s="16">
        <v>147</v>
      </c>
      <c r="B151" s="83" t="s">
        <v>1207</v>
      </c>
      <c r="C151" s="84" t="s">
        <v>1208</v>
      </c>
      <c r="D151" s="85">
        <v>742</v>
      </c>
      <c r="E151" s="85">
        <f t="shared" si="49"/>
        <v>23091.040000000001</v>
      </c>
      <c r="F151" s="86">
        <v>1056</v>
      </c>
      <c r="G151" s="85">
        <f t="shared" si="50"/>
        <v>34224.959999999999</v>
      </c>
      <c r="H151" s="86">
        <v>702</v>
      </c>
      <c r="I151" s="85">
        <f t="shared" si="51"/>
        <v>23173.019999999997</v>
      </c>
      <c r="J151" s="86">
        <v>520</v>
      </c>
      <c r="K151" s="86">
        <f t="shared" si="52"/>
        <v>18262.399999999998</v>
      </c>
      <c r="L151" s="86">
        <v>500</v>
      </c>
      <c r="M151" s="86">
        <f t="shared" si="53"/>
        <v>19125</v>
      </c>
      <c r="N151" s="85">
        <v>697</v>
      </c>
      <c r="O151" s="86">
        <f t="shared" si="54"/>
        <v>29274</v>
      </c>
      <c r="P151" s="85"/>
      <c r="Q151" s="86">
        <f t="shared" si="55"/>
        <v>0</v>
      </c>
      <c r="R151" s="85"/>
      <c r="S151" s="86">
        <f t="shared" si="56"/>
        <v>0</v>
      </c>
      <c r="T151" s="85"/>
      <c r="U151" s="86">
        <f t="shared" si="40"/>
        <v>0</v>
      </c>
      <c r="V151" s="87">
        <v>308</v>
      </c>
      <c r="W151" s="86">
        <f t="shared" si="41"/>
        <v>10826.199999999999</v>
      </c>
      <c r="X151" s="85">
        <v>312</v>
      </c>
      <c r="Y151" s="86">
        <f t="shared" si="42"/>
        <v>10813.919999999998</v>
      </c>
      <c r="Z151" s="85"/>
      <c r="AA151" s="85">
        <f t="shared" si="43"/>
        <v>0</v>
      </c>
      <c r="AB151" s="88">
        <v>414</v>
      </c>
      <c r="AC151" s="85">
        <f t="shared" si="44"/>
        <v>14506.56</v>
      </c>
      <c r="AD151" s="89">
        <v>1458</v>
      </c>
      <c r="AE151" s="85">
        <f t="shared" si="45"/>
        <v>49834.44</v>
      </c>
      <c r="AF151" s="85"/>
      <c r="AG151" s="89">
        <f t="shared" si="46"/>
        <v>0</v>
      </c>
      <c r="AH151" s="89"/>
      <c r="AI151" s="85">
        <f t="shared" si="47"/>
        <v>0</v>
      </c>
      <c r="AJ151" s="89"/>
      <c r="AK151" s="85">
        <f t="shared" si="48"/>
        <v>0</v>
      </c>
      <c r="AL151" s="113">
        <f t="shared" si="38"/>
        <v>6709</v>
      </c>
      <c r="AM151" s="23">
        <f t="shared" si="39"/>
        <v>233131.53999999998</v>
      </c>
    </row>
    <row r="152" spans="1:39" s="114" customFormat="1" x14ac:dyDescent="0.5">
      <c r="A152" s="16">
        <v>148</v>
      </c>
      <c r="B152" s="83" t="s">
        <v>429</v>
      </c>
      <c r="C152" s="84" t="s">
        <v>833</v>
      </c>
      <c r="D152" s="85"/>
      <c r="E152" s="85">
        <f t="shared" si="49"/>
        <v>0</v>
      </c>
      <c r="F152" s="86"/>
      <c r="G152" s="85">
        <f t="shared" si="50"/>
        <v>0</v>
      </c>
      <c r="H152" s="86"/>
      <c r="I152" s="85">
        <f t="shared" si="51"/>
        <v>0</v>
      </c>
      <c r="J152" s="86"/>
      <c r="K152" s="86">
        <f t="shared" si="52"/>
        <v>0</v>
      </c>
      <c r="L152" s="86"/>
      <c r="M152" s="86">
        <f t="shared" si="53"/>
        <v>0</v>
      </c>
      <c r="N152" s="85">
        <v>302</v>
      </c>
      <c r="O152" s="86">
        <f t="shared" si="54"/>
        <v>12684</v>
      </c>
      <c r="P152" s="85">
        <v>911</v>
      </c>
      <c r="Q152" s="86">
        <f t="shared" si="55"/>
        <v>35255.700000000004</v>
      </c>
      <c r="R152" s="85"/>
      <c r="S152" s="86">
        <f t="shared" si="56"/>
        <v>0</v>
      </c>
      <c r="T152" s="85"/>
      <c r="U152" s="86">
        <f t="shared" si="40"/>
        <v>0</v>
      </c>
      <c r="V152" s="87"/>
      <c r="W152" s="86">
        <f t="shared" si="41"/>
        <v>0</v>
      </c>
      <c r="X152" s="85"/>
      <c r="Y152" s="86">
        <f t="shared" si="42"/>
        <v>0</v>
      </c>
      <c r="Z152" s="85"/>
      <c r="AA152" s="85">
        <f t="shared" si="43"/>
        <v>0</v>
      </c>
      <c r="AB152" s="88"/>
      <c r="AC152" s="85">
        <f t="shared" si="44"/>
        <v>0</v>
      </c>
      <c r="AD152" s="89"/>
      <c r="AE152" s="85">
        <f t="shared" si="45"/>
        <v>0</v>
      </c>
      <c r="AF152" s="85"/>
      <c r="AG152" s="89">
        <f t="shared" si="46"/>
        <v>0</v>
      </c>
      <c r="AH152" s="89"/>
      <c r="AI152" s="85">
        <f t="shared" si="47"/>
        <v>0</v>
      </c>
      <c r="AJ152" s="89"/>
      <c r="AK152" s="85">
        <f t="shared" si="48"/>
        <v>0</v>
      </c>
      <c r="AL152" s="113">
        <f t="shared" si="38"/>
        <v>1213</v>
      </c>
      <c r="AM152" s="23">
        <f t="shared" si="39"/>
        <v>47939.700000000004</v>
      </c>
    </row>
    <row r="153" spans="1:39" x14ac:dyDescent="0.5">
      <c r="A153" s="16">
        <v>149</v>
      </c>
      <c r="B153" s="83" t="s">
        <v>1209</v>
      </c>
      <c r="C153" s="84" t="s">
        <v>1210</v>
      </c>
      <c r="D153" s="85">
        <v>821</v>
      </c>
      <c r="E153" s="85">
        <f t="shared" si="49"/>
        <v>25549.52</v>
      </c>
      <c r="F153" s="86">
        <v>419</v>
      </c>
      <c r="G153" s="85">
        <f t="shared" si="50"/>
        <v>13579.789999999999</v>
      </c>
      <c r="H153" s="86">
        <v>393</v>
      </c>
      <c r="I153" s="85">
        <f t="shared" si="51"/>
        <v>12972.929999999998</v>
      </c>
      <c r="J153" s="86">
        <v>512</v>
      </c>
      <c r="K153" s="86">
        <f t="shared" si="52"/>
        <v>17981.439999999999</v>
      </c>
      <c r="L153" s="86"/>
      <c r="M153" s="86">
        <f t="shared" si="53"/>
        <v>0</v>
      </c>
      <c r="N153" s="85">
        <v>576</v>
      </c>
      <c r="O153" s="86">
        <f t="shared" si="54"/>
        <v>24192</v>
      </c>
      <c r="P153" s="85">
        <v>511</v>
      </c>
      <c r="Q153" s="86">
        <f t="shared" si="55"/>
        <v>19775.7</v>
      </c>
      <c r="R153" s="85">
        <v>456</v>
      </c>
      <c r="S153" s="86">
        <f t="shared" si="56"/>
        <v>15367.2</v>
      </c>
      <c r="T153" s="85">
        <v>678</v>
      </c>
      <c r="U153" s="86">
        <f t="shared" si="40"/>
        <v>22238.399999999998</v>
      </c>
      <c r="V153" s="87">
        <v>633</v>
      </c>
      <c r="W153" s="86">
        <f t="shared" si="41"/>
        <v>22249.95</v>
      </c>
      <c r="X153" s="85">
        <v>582</v>
      </c>
      <c r="Y153" s="86">
        <f t="shared" si="42"/>
        <v>20172.12</v>
      </c>
      <c r="Z153" s="85">
        <v>465</v>
      </c>
      <c r="AA153" s="85">
        <f t="shared" si="43"/>
        <v>16763.25</v>
      </c>
      <c r="AB153" s="88">
        <v>865</v>
      </c>
      <c r="AC153" s="85">
        <f t="shared" si="44"/>
        <v>30309.599999999999</v>
      </c>
      <c r="AD153" s="89">
        <v>797</v>
      </c>
      <c r="AE153" s="85">
        <f t="shared" si="45"/>
        <v>27241.46</v>
      </c>
      <c r="AF153" s="85">
        <v>636</v>
      </c>
      <c r="AG153" s="89">
        <f t="shared" si="46"/>
        <v>21178.799999999999</v>
      </c>
      <c r="AH153" s="89">
        <v>765</v>
      </c>
      <c r="AI153" s="85">
        <f t="shared" si="47"/>
        <v>27501.750000000004</v>
      </c>
      <c r="AJ153" s="89">
        <v>702</v>
      </c>
      <c r="AK153" s="85">
        <f t="shared" si="48"/>
        <v>25742.34</v>
      </c>
      <c r="AL153" s="113">
        <f t="shared" si="38"/>
        <v>9811</v>
      </c>
      <c r="AM153" s="23">
        <f t="shared" si="39"/>
        <v>342816.25</v>
      </c>
    </row>
    <row r="154" spans="1:39" s="114" customFormat="1" x14ac:dyDescent="0.5">
      <c r="A154" s="16">
        <v>150</v>
      </c>
      <c r="B154" s="83" t="s">
        <v>1211</v>
      </c>
      <c r="C154" s="84" t="s">
        <v>1212</v>
      </c>
      <c r="D154" s="85"/>
      <c r="E154" s="85">
        <f t="shared" si="49"/>
        <v>0</v>
      </c>
      <c r="F154" s="86"/>
      <c r="G154" s="85">
        <f t="shared" si="50"/>
        <v>0</v>
      </c>
      <c r="H154" s="86"/>
      <c r="I154" s="85">
        <f t="shared" si="51"/>
        <v>0</v>
      </c>
      <c r="J154" s="86"/>
      <c r="K154" s="86">
        <f t="shared" si="52"/>
        <v>0</v>
      </c>
      <c r="L154" s="86"/>
      <c r="M154" s="86">
        <f t="shared" si="53"/>
        <v>0</v>
      </c>
      <c r="N154" s="85">
        <v>654</v>
      </c>
      <c r="O154" s="86">
        <f t="shared" si="54"/>
        <v>27468</v>
      </c>
      <c r="P154" s="85"/>
      <c r="Q154" s="86">
        <f t="shared" si="55"/>
        <v>0</v>
      </c>
      <c r="R154" s="85"/>
      <c r="S154" s="86">
        <f t="shared" si="56"/>
        <v>0</v>
      </c>
      <c r="T154" s="85"/>
      <c r="U154" s="86">
        <f t="shared" si="40"/>
        <v>0</v>
      </c>
      <c r="V154" s="87"/>
      <c r="W154" s="86">
        <f t="shared" si="41"/>
        <v>0</v>
      </c>
      <c r="X154" s="85"/>
      <c r="Y154" s="86">
        <f t="shared" si="42"/>
        <v>0</v>
      </c>
      <c r="Z154" s="85"/>
      <c r="AA154" s="85">
        <f t="shared" si="43"/>
        <v>0</v>
      </c>
      <c r="AB154" s="88"/>
      <c r="AC154" s="85">
        <f t="shared" si="44"/>
        <v>0</v>
      </c>
      <c r="AD154" s="89"/>
      <c r="AE154" s="85">
        <f t="shared" si="45"/>
        <v>0</v>
      </c>
      <c r="AF154" s="85"/>
      <c r="AG154" s="89">
        <f t="shared" si="46"/>
        <v>0</v>
      </c>
      <c r="AH154" s="89"/>
      <c r="AI154" s="85">
        <f t="shared" si="47"/>
        <v>0</v>
      </c>
      <c r="AJ154" s="89"/>
      <c r="AK154" s="85">
        <f t="shared" si="48"/>
        <v>0</v>
      </c>
      <c r="AL154" s="113">
        <f t="shared" si="38"/>
        <v>654</v>
      </c>
      <c r="AM154" s="23">
        <f t="shared" si="39"/>
        <v>27468</v>
      </c>
    </row>
    <row r="155" spans="1:39" x14ac:dyDescent="0.5">
      <c r="A155" s="16">
        <v>151</v>
      </c>
      <c r="B155" s="83" t="s">
        <v>70</v>
      </c>
      <c r="C155" s="84" t="s">
        <v>1212</v>
      </c>
      <c r="D155" s="85"/>
      <c r="E155" s="85"/>
      <c r="F155" s="86"/>
      <c r="G155" s="85"/>
      <c r="H155" s="86"/>
      <c r="I155" s="85"/>
      <c r="J155" s="86"/>
      <c r="K155" s="86"/>
      <c r="L155" s="86"/>
      <c r="M155" s="86"/>
      <c r="N155" s="85"/>
      <c r="O155" s="86"/>
      <c r="P155" s="85"/>
      <c r="Q155" s="86"/>
      <c r="R155" s="85"/>
      <c r="S155" s="86"/>
      <c r="T155" s="85"/>
      <c r="U155" s="86"/>
      <c r="V155" s="87"/>
      <c r="W155" s="86"/>
      <c r="X155" s="85"/>
      <c r="Y155" s="86"/>
      <c r="Z155" s="85"/>
      <c r="AA155" s="85"/>
      <c r="AB155" s="88"/>
      <c r="AC155" s="85"/>
      <c r="AD155" s="89"/>
      <c r="AE155" s="85"/>
      <c r="AF155" s="85"/>
      <c r="AG155" s="89"/>
      <c r="AH155" s="89"/>
      <c r="AI155" s="85"/>
      <c r="AJ155" s="89">
        <v>328</v>
      </c>
      <c r="AK155" s="85">
        <f t="shared" si="48"/>
        <v>12027.76</v>
      </c>
      <c r="AL155" s="113">
        <f t="shared" si="38"/>
        <v>328</v>
      </c>
      <c r="AM155" s="23">
        <f t="shared" si="39"/>
        <v>12027.76</v>
      </c>
    </row>
    <row r="156" spans="1:39" x14ac:dyDescent="0.5">
      <c r="A156" s="16">
        <v>152</v>
      </c>
      <c r="B156" s="83" t="s">
        <v>585</v>
      </c>
      <c r="C156" s="84" t="s">
        <v>1212</v>
      </c>
      <c r="D156" s="85"/>
      <c r="E156" s="85"/>
      <c r="F156" s="86"/>
      <c r="G156" s="85"/>
      <c r="H156" s="86"/>
      <c r="I156" s="85"/>
      <c r="J156" s="86"/>
      <c r="K156" s="86"/>
      <c r="L156" s="86"/>
      <c r="M156" s="86"/>
      <c r="N156" s="85"/>
      <c r="O156" s="86"/>
      <c r="P156" s="85"/>
      <c r="Q156" s="86"/>
      <c r="R156" s="85"/>
      <c r="S156" s="86"/>
      <c r="T156" s="85"/>
      <c r="U156" s="86"/>
      <c r="V156" s="87"/>
      <c r="W156" s="86"/>
      <c r="X156" s="85"/>
      <c r="Y156" s="86"/>
      <c r="Z156" s="85"/>
      <c r="AA156" s="85"/>
      <c r="AB156" s="88"/>
      <c r="AC156" s="85"/>
      <c r="AD156" s="89"/>
      <c r="AE156" s="85"/>
      <c r="AF156" s="85"/>
      <c r="AG156" s="89"/>
      <c r="AH156" s="89"/>
      <c r="AI156" s="85"/>
      <c r="AJ156" s="89">
        <v>663</v>
      </c>
      <c r="AK156" s="85">
        <f t="shared" si="48"/>
        <v>24312.210000000003</v>
      </c>
      <c r="AL156" s="113">
        <f t="shared" si="38"/>
        <v>663</v>
      </c>
      <c r="AM156" s="23">
        <f t="shared" si="39"/>
        <v>24312.210000000003</v>
      </c>
    </row>
    <row r="157" spans="1:39" s="114" customFormat="1" x14ac:dyDescent="0.5">
      <c r="A157" s="16">
        <v>153</v>
      </c>
      <c r="B157" s="83" t="s">
        <v>1213</v>
      </c>
      <c r="C157" s="84" t="s">
        <v>1214</v>
      </c>
      <c r="D157" s="85"/>
      <c r="E157" s="85">
        <f t="shared" si="49"/>
        <v>0</v>
      </c>
      <c r="F157" s="86"/>
      <c r="G157" s="85">
        <f t="shared" si="50"/>
        <v>0</v>
      </c>
      <c r="H157" s="86"/>
      <c r="I157" s="85">
        <f t="shared" si="51"/>
        <v>0</v>
      </c>
      <c r="J157" s="86"/>
      <c r="K157" s="86">
        <f t="shared" si="52"/>
        <v>0</v>
      </c>
      <c r="L157" s="86"/>
      <c r="M157" s="86">
        <f t="shared" si="53"/>
        <v>0</v>
      </c>
      <c r="N157" s="85">
        <v>724</v>
      </c>
      <c r="O157" s="86">
        <f t="shared" si="54"/>
        <v>30408</v>
      </c>
      <c r="P157" s="85">
        <v>584</v>
      </c>
      <c r="Q157" s="86">
        <f t="shared" si="55"/>
        <v>22600.800000000003</v>
      </c>
      <c r="R157" s="85"/>
      <c r="S157" s="86">
        <f t="shared" si="56"/>
        <v>0</v>
      </c>
      <c r="T157" s="85"/>
      <c r="U157" s="86">
        <f t="shared" si="40"/>
        <v>0</v>
      </c>
      <c r="V157" s="87"/>
      <c r="W157" s="86">
        <f t="shared" si="41"/>
        <v>0</v>
      </c>
      <c r="X157" s="85"/>
      <c r="Y157" s="86">
        <f t="shared" si="42"/>
        <v>0</v>
      </c>
      <c r="Z157" s="85"/>
      <c r="AA157" s="85">
        <f t="shared" si="43"/>
        <v>0</v>
      </c>
      <c r="AB157" s="88"/>
      <c r="AC157" s="85">
        <f t="shared" si="44"/>
        <v>0</v>
      </c>
      <c r="AD157" s="89"/>
      <c r="AE157" s="85">
        <f t="shared" si="45"/>
        <v>0</v>
      </c>
      <c r="AF157" s="85"/>
      <c r="AG157" s="89">
        <f t="shared" si="46"/>
        <v>0</v>
      </c>
      <c r="AH157" s="89"/>
      <c r="AI157" s="85">
        <f t="shared" si="47"/>
        <v>0</v>
      </c>
      <c r="AJ157" s="89"/>
      <c r="AK157" s="85">
        <f t="shared" si="48"/>
        <v>0</v>
      </c>
      <c r="AL157" s="113">
        <f t="shared" si="38"/>
        <v>1308</v>
      </c>
      <c r="AM157" s="23">
        <f t="shared" si="39"/>
        <v>53008.800000000003</v>
      </c>
    </row>
    <row r="158" spans="1:39" s="114" customFormat="1" x14ac:dyDescent="0.5">
      <c r="A158" s="16">
        <v>154</v>
      </c>
      <c r="B158" s="83" t="s">
        <v>1215</v>
      </c>
      <c r="C158" s="84" t="s">
        <v>1216</v>
      </c>
      <c r="D158" s="85">
        <v>761</v>
      </c>
      <c r="E158" s="85">
        <f t="shared" si="49"/>
        <v>23682.32</v>
      </c>
      <c r="F158" s="86"/>
      <c r="G158" s="85">
        <f t="shared" si="50"/>
        <v>0</v>
      </c>
      <c r="H158" s="86"/>
      <c r="I158" s="85">
        <f t="shared" si="51"/>
        <v>0</v>
      </c>
      <c r="J158" s="86"/>
      <c r="K158" s="86">
        <f t="shared" si="52"/>
        <v>0</v>
      </c>
      <c r="L158" s="86"/>
      <c r="M158" s="86">
        <f t="shared" si="53"/>
        <v>0</v>
      </c>
      <c r="N158" s="85">
        <v>562</v>
      </c>
      <c r="O158" s="86">
        <f t="shared" si="54"/>
        <v>23604</v>
      </c>
      <c r="P158" s="85">
        <v>1087</v>
      </c>
      <c r="Q158" s="86">
        <f t="shared" si="55"/>
        <v>42066.9</v>
      </c>
      <c r="R158" s="85"/>
      <c r="S158" s="86">
        <f t="shared" si="56"/>
        <v>0</v>
      </c>
      <c r="T158" s="85">
        <v>880</v>
      </c>
      <c r="U158" s="86">
        <f t="shared" si="40"/>
        <v>28863.999999999996</v>
      </c>
      <c r="V158" s="87">
        <v>954</v>
      </c>
      <c r="W158" s="86">
        <f t="shared" si="41"/>
        <v>33533.1</v>
      </c>
      <c r="X158" s="85"/>
      <c r="Y158" s="86">
        <f t="shared" si="42"/>
        <v>0</v>
      </c>
      <c r="Z158" s="85"/>
      <c r="AA158" s="85">
        <f t="shared" si="43"/>
        <v>0</v>
      </c>
      <c r="AB158" s="88"/>
      <c r="AC158" s="85">
        <f t="shared" si="44"/>
        <v>0</v>
      </c>
      <c r="AD158" s="89"/>
      <c r="AE158" s="85">
        <f t="shared" si="45"/>
        <v>0</v>
      </c>
      <c r="AF158" s="85"/>
      <c r="AG158" s="89">
        <f t="shared" si="46"/>
        <v>0</v>
      </c>
      <c r="AH158" s="89"/>
      <c r="AI158" s="85">
        <f t="shared" si="47"/>
        <v>0</v>
      </c>
      <c r="AJ158" s="89"/>
      <c r="AK158" s="85">
        <f t="shared" si="48"/>
        <v>0</v>
      </c>
      <c r="AL158" s="113">
        <f t="shared" si="38"/>
        <v>4244</v>
      </c>
      <c r="AM158" s="23">
        <f t="shared" si="39"/>
        <v>151750.32</v>
      </c>
    </row>
    <row r="159" spans="1:39" s="114" customFormat="1" x14ac:dyDescent="0.5">
      <c r="A159" s="16">
        <v>155</v>
      </c>
      <c r="B159" s="83" t="s">
        <v>79</v>
      </c>
      <c r="C159" s="84" t="s">
        <v>1217</v>
      </c>
      <c r="D159" s="85">
        <v>164</v>
      </c>
      <c r="E159" s="85">
        <f t="shared" si="49"/>
        <v>5103.68</v>
      </c>
      <c r="F159" s="86"/>
      <c r="G159" s="85">
        <f t="shared" si="50"/>
        <v>0</v>
      </c>
      <c r="H159" s="86"/>
      <c r="I159" s="85">
        <f t="shared" si="51"/>
        <v>0</v>
      </c>
      <c r="J159" s="86"/>
      <c r="K159" s="86">
        <f t="shared" si="52"/>
        <v>0</v>
      </c>
      <c r="L159" s="86"/>
      <c r="M159" s="86">
        <f t="shared" si="53"/>
        <v>0</v>
      </c>
      <c r="N159" s="85">
        <v>112</v>
      </c>
      <c r="O159" s="86">
        <f t="shared" si="54"/>
        <v>4704</v>
      </c>
      <c r="P159" s="85">
        <v>169</v>
      </c>
      <c r="Q159" s="86">
        <f t="shared" si="55"/>
        <v>6540.3</v>
      </c>
      <c r="R159" s="85">
        <v>194</v>
      </c>
      <c r="S159" s="86">
        <f t="shared" si="56"/>
        <v>6537.8</v>
      </c>
      <c r="T159" s="85">
        <v>107</v>
      </c>
      <c r="U159" s="86">
        <f t="shared" si="40"/>
        <v>3509.6</v>
      </c>
      <c r="V159" s="87">
        <v>231</v>
      </c>
      <c r="W159" s="86">
        <f t="shared" si="41"/>
        <v>8119.65</v>
      </c>
      <c r="X159" s="85"/>
      <c r="Y159" s="86">
        <f t="shared" si="42"/>
        <v>0</v>
      </c>
      <c r="Z159" s="85"/>
      <c r="AA159" s="85">
        <f t="shared" si="43"/>
        <v>0</v>
      </c>
      <c r="AB159" s="88"/>
      <c r="AC159" s="85">
        <f t="shared" si="44"/>
        <v>0</v>
      </c>
      <c r="AD159" s="89"/>
      <c r="AE159" s="85">
        <f t="shared" si="45"/>
        <v>0</v>
      </c>
      <c r="AF159" s="85"/>
      <c r="AG159" s="89">
        <f t="shared" si="46"/>
        <v>0</v>
      </c>
      <c r="AH159" s="89"/>
      <c r="AI159" s="85">
        <f t="shared" si="47"/>
        <v>0</v>
      </c>
      <c r="AJ159" s="89"/>
      <c r="AK159" s="85">
        <f t="shared" si="48"/>
        <v>0</v>
      </c>
      <c r="AL159" s="113">
        <f t="shared" si="38"/>
        <v>977</v>
      </c>
      <c r="AM159" s="23">
        <f t="shared" si="39"/>
        <v>34515.03</v>
      </c>
    </row>
    <row r="160" spans="1:39" x14ac:dyDescent="0.5">
      <c r="A160" s="16">
        <v>156</v>
      </c>
      <c r="B160" s="83" t="s">
        <v>1218</v>
      </c>
      <c r="C160" s="84" t="s">
        <v>1219</v>
      </c>
      <c r="D160" s="85">
        <v>307</v>
      </c>
      <c r="E160" s="85">
        <f t="shared" si="49"/>
        <v>9553.84</v>
      </c>
      <c r="F160" s="86"/>
      <c r="G160" s="85">
        <f t="shared" si="50"/>
        <v>0</v>
      </c>
      <c r="H160" s="86"/>
      <c r="I160" s="85">
        <f t="shared" si="51"/>
        <v>0</v>
      </c>
      <c r="J160" s="86"/>
      <c r="K160" s="86">
        <f t="shared" si="52"/>
        <v>0</v>
      </c>
      <c r="L160" s="86"/>
      <c r="M160" s="86">
        <f t="shared" si="53"/>
        <v>0</v>
      </c>
      <c r="N160" s="85"/>
      <c r="O160" s="86">
        <f t="shared" si="54"/>
        <v>0</v>
      </c>
      <c r="P160" s="85">
        <v>214</v>
      </c>
      <c r="Q160" s="86">
        <f t="shared" si="55"/>
        <v>8281.8000000000011</v>
      </c>
      <c r="R160" s="85">
        <v>320</v>
      </c>
      <c r="S160" s="86">
        <f t="shared" si="56"/>
        <v>10784</v>
      </c>
      <c r="T160" s="85">
        <v>604</v>
      </c>
      <c r="U160" s="86">
        <f t="shared" si="40"/>
        <v>19811.199999999997</v>
      </c>
      <c r="V160" s="87">
        <v>478</v>
      </c>
      <c r="W160" s="86">
        <f t="shared" si="41"/>
        <v>16801.7</v>
      </c>
      <c r="X160" s="85">
        <v>294</v>
      </c>
      <c r="Y160" s="86">
        <f t="shared" si="42"/>
        <v>10190.039999999999</v>
      </c>
      <c r="Z160" s="85">
        <v>595</v>
      </c>
      <c r="AA160" s="85">
        <f t="shared" si="43"/>
        <v>21449.75</v>
      </c>
      <c r="AB160" s="88">
        <v>461</v>
      </c>
      <c r="AC160" s="85">
        <f t="shared" si="44"/>
        <v>16153.44</v>
      </c>
      <c r="AD160" s="89">
        <v>795</v>
      </c>
      <c r="AE160" s="85">
        <f t="shared" si="45"/>
        <v>27173.1</v>
      </c>
      <c r="AF160" s="85">
        <v>612</v>
      </c>
      <c r="AG160" s="89">
        <f t="shared" si="46"/>
        <v>20379.599999999999</v>
      </c>
      <c r="AH160" s="89">
        <v>572</v>
      </c>
      <c r="AI160" s="85">
        <f t="shared" si="47"/>
        <v>20563.400000000001</v>
      </c>
      <c r="AJ160" s="89">
        <v>590</v>
      </c>
      <c r="AK160" s="85">
        <f t="shared" si="48"/>
        <v>21635.3</v>
      </c>
      <c r="AL160" s="113">
        <f t="shared" si="38"/>
        <v>5842</v>
      </c>
      <c r="AM160" s="23">
        <f t="shared" si="39"/>
        <v>202777.16999999998</v>
      </c>
    </row>
    <row r="161" spans="1:39" s="114" customFormat="1" x14ac:dyDescent="0.5">
      <c r="A161" s="16">
        <v>157</v>
      </c>
      <c r="B161" s="83" t="s">
        <v>1220</v>
      </c>
      <c r="C161" s="84" t="s">
        <v>1221</v>
      </c>
      <c r="D161" s="85">
        <v>745</v>
      </c>
      <c r="E161" s="85">
        <f t="shared" si="49"/>
        <v>23184.400000000001</v>
      </c>
      <c r="F161" s="86"/>
      <c r="G161" s="85">
        <f t="shared" si="50"/>
        <v>0</v>
      </c>
      <c r="H161" s="86">
        <v>844</v>
      </c>
      <c r="I161" s="85">
        <f t="shared" si="51"/>
        <v>27860.44</v>
      </c>
      <c r="J161" s="86"/>
      <c r="K161" s="86">
        <f t="shared" si="52"/>
        <v>0</v>
      </c>
      <c r="L161" s="86">
        <v>468</v>
      </c>
      <c r="M161" s="86">
        <f t="shared" si="53"/>
        <v>17901</v>
      </c>
      <c r="N161" s="85">
        <v>531</v>
      </c>
      <c r="O161" s="86">
        <f t="shared" si="54"/>
        <v>22302</v>
      </c>
      <c r="P161" s="85"/>
      <c r="Q161" s="86">
        <f t="shared" si="55"/>
        <v>0</v>
      </c>
      <c r="R161" s="85"/>
      <c r="S161" s="86">
        <f t="shared" si="56"/>
        <v>0</v>
      </c>
      <c r="T161" s="85"/>
      <c r="U161" s="86">
        <f t="shared" si="40"/>
        <v>0</v>
      </c>
      <c r="V161" s="87"/>
      <c r="W161" s="86">
        <f t="shared" si="41"/>
        <v>0</v>
      </c>
      <c r="X161" s="85">
        <v>1047</v>
      </c>
      <c r="Y161" s="86">
        <f t="shared" si="42"/>
        <v>36289.019999999997</v>
      </c>
      <c r="Z161" s="85"/>
      <c r="AA161" s="85">
        <f t="shared" si="43"/>
        <v>0</v>
      </c>
      <c r="AB161" s="88"/>
      <c r="AC161" s="85">
        <f t="shared" si="44"/>
        <v>0</v>
      </c>
      <c r="AD161" s="89"/>
      <c r="AE161" s="85">
        <f t="shared" si="45"/>
        <v>0</v>
      </c>
      <c r="AF161" s="85"/>
      <c r="AG161" s="89">
        <f t="shared" si="46"/>
        <v>0</v>
      </c>
      <c r="AH161" s="89"/>
      <c r="AI161" s="85">
        <f t="shared" si="47"/>
        <v>0</v>
      </c>
      <c r="AJ161" s="89"/>
      <c r="AK161" s="85">
        <f t="shared" si="48"/>
        <v>0</v>
      </c>
      <c r="AL161" s="113">
        <f t="shared" si="38"/>
        <v>3635</v>
      </c>
      <c r="AM161" s="23">
        <f t="shared" si="39"/>
        <v>127536.85999999999</v>
      </c>
    </row>
    <row r="162" spans="1:39" x14ac:dyDescent="0.5">
      <c r="A162" s="16">
        <v>158</v>
      </c>
      <c r="B162" s="83" t="s">
        <v>756</v>
      </c>
      <c r="C162" s="84" t="s">
        <v>997</v>
      </c>
      <c r="D162" s="85">
        <v>1139</v>
      </c>
      <c r="E162" s="85">
        <f t="shared" si="49"/>
        <v>35445.68</v>
      </c>
      <c r="F162" s="86">
        <v>418</v>
      </c>
      <c r="G162" s="85">
        <f t="shared" si="50"/>
        <v>13547.38</v>
      </c>
      <c r="H162" s="86">
        <v>750</v>
      </c>
      <c r="I162" s="85">
        <f t="shared" si="51"/>
        <v>24757.5</v>
      </c>
      <c r="J162" s="86">
        <v>621</v>
      </c>
      <c r="K162" s="86">
        <f t="shared" si="52"/>
        <v>21809.519999999997</v>
      </c>
      <c r="L162" s="86">
        <v>393</v>
      </c>
      <c r="M162" s="86">
        <f t="shared" si="53"/>
        <v>15032.25</v>
      </c>
      <c r="N162" s="85">
        <v>417</v>
      </c>
      <c r="O162" s="86">
        <f t="shared" si="54"/>
        <v>17514</v>
      </c>
      <c r="P162" s="85">
        <v>833</v>
      </c>
      <c r="Q162" s="86">
        <f t="shared" si="55"/>
        <v>32237.100000000002</v>
      </c>
      <c r="R162" s="85">
        <v>873</v>
      </c>
      <c r="S162" s="86">
        <f t="shared" si="56"/>
        <v>29420.100000000002</v>
      </c>
      <c r="T162" s="85">
        <v>539</v>
      </c>
      <c r="U162" s="86">
        <f t="shared" si="40"/>
        <v>17679.199999999997</v>
      </c>
      <c r="V162" s="87">
        <v>1021</v>
      </c>
      <c r="W162" s="86">
        <f t="shared" si="41"/>
        <v>35888.15</v>
      </c>
      <c r="X162" s="85">
        <v>928</v>
      </c>
      <c r="Y162" s="86">
        <f t="shared" si="42"/>
        <v>32164.479999999996</v>
      </c>
      <c r="Z162" s="85">
        <v>799</v>
      </c>
      <c r="AA162" s="85">
        <f t="shared" si="43"/>
        <v>28803.949999999997</v>
      </c>
      <c r="AB162" s="88">
        <v>1266</v>
      </c>
      <c r="AC162" s="85">
        <f t="shared" si="44"/>
        <v>44360.639999999999</v>
      </c>
      <c r="AD162" s="89">
        <v>1376</v>
      </c>
      <c r="AE162" s="85">
        <f t="shared" si="45"/>
        <v>47031.68</v>
      </c>
      <c r="AF162" s="85">
        <v>1291</v>
      </c>
      <c r="AG162" s="89">
        <f t="shared" si="46"/>
        <v>42990.299999999996</v>
      </c>
      <c r="AH162" s="89"/>
      <c r="AI162" s="85">
        <f t="shared" si="47"/>
        <v>0</v>
      </c>
      <c r="AJ162" s="89">
        <v>1548</v>
      </c>
      <c r="AK162" s="85">
        <f t="shared" si="48"/>
        <v>56765.16</v>
      </c>
      <c r="AL162" s="113">
        <f t="shared" si="38"/>
        <v>14212</v>
      </c>
      <c r="AM162" s="23">
        <f t="shared" si="39"/>
        <v>495447.08999999997</v>
      </c>
    </row>
    <row r="163" spans="1:39" x14ac:dyDescent="0.5">
      <c r="A163" s="16">
        <v>159</v>
      </c>
      <c r="B163" s="83" t="s">
        <v>1222</v>
      </c>
      <c r="C163" s="84" t="s">
        <v>1223</v>
      </c>
      <c r="D163" s="85">
        <v>498</v>
      </c>
      <c r="E163" s="85">
        <f t="shared" si="49"/>
        <v>15497.76</v>
      </c>
      <c r="F163" s="86">
        <v>423</v>
      </c>
      <c r="G163" s="85">
        <f t="shared" si="50"/>
        <v>13709.429999999998</v>
      </c>
      <c r="H163" s="86">
        <v>472</v>
      </c>
      <c r="I163" s="85">
        <f t="shared" si="51"/>
        <v>15580.72</v>
      </c>
      <c r="J163" s="86">
        <v>511</v>
      </c>
      <c r="K163" s="86">
        <f t="shared" si="52"/>
        <v>17946.32</v>
      </c>
      <c r="L163" s="86">
        <v>410</v>
      </c>
      <c r="M163" s="86">
        <f t="shared" si="53"/>
        <v>15682.5</v>
      </c>
      <c r="N163" s="85">
        <v>379</v>
      </c>
      <c r="O163" s="86">
        <f t="shared" si="54"/>
        <v>15918</v>
      </c>
      <c r="P163" s="85">
        <v>311</v>
      </c>
      <c r="Q163" s="86">
        <f t="shared" si="55"/>
        <v>12035.7</v>
      </c>
      <c r="R163" s="85">
        <v>583</v>
      </c>
      <c r="S163" s="86">
        <f t="shared" si="56"/>
        <v>19647.100000000002</v>
      </c>
      <c r="T163" s="85">
        <v>383</v>
      </c>
      <c r="U163" s="86">
        <f t="shared" si="40"/>
        <v>12562.4</v>
      </c>
      <c r="V163" s="87">
        <v>492</v>
      </c>
      <c r="W163" s="86">
        <f t="shared" si="41"/>
        <v>17293.8</v>
      </c>
      <c r="X163" s="85">
        <v>307</v>
      </c>
      <c r="Y163" s="86">
        <f t="shared" si="42"/>
        <v>10640.619999999999</v>
      </c>
      <c r="Z163" s="85">
        <v>363</v>
      </c>
      <c r="AA163" s="85">
        <f t="shared" si="43"/>
        <v>13086.15</v>
      </c>
      <c r="AB163" s="88">
        <v>361</v>
      </c>
      <c r="AC163" s="85">
        <f t="shared" si="44"/>
        <v>12649.44</v>
      </c>
      <c r="AD163" s="89">
        <v>612</v>
      </c>
      <c r="AE163" s="85">
        <f t="shared" si="45"/>
        <v>20918.16</v>
      </c>
      <c r="AF163" s="85">
        <v>736</v>
      </c>
      <c r="AG163" s="89">
        <f t="shared" si="46"/>
        <v>24508.799999999999</v>
      </c>
      <c r="AH163" s="89">
        <v>551</v>
      </c>
      <c r="AI163" s="85">
        <f t="shared" si="47"/>
        <v>19808.45</v>
      </c>
      <c r="AJ163" s="89">
        <v>729</v>
      </c>
      <c r="AK163" s="85">
        <f t="shared" si="48"/>
        <v>26732.43</v>
      </c>
      <c r="AL163" s="113">
        <f t="shared" si="38"/>
        <v>8121</v>
      </c>
      <c r="AM163" s="23">
        <f t="shared" si="39"/>
        <v>284217.77999999997</v>
      </c>
    </row>
    <row r="164" spans="1:39" s="114" customFormat="1" x14ac:dyDescent="0.5">
      <c r="A164" s="16">
        <v>160</v>
      </c>
      <c r="B164" s="83" t="s">
        <v>38</v>
      </c>
      <c r="C164" s="84" t="s">
        <v>1224</v>
      </c>
      <c r="D164" s="85">
        <v>789</v>
      </c>
      <c r="E164" s="85">
        <f t="shared" si="49"/>
        <v>24553.68</v>
      </c>
      <c r="F164" s="86"/>
      <c r="G164" s="85">
        <f t="shared" si="50"/>
        <v>0</v>
      </c>
      <c r="H164" s="86"/>
      <c r="I164" s="85">
        <f t="shared" si="51"/>
        <v>0</v>
      </c>
      <c r="J164" s="86"/>
      <c r="K164" s="86">
        <f t="shared" si="52"/>
        <v>0</v>
      </c>
      <c r="L164" s="86"/>
      <c r="M164" s="86">
        <f t="shared" si="53"/>
        <v>0</v>
      </c>
      <c r="N164" s="85">
        <v>397</v>
      </c>
      <c r="O164" s="86">
        <f t="shared" si="54"/>
        <v>16674</v>
      </c>
      <c r="P164" s="85">
        <v>608</v>
      </c>
      <c r="Q164" s="86">
        <f t="shared" si="55"/>
        <v>23529.600000000002</v>
      </c>
      <c r="R164" s="85">
        <v>875</v>
      </c>
      <c r="S164" s="86">
        <f t="shared" si="56"/>
        <v>29487.500000000004</v>
      </c>
      <c r="T164" s="85">
        <v>659</v>
      </c>
      <c r="U164" s="86">
        <f t="shared" si="40"/>
        <v>21615.199999999997</v>
      </c>
      <c r="V164" s="87">
        <v>677</v>
      </c>
      <c r="W164" s="86">
        <f t="shared" si="41"/>
        <v>23796.55</v>
      </c>
      <c r="X164" s="85"/>
      <c r="Y164" s="86">
        <f t="shared" si="42"/>
        <v>0</v>
      </c>
      <c r="Z164" s="85"/>
      <c r="AA164" s="85">
        <f t="shared" si="43"/>
        <v>0</v>
      </c>
      <c r="AB164" s="88"/>
      <c r="AC164" s="85">
        <f t="shared" si="44"/>
        <v>0</v>
      </c>
      <c r="AD164" s="89"/>
      <c r="AE164" s="85">
        <f t="shared" si="45"/>
        <v>0</v>
      </c>
      <c r="AF164" s="85"/>
      <c r="AG164" s="89">
        <f t="shared" si="46"/>
        <v>0</v>
      </c>
      <c r="AH164" s="89"/>
      <c r="AI164" s="85">
        <f t="shared" si="47"/>
        <v>0</v>
      </c>
      <c r="AJ164" s="89"/>
      <c r="AK164" s="85">
        <f t="shared" si="48"/>
        <v>0</v>
      </c>
      <c r="AL164" s="113">
        <f t="shared" si="38"/>
        <v>4005</v>
      </c>
      <c r="AM164" s="23">
        <f t="shared" si="39"/>
        <v>139656.53</v>
      </c>
    </row>
    <row r="165" spans="1:39" s="114" customFormat="1" x14ac:dyDescent="0.5">
      <c r="A165" s="16">
        <v>161</v>
      </c>
      <c r="B165" s="83" t="s">
        <v>1225</v>
      </c>
      <c r="C165" s="84" t="s">
        <v>1226</v>
      </c>
      <c r="D165" s="85"/>
      <c r="E165" s="85">
        <f t="shared" si="49"/>
        <v>0</v>
      </c>
      <c r="F165" s="86"/>
      <c r="G165" s="85">
        <f t="shared" si="50"/>
        <v>0</v>
      </c>
      <c r="H165" s="86"/>
      <c r="I165" s="85">
        <f t="shared" si="51"/>
        <v>0</v>
      </c>
      <c r="J165" s="86"/>
      <c r="K165" s="86">
        <f t="shared" si="52"/>
        <v>0</v>
      </c>
      <c r="L165" s="86"/>
      <c r="M165" s="86">
        <f t="shared" si="53"/>
        <v>0</v>
      </c>
      <c r="N165" s="85"/>
      <c r="O165" s="86">
        <f t="shared" si="54"/>
        <v>0</v>
      </c>
      <c r="P165" s="85">
        <v>313</v>
      </c>
      <c r="Q165" s="86">
        <f t="shared" si="55"/>
        <v>12113.1</v>
      </c>
      <c r="R165" s="85">
        <v>290</v>
      </c>
      <c r="S165" s="86">
        <f t="shared" si="56"/>
        <v>9773</v>
      </c>
      <c r="T165" s="85"/>
      <c r="U165" s="86">
        <f t="shared" si="40"/>
        <v>0</v>
      </c>
      <c r="V165" s="87"/>
      <c r="W165" s="86">
        <f t="shared" si="41"/>
        <v>0</v>
      </c>
      <c r="X165" s="85"/>
      <c r="Y165" s="86">
        <f t="shared" si="42"/>
        <v>0</v>
      </c>
      <c r="Z165" s="85"/>
      <c r="AA165" s="85">
        <f t="shared" si="43"/>
        <v>0</v>
      </c>
      <c r="AB165" s="88"/>
      <c r="AC165" s="85">
        <f t="shared" si="44"/>
        <v>0</v>
      </c>
      <c r="AD165" s="89"/>
      <c r="AE165" s="85">
        <f t="shared" si="45"/>
        <v>0</v>
      </c>
      <c r="AF165" s="85"/>
      <c r="AG165" s="89">
        <f t="shared" si="46"/>
        <v>0</v>
      </c>
      <c r="AH165" s="89"/>
      <c r="AI165" s="85">
        <f t="shared" si="47"/>
        <v>0</v>
      </c>
      <c r="AJ165" s="89"/>
      <c r="AK165" s="85">
        <f t="shared" si="48"/>
        <v>0</v>
      </c>
      <c r="AL165" s="113">
        <f t="shared" si="38"/>
        <v>603</v>
      </c>
      <c r="AM165" s="23">
        <f t="shared" si="39"/>
        <v>21886.1</v>
      </c>
    </row>
    <row r="166" spans="1:39" s="114" customFormat="1" x14ac:dyDescent="0.5">
      <c r="A166" s="16">
        <v>162</v>
      </c>
      <c r="B166" s="83" t="s">
        <v>1227</v>
      </c>
      <c r="C166" s="84" t="s">
        <v>1228</v>
      </c>
      <c r="D166" s="85"/>
      <c r="E166" s="85">
        <f t="shared" si="49"/>
        <v>0</v>
      </c>
      <c r="F166" s="86"/>
      <c r="G166" s="85">
        <f t="shared" si="50"/>
        <v>0</v>
      </c>
      <c r="H166" s="86"/>
      <c r="I166" s="85">
        <f t="shared" si="51"/>
        <v>0</v>
      </c>
      <c r="J166" s="86"/>
      <c r="K166" s="86">
        <f t="shared" si="52"/>
        <v>0</v>
      </c>
      <c r="L166" s="86">
        <v>352</v>
      </c>
      <c r="M166" s="86">
        <f t="shared" si="53"/>
        <v>13464</v>
      </c>
      <c r="N166" s="85"/>
      <c r="O166" s="86">
        <f t="shared" si="54"/>
        <v>0</v>
      </c>
      <c r="P166" s="85"/>
      <c r="Q166" s="86">
        <f t="shared" si="55"/>
        <v>0</v>
      </c>
      <c r="R166" s="85"/>
      <c r="S166" s="86">
        <f t="shared" si="56"/>
        <v>0</v>
      </c>
      <c r="T166" s="85"/>
      <c r="U166" s="86">
        <f t="shared" si="40"/>
        <v>0</v>
      </c>
      <c r="V166" s="87"/>
      <c r="W166" s="86">
        <f t="shared" si="41"/>
        <v>0</v>
      </c>
      <c r="X166" s="85"/>
      <c r="Y166" s="86">
        <f t="shared" si="42"/>
        <v>0</v>
      </c>
      <c r="Z166" s="85"/>
      <c r="AA166" s="85">
        <f t="shared" si="43"/>
        <v>0</v>
      </c>
      <c r="AB166" s="88"/>
      <c r="AC166" s="85">
        <f t="shared" si="44"/>
        <v>0</v>
      </c>
      <c r="AD166" s="89"/>
      <c r="AE166" s="85">
        <f t="shared" si="45"/>
        <v>0</v>
      </c>
      <c r="AF166" s="85"/>
      <c r="AG166" s="89">
        <f t="shared" si="46"/>
        <v>0</v>
      </c>
      <c r="AH166" s="89"/>
      <c r="AI166" s="85">
        <f t="shared" si="47"/>
        <v>0</v>
      </c>
      <c r="AJ166" s="89"/>
      <c r="AK166" s="85">
        <f t="shared" si="48"/>
        <v>0</v>
      </c>
      <c r="AL166" s="113">
        <f t="shared" si="38"/>
        <v>352</v>
      </c>
      <c r="AM166" s="23">
        <f t="shared" si="39"/>
        <v>13464</v>
      </c>
    </row>
    <row r="167" spans="1:39" s="114" customFormat="1" x14ac:dyDescent="0.5">
      <c r="A167" s="16">
        <v>163</v>
      </c>
      <c r="B167" s="83" t="s">
        <v>1229</v>
      </c>
      <c r="C167" s="84" t="s">
        <v>1230</v>
      </c>
      <c r="D167" s="85">
        <v>272</v>
      </c>
      <c r="E167" s="85">
        <f t="shared" si="49"/>
        <v>8464.64</v>
      </c>
      <c r="F167" s="86">
        <v>361</v>
      </c>
      <c r="G167" s="85">
        <f t="shared" si="50"/>
        <v>11700.009999999998</v>
      </c>
      <c r="H167" s="86"/>
      <c r="I167" s="85">
        <f t="shared" si="51"/>
        <v>0</v>
      </c>
      <c r="J167" s="86"/>
      <c r="K167" s="86">
        <f t="shared" si="52"/>
        <v>0</v>
      </c>
      <c r="L167" s="86"/>
      <c r="M167" s="86">
        <f t="shared" si="53"/>
        <v>0</v>
      </c>
      <c r="N167" s="85"/>
      <c r="O167" s="86">
        <f t="shared" si="54"/>
        <v>0</v>
      </c>
      <c r="P167" s="85">
        <v>418</v>
      </c>
      <c r="Q167" s="86">
        <f t="shared" si="55"/>
        <v>16176.6</v>
      </c>
      <c r="R167" s="85">
        <v>491</v>
      </c>
      <c r="S167" s="86">
        <f t="shared" si="56"/>
        <v>16546.7</v>
      </c>
      <c r="T167" s="85">
        <v>359</v>
      </c>
      <c r="U167" s="86">
        <f t="shared" si="40"/>
        <v>11775.199999999999</v>
      </c>
      <c r="V167" s="87">
        <v>464</v>
      </c>
      <c r="W167" s="86">
        <f t="shared" si="41"/>
        <v>16309.599999999999</v>
      </c>
      <c r="X167" s="85">
        <v>497</v>
      </c>
      <c r="Y167" s="86">
        <f t="shared" si="42"/>
        <v>17226.019999999997</v>
      </c>
      <c r="Z167" s="85"/>
      <c r="AA167" s="85">
        <f t="shared" si="43"/>
        <v>0</v>
      </c>
      <c r="AB167" s="88">
        <v>431</v>
      </c>
      <c r="AC167" s="85">
        <f t="shared" si="44"/>
        <v>15102.24</v>
      </c>
      <c r="AD167" s="89"/>
      <c r="AE167" s="85">
        <f t="shared" si="45"/>
        <v>0</v>
      </c>
      <c r="AF167" s="85"/>
      <c r="AG167" s="89">
        <f t="shared" si="46"/>
        <v>0</v>
      </c>
      <c r="AH167" s="89"/>
      <c r="AI167" s="85">
        <f t="shared" si="47"/>
        <v>0</v>
      </c>
      <c r="AJ167" s="89"/>
      <c r="AK167" s="85">
        <f t="shared" si="48"/>
        <v>0</v>
      </c>
      <c r="AL167" s="113">
        <f t="shared" si="38"/>
        <v>3293</v>
      </c>
      <c r="AM167" s="23">
        <f t="shared" si="39"/>
        <v>113301.01</v>
      </c>
    </row>
    <row r="168" spans="1:39" s="114" customFormat="1" x14ac:dyDescent="0.5">
      <c r="A168" s="16">
        <v>164</v>
      </c>
      <c r="B168" s="83" t="s">
        <v>1231</v>
      </c>
      <c r="C168" s="84" t="s">
        <v>1230</v>
      </c>
      <c r="D168" s="85">
        <v>754</v>
      </c>
      <c r="E168" s="85">
        <f t="shared" si="49"/>
        <v>23464.48</v>
      </c>
      <c r="F168" s="86">
        <v>373</v>
      </c>
      <c r="G168" s="85">
        <f t="shared" si="50"/>
        <v>12088.929999999998</v>
      </c>
      <c r="H168" s="86"/>
      <c r="I168" s="85">
        <f t="shared" si="51"/>
        <v>0</v>
      </c>
      <c r="J168" s="86"/>
      <c r="K168" s="86">
        <f t="shared" si="52"/>
        <v>0</v>
      </c>
      <c r="L168" s="86"/>
      <c r="M168" s="86">
        <f t="shared" si="53"/>
        <v>0</v>
      </c>
      <c r="N168" s="85"/>
      <c r="O168" s="86">
        <f t="shared" si="54"/>
        <v>0</v>
      </c>
      <c r="P168" s="85"/>
      <c r="Q168" s="86">
        <f t="shared" si="55"/>
        <v>0</v>
      </c>
      <c r="R168" s="85"/>
      <c r="S168" s="86">
        <f t="shared" si="56"/>
        <v>0</v>
      </c>
      <c r="T168" s="85"/>
      <c r="U168" s="86">
        <f t="shared" si="40"/>
        <v>0</v>
      </c>
      <c r="V168" s="87"/>
      <c r="W168" s="86">
        <f t="shared" si="41"/>
        <v>0</v>
      </c>
      <c r="X168" s="85"/>
      <c r="Y168" s="86">
        <f t="shared" si="42"/>
        <v>0</v>
      </c>
      <c r="Z168" s="85"/>
      <c r="AA168" s="85">
        <f t="shared" si="43"/>
        <v>0</v>
      </c>
      <c r="AB168" s="88"/>
      <c r="AC168" s="85">
        <f t="shared" si="44"/>
        <v>0</v>
      </c>
      <c r="AD168" s="89"/>
      <c r="AE168" s="85">
        <f t="shared" si="45"/>
        <v>0</v>
      </c>
      <c r="AF168" s="85"/>
      <c r="AG168" s="89">
        <f t="shared" si="46"/>
        <v>0</v>
      </c>
      <c r="AH168" s="89"/>
      <c r="AI168" s="85">
        <f t="shared" si="47"/>
        <v>0</v>
      </c>
      <c r="AJ168" s="89"/>
      <c r="AK168" s="85">
        <f t="shared" si="48"/>
        <v>0</v>
      </c>
      <c r="AL168" s="113">
        <f t="shared" si="38"/>
        <v>1127</v>
      </c>
      <c r="AM168" s="23">
        <f t="shared" si="39"/>
        <v>35553.409999999996</v>
      </c>
    </row>
    <row r="169" spans="1:39" x14ac:dyDescent="0.5">
      <c r="A169" s="16">
        <v>165</v>
      </c>
      <c r="B169" s="83" t="s">
        <v>1232</v>
      </c>
      <c r="C169" s="84" t="s">
        <v>1233</v>
      </c>
      <c r="D169" s="85">
        <v>905</v>
      </c>
      <c r="E169" s="85">
        <f t="shared" si="49"/>
        <v>28163.600000000002</v>
      </c>
      <c r="F169" s="86">
        <v>630</v>
      </c>
      <c r="G169" s="85">
        <f t="shared" si="50"/>
        <v>20418.3</v>
      </c>
      <c r="H169" s="86">
        <v>220</v>
      </c>
      <c r="I169" s="85">
        <f t="shared" si="51"/>
        <v>7262.2</v>
      </c>
      <c r="J169" s="86"/>
      <c r="K169" s="86">
        <f t="shared" si="52"/>
        <v>0</v>
      </c>
      <c r="L169" s="86">
        <v>421</v>
      </c>
      <c r="M169" s="86">
        <f t="shared" si="53"/>
        <v>16103.25</v>
      </c>
      <c r="N169" s="85">
        <v>408</v>
      </c>
      <c r="O169" s="86">
        <f t="shared" si="54"/>
        <v>17136</v>
      </c>
      <c r="P169" s="85"/>
      <c r="Q169" s="86">
        <f t="shared" si="55"/>
        <v>0</v>
      </c>
      <c r="R169" s="85"/>
      <c r="S169" s="86">
        <f t="shared" si="56"/>
        <v>0</v>
      </c>
      <c r="T169" s="85"/>
      <c r="U169" s="86">
        <f t="shared" si="40"/>
        <v>0</v>
      </c>
      <c r="V169" s="87"/>
      <c r="W169" s="86">
        <f t="shared" si="41"/>
        <v>0</v>
      </c>
      <c r="X169" s="85"/>
      <c r="Y169" s="86">
        <f t="shared" si="42"/>
        <v>0</v>
      </c>
      <c r="Z169" s="85"/>
      <c r="AA169" s="85">
        <f t="shared" si="43"/>
        <v>0</v>
      </c>
      <c r="AB169" s="88"/>
      <c r="AC169" s="85">
        <f t="shared" si="44"/>
        <v>0</v>
      </c>
      <c r="AD169" s="89"/>
      <c r="AE169" s="85">
        <f t="shared" si="45"/>
        <v>0</v>
      </c>
      <c r="AF169" s="85"/>
      <c r="AG169" s="89">
        <f t="shared" si="46"/>
        <v>0</v>
      </c>
      <c r="AH169" s="89"/>
      <c r="AI169" s="85">
        <f t="shared" si="47"/>
        <v>0</v>
      </c>
      <c r="AJ169" s="89">
        <v>310</v>
      </c>
      <c r="AK169" s="85">
        <f t="shared" si="48"/>
        <v>11367.7</v>
      </c>
      <c r="AL169" s="113">
        <f t="shared" si="38"/>
        <v>2894</v>
      </c>
      <c r="AM169" s="23">
        <f t="shared" si="39"/>
        <v>100451.05</v>
      </c>
    </row>
    <row r="170" spans="1:39" s="114" customFormat="1" x14ac:dyDescent="0.5">
      <c r="A170" s="16">
        <v>166</v>
      </c>
      <c r="B170" s="83" t="s">
        <v>363</v>
      </c>
      <c r="C170" s="84" t="s">
        <v>1230</v>
      </c>
      <c r="D170" s="85"/>
      <c r="E170" s="85">
        <f t="shared" si="49"/>
        <v>0</v>
      </c>
      <c r="F170" s="86"/>
      <c r="G170" s="85">
        <f t="shared" si="50"/>
        <v>0</v>
      </c>
      <c r="H170" s="86"/>
      <c r="I170" s="85">
        <f t="shared" si="51"/>
        <v>0</v>
      </c>
      <c r="J170" s="86"/>
      <c r="K170" s="86">
        <f t="shared" si="52"/>
        <v>0</v>
      </c>
      <c r="L170" s="86"/>
      <c r="M170" s="86">
        <f t="shared" si="53"/>
        <v>0</v>
      </c>
      <c r="N170" s="85">
        <v>384</v>
      </c>
      <c r="O170" s="86">
        <f t="shared" si="54"/>
        <v>16128</v>
      </c>
      <c r="P170" s="85"/>
      <c r="Q170" s="86">
        <f t="shared" si="55"/>
        <v>0</v>
      </c>
      <c r="R170" s="85"/>
      <c r="S170" s="86">
        <f t="shared" si="56"/>
        <v>0</v>
      </c>
      <c r="T170" s="85"/>
      <c r="U170" s="86">
        <f t="shared" si="40"/>
        <v>0</v>
      </c>
      <c r="V170" s="87"/>
      <c r="W170" s="86">
        <f t="shared" si="41"/>
        <v>0</v>
      </c>
      <c r="X170" s="85"/>
      <c r="Y170" s="86">
        <f t="shared" si="42"/>
        <v>0</v>
      </c>
      <c r="Z170" s="85"/>
      <c r="AA170" s="85">
        <f t="shared" si="43"/>
        <v>0</v>
      </c>
      <c r="AB170" s="88"/>
      <c r="AC170" s="85">
        <f t="shared" si="44"/>
        <v>0</v>
      </c>
      <c r="AD170" s="89"/>
      <c r="AE170" s="85">
        <f t="shared" si="45"/>
        <v>0</v>
      </c>
      <c r="AF170" s="85"/>
      <c r="AG170" s="89">
        <f t="shared" si="46"/>
        <v>0</v>
      </c>
      <c r="AH170" s="89"/>
      <c r="AI170" s="85">
        <f t="shared" si="47"/>
        <v>0</v>
      </c>
      <c r="AJ170" s="89"/>
      <c r="AK170" s="85">
        <f t="shared" si="48"/>
        <v>0</v>
      </c>
      <c r="AL170" s="113">
        <f t="shared" si="38"/>
        <v>384</v>
      </c>
      <c r="AM170" s="23">
        <f t="shared" si="39"/>
        <v>16128</v>
      </c>
    </row>
    <row r="171" spans="1:39" s="114" customFormat="1" x14ac:dyDescent="0.5">
      <c r="A171" s="16">
        <v>167</v>
      </c>
      <c r="B171" s="83" t="s">
        <v>1234</v>
      </c>
      <c r="C171" s="84"/>
      <c r="D171" s="85"/>
      <c r="E171" s="85">
        <f t="shared" si="49"/>
        <v>0</v>
      </c>
      <c r="F171" s="86"/>
      <c r="G171" s="85">
        <f t="shared" si="50"/>
        <v>0</v>
      </c>
      <c r="H171" s="86"/>
      <c r="I171" s="85">
        <f t="shared" si="51"/>
        <v>0</v>
      </c>
      <c r="J171" s="86"/>
      <c r="K171" s="86">
        <f t="shared" si="52"/>
        <v>0</v>
      </c>
      <c r="L171" s="86"/>
      <c r="M171" s="86">
        <f t="shared" si="53"/>
        <v>0</v>
      </c>
      <c r="N171" s="85"/>
      <c r="O171" s="86">
        <f t="shared" si="54"/>
        <v>0</v>
      </c>
      <c r="P171" s="85">
        <v>109</v>
      </c>
      <c r="Q171" s="86">
        <f t="shared" si="55"/>
        <v>4218.3</v>
      </c>
      <c r="R171" s="85"/>
      <c r="S171" s="86">
        <f t="shared" si="56"/>
        <v>0</v>
      </c>
      <c r="T171" s="85"/>
      <c r="U171" s="86">
        <f t="shared" si="40"/>
        <v>0</v>
      </c>
      <c r="V171" s="87"/>
      <c r="W171" s="86">
        <f t="shared" si="41"/>
        <v>0</v>
      </c>
      <c r="X171" s="85"/>
      <c r="Y171" s="86">
        <f t="shared" si="42"/>
        <v>0</v>
      </c>
      <c r="Z171" s="85"/>
      <c r="AA171" s="85">
        <f t="shared" si="43"/>
        <v>0</v>
      </c>
      <c r="AB171" s="88"/>
      <c r="AC171" s="85">
        <f t="shared" si="44"/>
        <v>0</v>
      </c>
      <c r="AD171" s="89"/>
      <c r="AE171" s="85">
        <f t="shared" si="45"/>
        <v>0</v>
      </c>
      <c r="AF171" s="85"/>
      <c r="AG171" s="89">
        <f t="shared" si="46"/>
        <v>0</v>
      </c>
      <c r="AH171" s="89"/>
      <c r="AI171" s="85">
        <f t="shared" si="47"/>
        <v>0</v>
      </c>
      <c r="AJ171" s="89"/>
      <c r="AK171" s="85">
        <f t="shared" si="48"/>
        <v>0</v>
      </c>
      <c r="AL171" s="113">
        <f t="shared" si="38"/>
        <v>109</v>
      </c>
      <c r="AM171" s="23">
        <f t="shared" si="39"/>
        <v>4218.3</v>
      </c>
    </row>
    <row r="172" spans="1:39" s="114" customFormat="1" x14ac:dyDescent="0.5">
      <c r="A172" s="16">
        <v>168</v>
      </c>
      <c r="B172" s="90" t="s">
        <v>1229</v>
      </c>
      <c r="C172" s="83" t="s">
        <v>1235</v>
      </c>
      <c r="D172" s="12"/>
      <c r="E172" s="85">
        <f t="shared" si="49"/>
        <v>0</v>
      </c>
      <c r="F172" s="17"/>
      <c r="G172" s="85">
        <f t="shared" si="50"/>
        <v>0</v>
      </c>
      <c r="H172" s="17"/>
      <c r="I172" s="85">
        <f t="shared" si="51"/>
        <v>0</v>
      </c>
      <c r="J172" s="17"/>
      <c r="K172" s="86">
        <f t="shared" si="52"/>
        <v>0</v>
      </c>
      <c r="L172" s="17"/>
      <c r="M172" s="86">
        <f t="shared" si="53"/>
        <v>0</v>
      </c>
      <c r="N172" s="12">
        <v>634</v>
      </c>
      <c r="O172" s="86">
        <f t="shared" si="54"/>
        <v>26628</v>
      </c>
      <c r="P172" s="12">
        <v>199</v>
      </c>
      <c r="Q172" s="86">
        <f t="shared" si="55"/>
        <v>7701.3</v>
      </c>
      <c r="R172" s="85"/>
      <c r="S172" s="86">
        <f t="shared" si="56"/>
        <v>0</v>
      </c>
      <c r="T172" s="12"/>
      <c r="U172" s="86">
        <f t="shared" si="40"/>
        <v>0</v>
      </c>
      <c r="V172" s="12"/>
      <c r="W172" s="86">
        <f t="shared" si="41"/>
        <v>0</v>
      </c>
      <c r="X172" s="12"/>
      <c r="Y172" s="86">
        <f t="shared" si="42"/>
        <v>0</v>
      </c>
      <c r="Z172" s="12"/>
      <c r="AA172" s="85">
        <f t="shared" si="43"/>
        <v>0</v>
      </c>
      <c r="AB172" s="88"/>
      <c r="AC172" s="85">
        <f t="shared" si="44"/>
        <v>0</v>
      </c>
      <c r="AD172" s="13"/>
      <c r="AE172" s="85">
        <f t="shared" si="45"/>
        <v>0</v>
      </c>
      <c r="AF172" s="12"/>
      <c r="AG172" s="89">
        <f t="shared" si="46"/>
        <v>0</v>
      </c>
      <c r="AH172" s="13"/>
      <c r="AI172" s="85">
        <f t="shared" si="47"/>
        <v>0</v>
      </c>
      <c r="AJ172" s="13"/>
      <c r="AK172" s="85">
        <f t="shared" si="48"/>
        <v>0</v>
      </c>
      <c r="AL172" s="113">
        <f t="shared" si="38"/>
        <v>833</v>
      </c>
      <c r="AM172" s="23">
        <f t="shared" si="39"/>
        <v>34329.300000000003</v>
      </c>
    </row>
    <row r="173" spans="1:39" s="114" customFormat="1" x14ac:dyDescent="0.5">
      <c r="A173" s="16">
        <v>169</v>
      </c>
      <c r="B173" s="90" t="s">
        <v>1236</v>
      </c>
      <c r="C173" s="83" t="s">
        <v>1237</v>
      </c>
      <c r="D173" s="12"/>
      <c r="E173" s="85">
        <f t="shared" si="49"/>
        <v>0</v>
      </c>
      <c r="F173" s="17">
        <v>77</v>
      </c>
      <c r="G173" s="85">
        <f t="shared" si="50"/>
        <v>2495.5699999999997</v>
      </c>
      <c r="H173" s="17">
        <v>95</v>
      </c>
      <c r="I173" s="85">
        <f t="shared" si="51"/>
        <v>3135.95</v>
      </c>
      <c r="J173" s="17">
        <v>97</v>
      </c>
      <c r="K173" s="86">
        <f t="shared" si="52"/>
        <v>3406.64</v>
      </c>
      <c r="L173" s="17">
        <v>66</v>
      </c>
      <c r="M173" s="86">
        <f t="shared" si="53"/>
        <v>2524.5</v>
      </c>
      <c r="N173" s="12">
        <v>89</v>
      </c>
      <c r="O173" s="86">
        <f t="shared" si="54"/>
        <v>3738</v>
      </c>
      <c r="P173" s="12">
        <v>66</v>
      </c>
      <c r="Q173" s="86">
        <f t="shared" si="55"/>
        <v>2554.2000000000003</v>
      </c>
      <c r="R173" s="85">
        <v>96</v>
      </c>
      <c r="S173" s="86">
        <f t="shared" si="56"/>
        <v>3235.2000000000003</v>
      </c>
      <c r="T173" s="12"/>
      <c r="U173" s="86">
        <f t="shared" si="40"/>
        <v>0</v>
      </c>
      <c r="V173" s="12">
        <v>300</v>
      </c>
      <c r="W173" s="86">
        <f t="shared" si="41"/>
        <v>10545</v>
      </c>
      <c r="X173" s="12"/>
      <c r="Y173" s="86">
        <f t="shared" si="42"/>
        <v>0</v>
      </c>
      <c r="Z173" s="12"/>
      <c r="AA173" s="85">
        <f t="shared" si="43"/>
        <v>0</v>
      </c>
      <c r="AB173" s="88"/>
      <c r="AC173" s="85">
        <f t="shared" si="44"/>
        <v>0</v>
      </c>
      <c r="AD173" s="13"/>
      <c r="AE173" s="85">
        <f t="shared" si="45"/>
        <v>0</v>
      </c>
      <c r="AF173" s="12"/>
      <c r="AG173" s="89">
        <f t="shared" si="46"/>
        <v>0</v>
      </c>
      <c r="AH173" s="13"/>
      <c r="AI173" s="85">
        <f t="shared" si="47"/>
        <v>0</v>
      </c>
      <c r="AJ173" s="13"/>
      <c r="AK173" s="85">
        <f t="shared" si="48"/>
        <v>0</v>
      </c>
      <c r="AL173" s="113">
        <f t="shared" si="38"/>
        <v>886</v>
      </c>
      <c r="AM173" s="23">
        <f t="shared" si="39"/>
        <v>31635.06</v>
      </c>
    </row>
    <row r="174" spans="1:39" s="114" customFormat="1" x14ac:dyDescent="0.5">
      <c r="A174" s="16">
        <v>170</v>
      </c>
      <c r="B174" s="90" t="s">
        <v>957</v>
      </c>
      <c r="C174" s="83" t="s">
        <v>1238</v>
      </c>
      <c r="D174" s="12"/>
      <c r="E174" s="85">
        <f t="shared" si="49"/>
        <v>0</v>
      </c>
      <c r="F174" s="17"/>
      <c r="G174" s="85">
        <f t="shared" si="50"/>
        <v>0</v>
      </c>
      <c r="H174" s="17"/>
      <c r="I174" s="85">
        <f t="shared" si="51"/>
        <v>0</v>
      </c>
      <c r="J174" s="17"/>
      <c r="K174" s="86">
        <f t="shared" si="52"/>
        <v>0</v>
      </c>
      <c r="L174" s="17"/>
      <c r="M174" s="86">
        <f t="shared" si="53"/>
        <v>0</v>
      </c>
      <c r="N174" s="12">
        <v>888</v>
      </c>
      <c r="O174" s="86">
        <f t="shared" si="54"/>
        <v>37296</v>
      </c>
      <c r="P174" s="12">
        <v>582</v>
      </c>
      <c r="Q174" s="86">
        <f t="shared" si="55"/>
        <v>22523.4</v>
      </c>
      <c r="R174" s="85"/>
      <c r="S174" s="86">
        <f t="shared" si="56"/>
        <v>0</v>
      </c>
      <c r="T174" s="12"/>
      <c r="U174" s="86">
        <f t="shared" si="40"/>
        <v>0</v>
      </c>
      <c r="V174" s="12"/>
      <c r="W174" s="86">
        <f t="shared" si="41"/>
        <v>0</v>
      </c>
      <c r="X174" s="12">
        <v>826</v>
      </c>
      <c r="Y174" s="86">
        <f t="shared" si="42"/>
        <v>28629.159999999996</v>
      </c>
      <c r="Z174" s="12"/>
      <c r="AA174" s="85">
        <f t="shared" si="43"/>
        <v>0</v>
      </c>
      <c r="AB174" s="88"/>
      <c r="AC174" s="85">
        <f t="shared" si="44"/>
        <v>0</v>
      </c>
      <c r="AD174" s="13"/>
      <c r="AE174" s="85">
        <f t="shared" si="45"/>
        <v>0</v>
      </c>
      <c r="AF174" s="12"/>
      <c r="AG174" s="89">
        <f t="shared" si="46"/>
        <v>0</v>
      </c>
      <c r="AH174" s="13"/>
      <c r="AI174" s="85">
        <f t="shared" si="47"/>
        <v>0</v>
      </c>
      <c r="AJ174" s="13"/>
      <c r="AK174" s="85">
        <f t="shared" si="48"/>
        <v>0</v>
      </c>
      <c r="AL174" s="113">
        <f t="shared" si="38"/>
        <v>2296</v>
      </c>
      <c r="AM174" s="23">
        <f t="shared" si="39"/>
        <v>88448.56</v>
      </c>
    </row>
    <row r="175" spans="1:39" x14ac:dyDescent="0.5">
      <c r="A175" s="16">
        <v>171</v>
      </c>
      <c r="B175" s="90" t="s">
        <v>1239</v>
      </c>
      <c r="C175" s="83" t="s">
        <v>1237</v>
      </c>
      <c r="D175" s="12"/>
      <c r="E175" s="85">
        <f t="shared" si="49"/>
        <v>0</v>
      </c>
      <c r="F175" s="17"/>
      <c r="G175" s="85">
        <f t="shared" si="50"/>
        <v>0</v>
      </c>
      <c r="H175" s="17"/>
      <c r="I175" s="85">
        <f t="shared" si="51"/>
        <v>0</v>
      </c>
      <c r="J175" s="17"/>
      <c r="K175" s="86">
        <f t="shared" si="52"/>
        <v>0</v>
      </c>
      <c r="L175" s="17"/>
      <c r="M175" s="86">
        <f t="shared" si="53"/>
        <v>0</v>
      </c>
      <c r="N175" s="12">
        <v>317</v>
      </c>
      <c r="O175" s="86">
        <f t="shared" si="54"/>
        <v>13314</v>
      </c>
      <c r="P175" s="12">
        <v>204</v>
      </c>
      <c r="Q175" s="86">
        <f t="shared" si="55"/>
        <v>7894.8</v>
      </c>
      <c r="R175" s="85">
        <v>333</v>
      </c>
      <c r="S175" s="86">
        <f t="shared" si="56"/>
        <v>11222.1</v>
      </c>
      <c r="T175" s="12">
        <v>233</v>
      </c>
      <c r="U175" s="86">
        <f t="shared" si="40"/>
        <v>7642.4</v>
      </c>
      <c r="V175" s="12"/>
      <c r="W175" s="86">
        <f t="shared" si="41"/>
        <v>0</v>
      </c>
      <c r="X175" s="12">
        <v>257</v>
      </c>
      <c r="Y175" s="86">
        <f t="shared" si="42"/>
        <v>8907.619999999999</v>
      </c>
      <c r="Z175" s="12"/>
      <c r="AA175" s="85">
        <f t="shared" si="43"/>
        <v>0</v>
      </c>
      <c r="AB175" s="88">
        <v>258</v>
      </c>
      <c r="AC175" s="85">
        <f t="shared" si="44"/>
        <v>9040.32</v>
      </c>
      <c r="AD175" s="13">
        <v>331</v>
      </c>
      <c r="AE175" s="85">
        <f t="shared" si="45"/>
        <v>11313.58</v>
      </c>
      <c r="AF175" s="12">
        <v>242</v>
      </c>
      <c r="AG175" s="89">
        <f t="shared" si="46"/>
        <v>8058.5999999999995</v>
      </c>
      <c r="AH175" s="13">
        <v>250</v>
      </c>
      <c r="AI175" s="85">
        <f t="shared" si="47"/>
        <v>8987.5</v>
      </c>
      <c r="AJ175" s="13">
        <v>261</v>
      </c>
      <c r="AK175" s="85">
        <f t="shared" si="48"/>
        <v>9570.8700000000008</v>
      </c>
      <c r="AL175" s="113">
        <f t="shared" si="38"/>
        <v>2686</v>
      </c>
      <c r="AM175" s="23">
        <f t="shared" si="39"/>
        <v>95951.79</v>
      </c>
    </row>
    <row r="176" spans="1:39" x14ac:dyDescent="0.5">
      <c r="A176" s="16">
        <v>172</v>
      </c>
      <c r="B176" s="90" t="s">
        <v>454</v>
      </c>
      <c r="C176" s="84" t="s">
        <v>1240</v>
      </c>
      <c r="D176" s="12">
        <v>1295</v>
      </c>
      <c r="E176" s="85">
        <f t="shared" si="49"/>
        <v>40300.400000000001</v>
      </c>
      <c r="F176" s="17"/>
      <c r="G176" s="85">
        <f t="shared" si="50"/>
        <v>0</v>
      </c>
      <c r="H176" s="17">
        <v>659</v>
      </c>
      <c r="I176" s="85">
        <f t="shared" si="51"/>
        <v>21753.59</v>
      </c>
      <c r="J176" s="17"/>
      <c r="K176" s="86">
        <f t="shared" si="52"/>
        <v>0</v>
      </c>
      <c r="L176" s="17">
        <v>414</v>
      </c>
      <c r="M176" s="86">
        <f t="shared" si="53"/>
        <v>15835.5</v>
      </c>
      <c r="N176" s="12">
        <v>772</v>
      </c>
      <c r="O176" s="86">
        <f t="shared" si="54"/>
        <v>32424</v>
      </c>
      <c r="P176" s="12">
        <v>970</v>
      </c>
      <c r="Q176" s="86">
        <f t="shared" si="55"/>
        <v>37539</v>
      </c>
      <c r="R176" s="85">
        <v>793</v>
      </c>
      <c r="S176" s="86">
        <f t="shared" si="56"/>
        <v>26724.100000000002</v>
      </c>
      <c r="T176" s="12">
        <v>1048</v>
      </c>
      <c r="U176" s="86">
        <f t="shared" si="40"/>
        <v>34374.399999999994</v>
      </c>
      <c r="V176" s="12">
        <v>917</v>
      </c>
      <c r="W176" s="86">
        <f t="shared" si="41"/>
        <v>32232.55</v>
      </c>
      <c r="X176" s="12">
        <v>942</v>
      </c>
      <c r="Y176" s="86">
        <f t="shared" si="42"/>
        <v>32649.719999999998</v>
      </c>
      <c r="Z176" s="12">
        <v>773</v>
      </c>
      <c r="AA176" s="85">
        <f t="shared" si="43"/>
        <v>27866.649999999998</v>
      </c>
      <c r="AB176" s="88">
        <v>872</v>
      </c>
      <c r="AC176" s="85">
        <f t="shared" si="44"/>
        <v>30554.880000000001</v>
      </c>
      <c r="AD176" s="13">
        <v>945</v>
      </c>
      <c r="AE176" s="85">
        <f t="shared" si="45"/>
        <v>32300.1</v>
      </c>
      <c r="AF176" s="12">
        <v>830</v>
      </c>
      <c r="AG176" s="89">
        <f t="shared" si="46"/>
        <v>27638.999999999996</v>
      </c>
      <c r="AH176" s="13">
        <v>836</v>
      </c>
      <c r="AI176" s="85">
        <f t="shared" si="47"/>
        <v>30054.2</v>
      </c>
      <c r="AJ176" s="13">
        <v>889</v>
      </c>
      <c r="AK176" s="85">
        <f t="shared" si="48"/>
        <v>32599.63</v>
      </c>
      <c r="AL176" s="113">
        <f t="shared" si="38"/>
        <v>12955</v>
      </c>
      <c r="AM176" s="23">
        <f t="shared" si="39"/>
        <v>454847.72</v>
      </c>
    </row>
    <row r="177" spans="1:39" x14ac:dyDescent="0.5">
      <c r="A177" s="16">
        <v>173</v>
      </c>
      <c r="B177" s="90" t="s">
        <v>1241</v>
      </c>
      <c r="C177" s="84" t="s">
        <v>1242</v>
      </c>
      <c r="D177" s="12"/>
      <c r="E177" s="85">
        <f t="shared" si="49"/>
        <v>0</v>
      </c>
      <c r="F177" s="17"/>
      <c r="G177" s="85">
        <f t="shared" si="50"/>
        <v>0</v>
      </c>
      <c r="H177" s="17"/>
      <c r="I177" s="85">
        <f t="shared" si="51"/>
        <v>0</v>
      </c>
      <c r="J177" s="17"/>
      <c r="K177" s="86">
        <f t="shared" si="52"/>
        <v>0</v>
      </c>
      <c r="L177" s="17"/>
      <c r="M177" s="86">
        <f t="shared" si="53"/>
        <v>0</v>
      </c>
      <c r="N177" s="12">
        <v>593</v>
      </c>
      <c r="O177" s="86">
        <f t="shared" si="54"/>
        <v>24906</v>
      </c>
      <c r="P177" s="12">
        <v>524</v>
      </c>
      <c r="Q177" s="86">
        <f t="shared" si="55"/>
        <v>20278.800000000003</v>
      </c>
      <c r="R177" s="85">
        <v>668</v>
      </c>
      <c r="S177" s="86">
        <f t="shared" si="56"/>
        <v>22511.600000000002</v>
      </c>
      <c r="T177" s="12">
        <v>545</v>
      </c>
      <c r="U177" s="86">
        <f t="shared" si="40"/>
        <v>17876</v>
      </c>
      <c r="V177" s="12">
        <v>676</v>
      </c>
      <c r="W177" s="86">
        <f t="shared" si="41"/>
        <v>23761.399999999998</v>
      </c>
      <c r="X177" s="12">
        <v>539</v>
      </c>
      <c r="Y177" s="86">
        <f t="shared" si="42"/>
        <v>18681.739999999998</v>
      </c>
      <c r="Z177" s="12"/>
      <c r="AA177" s="85">
        <f t="shared" si="43"/>
        <v>0</v>
      </c>
      <c r="AB177" s="88">
        <v>725</v>
      </c>
      <c r="AC177" s="85">
        <f t="shared" si="44"/>
        <v>25404</v>
      </c>
      <c r="AD177" s="13">
        <v>565</v>
      </c>
      <c r="AE177" s="85">
        <f t="shared" si="45"/>
        <v>19311.7</v>
      </c>
      <c r="AF177" s="12">
        <v>517</v>
      </c>
      <c r="AG177" s="89">
        <f t="shared" si="46"/>
        <v>17216.099999999999</v>
      </c>
      <c r="AH177" s="13">
        <v>440</v>
      </c>
      <c r="AI177" s="85">
        <f t="shared" si="47"/>
        <v>15818.000000000002</v>
      </c>
      <c r="AJ177" s="13">
        <v>547</v>
      </c>
      <c r="AK177" s="85">
        <f t="shared" si="48"/>
        <v>20058.490000000002</v>
      </c>
      <c r="AL177" s="113">
        <f t="shared" si="38"/>
        <v>6339</v>
      </c>
      <c r="AM177" s="23">
        <f t="shared" si="39"/>
        <v>225823.83000000002</v>
      </c>
    </row>
    <row r="178" spans="1:39" x14ac:dyDescent="0.5">
      <c r="A178" s="16">
        <v>174</v>
      </c>
      <c r="B178" s="90" t="s">
        <v>1215</v>
      </c>
      <c r="C178" s="84" t="s">
        <v>1243</v>
      </c>
      <c r="D178" s="12"/>
      <c r="E178" s="85">
        <f t="shared" si="49"/>
        <v>0</v>
      </c>
      <c r="F178" s="17"/>
      <c r="G178" s="85">
        <f t="shared" si="50"/>
        <v>0</v>
      </c>
      <c r="H178" s="17"/>
      <c r="I178" s="85">
        <f t="shared" si="51"/>
        <v>0</v>
      </c>
      <c r="J178" s="17"/>
      <c r="K178" s="86">
        <f t="shared" si="52"/>
        <v>0</v>
      </c>
      <c r="L178" s="17"/>
      <c r="M178" s="86">
        <f t="shared" si="53"/>
        <v>0</v>
      </c>
      <c r="N178" s="12"/>
      <c r="O178" s="86">
        <f t="shared" si="54"/>
        <v>0</v>
      </c>
      <c r="P178" s="12"/>
      <c r="Q178" s="86">
        <f t="shared" si="55"/>
        <v>0</v>
      </c>
      <c r="R178" s="85"/>
      <c r="S178" s="86">
        <f t="shared" si="56"/>
        <v>0</v>
      </c>
      <c r="T178" s="12"/>
      <c r="U178" s="86">
        <f t="shared" si="40"/>
        <v>0</v>
      </c>
      <c r="V178" s="12">
        <v>367</v>
      </c>
      <c r="W178" s="86">
        <f t="shared" si="41"/>
        <v>12900.05</v>
      </c>
      <c r="X178" s="12"/>
      <c r="Y178" s="86">
        <f t="shared" si="42"/>
        <v>0</v>
      </c>
      <c r="Z178" s="12"/>
      <c r="AA178" s="85">
        <f t="shared" si="43"/>
        <v>0</v>
      </c>
      <c r="AB178" s="88"/>
      <c r="AC178" s="85">
        <f t="shared" si="44"/>
        <v>0</v>
      </c>
      <c r="AD178" s="13"/>
      <c r="AE178" s="85">
        <f t="shared" si="45"/>
        <v>0</v>
      </c>
      <c r="AF178" s="12"/>
      <c r="AG178" s="89">
        <f t="shared" si="46"/>
        <v>0</v>
      </c>
      <c r="AH178" s="13">
        <v>333</v>
      </c>
      <c r="AI178" s="85">
        <f t="shared" si="47"/>
        <v>11971.35</v>
      </c>
      <c r="AJ178" s="13"/>
      <c r="AK178" s="85">
        <f t="shared" si="48"/>
        <v>0</v>
      </c>
      <c r="AL178" s="113">
        <f t="shared" si="38"/>
        <v>700</v>
      </c>
      <c r="AM178" s="23">
        <f t="shared" si="39"/>
        <v>24871.4</v>
      </c>
    </row>
    <row r="179" spans="1:39" s="114" customFormat="1" x14ac:dyDescent="0.5">
      <c r="A179" s="16">
        <v>175</v>
      </c>
      <c r="B179" s="90" t="s">
        <v>1244</v>
      </c>
      <c r="C179" s="84"/>
      <c r="D179" s="12"/>
      <c r="E179" s="85">
        <f t="shared" si="49"/>
        <v>0</v>
      </c>
      <c r="F179" s="17"/>
      <c r="G179" s="85">
        <f t="shared" si="50"/>
        <v>0</v>
      </c>
      <c r="H179" s="17"/>
      <c r="I179" s="85">
        <f t="shared" si="51"/>
        <v>0</v>
      </c>
      <c r="J179" s="17">
        <v>479</v>
      </c>
      <c r="K179" s="86">
        <f t="shared" si="52"/>
        <v>16822.48</v>
      </c>
      <c r="L179" s="17"/>
      <c r="M179" s="86">
        <f t="shared" si="53"/>
        <v>0</v>
      </c>
      <c r="N179" s="12"/>
      <c r="O179" s="86">
        <f t="shared" si="54"/>
        <v>0</v>
      </c>
      <c r="P179" s="12"/>
      <c r="Q179" s="86">
        <f t="shared" si="55"/>
        <v>0</v>
      </c>
      <c r="R179" s="85"/>
      <c r="S179" s="86">
        <f t="shared" si="56"/>
        <v>0</v>
      </c>
      <c r="T179" s="12"/>
      <c r="U179" s="86">
        <f t="shared" si="40"/>
        <v>0</v>
      </c>
      <c r="V179" s="12"/>
      <c r="W179" s="86">
        <f t="shared" si="41"/>
        <v>0</v>
      </c>
      <c r="X179" s="12"/>
      <c r="Y179" s="86">
        <f t="shared" si="42"/>
        <v>0</v>
      </c>
      <c r="Z179" s="12"/>
      <c r="AA179" s="85">
        <f t="shared" si="43"/>
        <v>0</v>
      </c>
      <c r="AB179" s="88"/>
      <c r="AC179" s="85">
        <f t="shared" si="44"/>
        <v>0</v>
      </c>
      <c r="AD179" s="13"/>
      <c r="AE179" s="85">
        <f t="shared" si="45"/>
        <v>0</v>
      </c>
      <c r="AF179" s="12"/>
      <c r="AG179" s="89">
        <f t="shared" si="46"/>
        <v>0</v>
      </c>
      <c r="AH179" s="13"/>
      <c r="AI179" s="85">
        <f t="shared" si="47"/>
        <v>0</v>
      </c>
      <c r="AJ179" s="13"/>
      <c r="AK179" s="85">
        <f t="shared" si="48"/>
        <v>0</v>
      </c>
      <c r="AL179" s="113">
        <f t="shared" si="38"/>
        <v>479</v>
      </c>
      <c r="AM179" s="23">
        <f t="shared" si="39"/>
        <v>16822.48</v>
      </c>
    </row>
    <row r="180" spans="1:39" x14ac:dyDescent="0.5">
      <c r="A180" s="16">
        <v>176</v>
      </c>
      <c r="B180" s="90" t="s">
        <v>756</v>
      </c>
      <c r="C180" s="84" t="s">
        <v>1245</v>
      </c>
      <c r="D180" s="12">
        <v>428</v>
      </c>
      <c r="E180" s="85">
        <f t="shared" si="49"/>
        <v>13319.36</v>
      </c>
      <c r="F180" s="17">
        <v>365</v>
      </c>
      <c r="G180" s="85">
        <f t="shared" si="50"/>
        <v>11829.65</v>
      </c>
      <c r="H180" s="17">
        <v>490</v>
      </c>
      <c r="I180" s="85">
        <f t="shared" si="51"/>
        <v>16174.9</v>
      </c>
      <c r="J180" s="17">
        <v>425</v>
      </c>
      <c r="K180" s="86">
        <f t="shared" si="52"/>
        <v>14925.999999999998</v>
      </c>
      <c r="L180" s="17">
        <v>414</v>
      </c>
      <c r="M180" s="86">
        <f t="shared" si="53"/>
        <v>15835.5</v>
      </c>
      <c r="N180" s="12">
        <v>491</v>
      </c>
      <c r="O180" s="86">
        <f t="shared" si="54"/>
        <v>20622</v>
      </c>
      <c r="P180" s="12">
        <v>507</v>
      </c>
      <c r="Q180" s="86">
        <f t="shared" si="55"/>
        <v>19620.900000000001</v>
      </c>
      <c r="R180" s="85">
        <v>598</v>
      </c>
      <c r="S180" s="86">
        <f t="shared" si="56"/>
        <v>20152.600000000002</v>
      </c>
      <c r="T180" s="12">
        <v>564</v>
      </c>
      <c r="U180" s="86">
        <f t="shared" si="40"/>
        <v>18499.199999999997</v>
      </c>
      <c r="V180" s="12">
        <v>585</v>
      </c>
      <c r="W180" s="86">
        <f t="shared" si="41"/>
        <v>20562.75</v>
      </c>
      <c r="X180" s="12">
        <v>543</v>
      </c>
      <c r="Y180" s="86">
        <f t="shared" si="42"/>
        <v>18820.379999999997</v>
      </c>
      <c r="Z180" s="12"/>
      <c r="AA180" s="85">
        <f t="shared" si="43"/>
        <v>0</v>
      </c>
      <c r="AB180" s="88">
        <v>762</v>
      </c>
      <c r="AC180" s="85">
        <f t="shared" si="44"/>
        <v>26700.48</v>
      </c>
      <c r="AD180" s="13">
        <v>694</v>
      </c>
      <c r="AE180" s="85">
        <f t="shared" si="45"/>
        <v>23720.92</v>
      </c>
      <c r="AF180" s="12">
        <v>692</v>
      </c>
      <c r="AG180" s="89">
        <f t="shared" si="46"/>
        <v>23043.599999999999</v>
      </c>
      <c r="AH180" s="13">
        <v>831</v>
      </c>
      <c r="AI180" s="85">
        <f t="shared" si="47"/>
        <v>29874.45</v>
      </c>
      <c r="AJ180" s="13">
        <v>711</v>
      </c>
      <c r="AK180" s="85">
        <f t="shared" si="48"/>
        <v>26072.370000000003</v>
      </c>
      <c r="AL180" s="113">
        <f t="shared" si="38"/>
        <v>9100</v>
      </c>
      <c r="AM180" s="23">
        <f t="shared" si="39"/>
        <v>319775.06</v>
      </c>
    </row>
    <row r="181" spans="1:39" s="114" customFormat="1" x14ac:dyDescent="0.5">
      <c r="A181" s="16">
        <v>177</v>
      </c>
      <c r="B181" s="90" t="s">
        <v>1246</v>
      </c>
      <c r="C181" s="84" t="s">
        <v>1247</v>
      </c>
      <c r="D181" s="12"/>
      <c r="E181" s="85">
        <f t="shared" si="49"/>
        <v>0</v>
      </c>
      <c r="F181" s="17"/>
      <c r="G181" s="85">
        <f t="shared" si="50"/>
        <v>0</v>
      </c>
      <c r="H181" s="17"/>
      <c r="I181" s="85">
        <f t="shared" si="51"/>
        <v>0</v>
      </c>
      <c r="J181" s="17"/>
      <c r="K181" s="86">
        <f t="shared" si="52"/>
        <v>0</v>
      </c>
      <c r="L181" s="17"/>
      <c r="M181" s="86">
        <f t="shared" si="53"/>
        <v>0</v>
      </c>
      <c r="N181" s="12"/>
      <c r="O181" s="86">
        <f t="shared" si="54"/>
        <v>0</v>
      </c>
      <c r="P181" s="12">
        <v>930</v>
      </c>
      <c r="Q181" s="86">
        <f t="shared" si="55"/>
        <v>35991</v>
      </c>
      <c r="R181" s="85"/>
      <c r="S181" s="86">
        <f t="shared" si="56"/>
        <v>0</v>
      </c>
      <c r="T181" s="12"/>
      <c r="U181" s="86">
        <f t="shared" si="40"/>
        <v>0</v>
      </c>
      <c r="V181" s="12"/>
      <c r="W181" s="86">
        <f t="shared" si="41"/>
        <v>0</v>
      </c>
      <c r="X181" s="12"/>
      <c r="Y181" s="86">
        <f t="shared" si="42"/>
        <v>0</v>
      </c>
      <c r="Z181" s="12"/>
      <c r="AA181" s="85">
        <f t="shared" si="43"/>
        <v>0</v>
      </c>
      <c r="AB181" s="88"/>
      <c r="AC181" s="85">
        <f t="shared" si="44"/>
        <v>0</v>
      </c>
      <c r="AD181" s="13"/>
      <c r="AE181" s="85">
        <f t="shared" si="45"/>
        <v>0</v>
      </c>
      <c r="AF181" s="12"/>
      <c r="AG181" s="89">
        <f t="shared" si="46"/>
        <v>0</v>
      </c>
      <c r="AH181" s="13"/>
      <c r="AI181" s="85">
        <f t="shared" si="47"/>
        <v>0</v>
      </c>
      <c r="AJ181" s="13"/>
      <c r="AK181" s="85">
        <f t="shared" si="48"/>
        <v>0</v>
      </c>
      <c r="AL181" s="113">
        <f t="shared" si="38"/>
        <v>930</v>
      </c>
      <c r="AM181" s="23">
        <f t="shared" si="39"/>
        <v>35991</v>
      </c>
    </row>
    <row r="182" spans="1:39" x14ac:dyDescent="0.5">
      <c r="A182" s="16">
        <v>178</v>
      </c>
      <c r="B182" s="90" t="s">
        <v>1248</v>
      </c>
      <c r="C182" s="84" t="s">
        <v>1249</v>
      </c>
      <c r="D182" s="12"/>
      <c r="E182" s="85">
        <f t="shared" si="49"/>
        <v>0</v>
      </c>
      <c r="F182" s="17"/>
      <c r="G182" s="85">
        <f t="shared" si="50"/>
        <v>0</v>
      </c>
      <c r="H182" s="17"/>
      <c r="I182" s="85">
        <f t="shared" si="51"/>
        <v>0</v>
      </c>
      <c r="J182" s="17"/>
      <c r="K182" s="86">
        <f t="shared" si="52"/>
        <v>0</v>
      </c>
      <c r="L182" s="17"/>
      <c r="M182" s="86">
        <f t="shared" si="53"/>
        <v>0</v>
      </c>
      <c r="N182" s="12"/>
      <c r="O182" s="86">
        <f t="shared" si="54"/>
        <v>0</v>
      </c>
      <c r="P182" s="12"/>
      <c r="Q182" s="86">
        <f t="shared" si="55"/>
        <v>0</v>
      </c>
      <c r="R182" s="85"/>
      <c r="S182" s="86">
        <f t="shared" si="56"/>
        <v>0</v>
      </c>
      <c r="T182" s="12"/>
      <c r="U182" s="86">
        <f t="shared" si="40"/>
        <v>0</v>
      </c>
      <c r="V182" s="12">
        <v>721</v>
      </c>
      <c r="W182" s="86">
        <f t="shared" si="41"/>
        <v>25343.149999999998</v>
      </c>
      <c r="X182" s="12">
        <v>523</v>
      </c>
      <c r="Y182" s="86">
        <f t="shared" si="42"/>
        <v>18127.179999999997</v>
      </c>
      <c r="Z182" s="12"/>
      <c r="AA182" s="85">
        <f t="shared" si="43"/>
        <v>0</v>
      </c>
      <c r="AB182" s="88"/>
      <c r="AC182" s="85">
        <f t="shared" si="44"/>
        <v>0</v>
      </c>
      <c r="AD182" s="13">
        <v>839</v>
      </c>
      <c r="AE182" s="85">
        <f t="shared" si="45"/>
        <v>28677.02</v>
      </c>
      <c r="AF182" s="12">
        <v>876</v>
      </c>
      <c r="AG182" s="89">
        <f t="shared" si="46"/>
        <v>29170.799999999999</v>
      </c>
      <c r="AH182" s="13">
        <v>884</v>
      </c>
      <c r="AI182" s="85">
        <f t="shared" si="47"/>
        <v>31779.800000000003</v>
      </c>
      <c r="AJ182" s="13">
        <v>906</v>
      </c>
      <c r="AK182" s="85">
        <f t="shared" si="48"/>
        <v>33223.020000000004</v>
      </c>
      <c r="AL182" s="113">
        <f t="shared" si="38"/>
        <v>4749</v>
      </c>
      <c r="AM182" s="23">
        <f t="shared" si="39"/>
        <v>166320.97000000003</v>
      </c>
    </row>
    <row r="183" spans="1:39" s="114" customFormat="1" x14ac:dyDescent="0.5">
      <c r="A183" s="16">
        <v>179</v>
      </c>
      <c r="B183" s="90" t="s">
        <v>1250</v>
      </c>
      <c r="C183" s="84" t="s">
        <v>1251</v>
      </c>
      <c r="D183" s="12"/>
      <c r="E183" s="85">
        <f t="shared" si="49"/>
        <v>0</v>
      </c>
      <c r="F183" s="17"/>
      <c r="G183" s="85">
        <f t="shared" si="50"/>
        <v>0</v>
      </c>
      <c r="H183" s="17"/>
      <c r="I183" s="85">
        <f t="shared" si="51"/>
        <v>0</v>
      </c>
      <c r="J183" s="17"/>
      <c r="K183" s="86">
        <f t="shared" si="52"/>
        <v>0</v>
      </c>
      <c r="L183" s="17"/>
      <c r="M183" s="86">
        <f t="shared" si="53"/>
        <v>0</v>
      </c>
      <c r="N183" s="12"/>
      <c r="O183" s="86">
        <f t="shared" si="54"/>
        <v>0</v>
      </c>
      <c r="P183" s="12"/>
      <c r="Q183" s="86">
        <f t="shared" si="55"/>
        <v>0</v>
      </c>
      <c r="R183" s="85"/>
      <c r="S183" s="86">
        <f t="shared" si="56"/>
        <v>0</v>
      </c>
      <c r="T183" s="12"/>
      <c r="U183" s="86">
        <f t="shared" si="40"/>
        <v>0</v>
      </c>
      <c r="V183" s="12">
        <v>450</v>
      </c>
      <c r="W183" s="86">
        <f t="shared" si="41"/>
        <v>15817.5</v>
      </c>
      <c r="X183" s="12"/>
      <c r="Y183" s="86">
        <f t="shared" si="42"/>
        <v>0</v>
      </c>
      <c r="Z183" s="12"/>
      <c r="AA183" s="85">
        <f t="shared" si="43"/>
        <v>0</v>
      </c>
      <c r="AB183" s="88"/>
      <c r="AC183" s="85">
        <f t="shared" si="44"/>
        <v>0</v>
      </c>
      <c r="AD183" s="13"/>
      <c r="AE183" s="85">
        <f t="shared" si="45"/>
        <v>0</v>
      </c>
      <c r="AF183" s="12"/>
      <c r="AG183" s="89">
        <f t="shared" si="46"/>
        <v>0</v>
      </c>
      <c r="AH183" s="13"/>
      <c r="AI183" s="85">
        <f t="shared" si="47"/>
        <v>0</v>
      </c>
      <c r="AJ183" s="13"/>
      <c r="AK183" s="85">
        <f t="shared" si="48"/>
        <v>0</v>
      </c>
      <c r="AL183" s="113">
        <f t="shared" si="38"/>
        <v>450</v>
      </c>
      <c r="AM183" s="23">
        <f t="shared" si="39"/>
        <v>15817.5</v>
      </c>
    </row>
    <row r="184" spans="1:39" x14ac:dyDescent="0.5">
      <c r="A184" s="16">
        <v>180</v>
      </c>
      <c r="B184" s="90" t="s">
        <v>1229</v>
      </c>
      <c r="C184" s="84" t="s">
        <v>1252</v>
      </c>
      <c r="D184" s="12"/>
      <c r="E184" s="85">
        <f t="shared" si="49"/>
        <v>0</v>
      </c>
      <c r="F184" s="17"/>
      <c r="G184" s="85">
        <f t="shared" si="50"/>
        <v>0</v>
      </c>
      <c r="H184" s="17"/>
      <c r="I184" s="85">
        <f t="shared" si="51"/>
        <v>0</v>
      </c>
      <c r="J184" s="17"/>
      <c r="K184" s="86">
        <f t="shared" si="52"/>
        <v>0</v>
      </c>
      <c r="L184" s="17"/>
      <c r="M184" s="86">
        <f t="shared" si="53"/>
        <v>0</v>
      </c>
      <c r="N184" s="12"/>
      <c r="O184" s="86">
        <f t="shared" si="54"/>
        <v>0</v>
      </c>
      <c r="P184" s="12"/>
      <c r="Q184" s="86">
        <f t="shared" si="55"/>
        <v>0</v>
      </c>
      <c r="R184" s="85"/>
      <c r="S184" s="86">
        <f t="shared" si="56"/>
        <v>0</v>
      </c>
      <c r="T184" s="12"/>
      <c r="U184" s="86">
        <f t="shared" si="40"/>
        <v>0</v>
      </c>
      <c r="V184" s="12"/>
      <c r="W184" s="86">
        <f t="shared" si="41"/>
        <v>0</v>
      </c>
      <c r="X184" s="12"/>
      <c r="Y184" s="86">
        <f t="shared" si="42"/>
        <v>0</v>
      </c>
      <c r="Z184" s="12"/>
      <c r="AA184" s="85">
        <f t="shared" si="43"/>
        <v>0</v>
      </c>
      <c r="AB184" s="88"/>
      <c r="AC184" s="85">
        <f t="shared" si="44"/>
        <v>0</v>
      </c>
      <c r="AD184" s="13"/>
      <c r="AE184" s="85">
        <f t="shared" si="45"/>
        <v>0</v>
      </c>
      <c r="AF184" s="12"/>
      <c r="AG184" s="89">
        <f t="shared" si="46"/>
        <v>0</v>
      </c>
      <c r="AH184" s="13"/>
      <c r="AI184" s="85">
        <f t="shared" si="47"/>
        <v>0</v>
      </c>
      <c r="AJ184" s="13">
        <v>233</v>
      </c>
      <c r="AK184" s="85">
        <f t="shared" si="48"/>
        <v>8544.11</v>
      </c>
      <c r="AL184" s="113">
        <f t="shared" si="38"/>
        <v>233</v>
      </c>
      <c r="AM184" s="23">
        <f t="shared" si="39"/>
        <v>8544.11</v>
      </c>
    </row>
    <row r="185" spans="1:39" x14ac:dyDescent="0.5">
      <c r="A185" s="16">
        <v>181</v>
      </c>
      <c r="B185" s="90" t="s">
        <v>1253</v>
      </c>
      <c r="C185" s="84" t="s">
        <v>1254</v>
      </c>
      <c r="D185" s="12"/>
      <c r="E185" s="85">
        <f t="shared" si="49"/>
        <v>0</v>
      </c>
      <c r="F185" s="17">
        <v>191</v>
      </c>
      <c r="G185" s="85">
        <f t="shared" si="50"/>
        <v>6190.3099999999995</v>
      </c>
      <c r="H185" s="17"/>
      <c r="I185" s="85">
        <f t="shared" si="51"/>
        <v>0</v>
      </c>
      <c r="J185" s="17"/>
      <c r="K185" s="86">
        <f t="shared" si="52"/>
        <v>0</v>
      </c>
      <c r="L185" s="17"/>
      <c r="M185" s="86">
        <f t="shared" si="53"/>
        <v>0</v>
      </c>
      <c r="N185" s="12">
        <v>246</v>
      </c>
      <c r="O185" s="86">
        <f t="shared" si="54"/>
        <v>10332</v>
      </c>
      <c r="P185" s="12">
        <v>296</v>
      </c>
      <c r="Q185" s="86">
        <f t="shared" si="55"/>
        <v>11455.2</v>
      </c>
      <c r="R185" s="85">
        <v>178</v>
      </c>
      <c r="S185" s="86">
        <f t="shared" si="56"/>
        <v>5998.6</v>
      </c>
      <c r="T185" s="12">
        <v>173</v>
      </c>
      <c r="U185" s="86">
        <f t="shared" si="40"/>
        <v>5674.4</v>
      </c>
      <c r="V185" s="12"/>
      <c r="W185" s="86">
        <f t="shared" si="41"/>
        <v>0</v>
      </c>
      <c r="X185" s="12">
        <v>206</v>
      </c>
      <c r="Y185" s="86">
        <f t="shared" si="42"/>
        <v>7139.9599999999991</v>
      </c>
      <c r="Z185" s="12">
        <v>259</v>
      </c>
      <c r="AA185" s="85">
        <f t="shared" si="43"/>
        <v>9336.9499999999989</v>
      </c>
      <c r="AB185" s="88">
        <v>388</v>
      </c>
      <c r="AC185" s="85">
        <f t="shared" si="44"/>
        <v>13595.52</v>
      </c>
      <c r="AD185" s="13">
        <v>697</v>
      </c>
      <c r="AE185" s="85">
        <f t="shared" si="45"/>
        <v>23823.46</v>
      </c>
      <c r="AF185" s="12">
        <v>694</v>
      </c>
      <c r="AG185" s="89">
        <f t="shared" si="46"/>
        <v>23110.199999999997</v>
      </c>
      <c r="AH185" s="13">
        <v>526</v>
      </c>
      <c r="AI185" s="85">
        <f t="shared" si="47"/>
        <v>18909.7</v>
      </c>
      <c r="AJ185" s="13">
        <v>379</v>
      </c>
      <c r="AK185" s="85">
        <f t="shared" si="48"/>
        <v>13897.93</v>
      </c>
      <c r="AL185" s="113">
        <f t="shared" si="38"/>
        <v>4233</v>
      </c>
      <c r="AM185" s="23">
        <f t="shared" si="39"/>
        <v>149464.22999999998</v>
      </c>
    </row>
    <row r="186" spans="1:39" s="114" customFormat="1" x14ac:dyDescent="0.5">
      <c r="A186" s="16">
        <v>182</v>
      </c>
      <c r="B186" s="90" t="s">
        <v>676</v>
      </c>
      <c r="C186" s="84" t="s">
        <v>1255</v>
      </c>
      <c r="D186" s="12"/>
      <c r="E186" s="85">
        <f t="shared" si="49"/>
        <v>0</v>
      </c>
      <c r="F186" s="17"/>
      <c r="G186" s="85">
        <f t="shared" si="50"/>
        <v>0</v>
      </c>
      <c r="H186" s="17"/>
      <c r="I186" s="85">
        <f t="shared" si="51"/>
        <v>0</v>
      </c>
      <c r="J186" s="17"/>
      <c r="K186" s="86">
        <f t="shared" si="52"/>
        <v>0</v>
      </c>
      <c r="L186" s="17"/>
      <c r="M186" s="86">
        <f t="shared" si="53"/>
        <v>0</v>
      </c>
      <c r="N186" s="12"/>
      <c r="O186" s="86">
        <f t="shared" si="54"/>
        <v>0</v>
      </c>
      <c r="P186" s="12"/>
      <c r="Q186" s="86">
        <f t="shared" si="55"/>
        <v>0</v>
      </c>
      <c r="R186" s="85"/>
      <c r="S186" s="86">
        <f t="shared" si="56"/>
        <v>0</v>
      </c>
      <c r="T186" s="12"/>
      <c r="U186" s="86">
        <f t="shared" si="40"/>
        <v>0</v>
      </c>
      <c r="V186" s="12"/>
      <c r="W186" s="86">
        <f t="shared" si="41"/>
        <v>0</v>
      </c>
      <c r="X186" s="12"/>
      <c r="Y186" s="86">
        <f t="shared" si="42"/>
        <v>0</v>
      </c>
      <c r="Z186" s="12"/>
      <c r="AA186" s="85">
        <f t="shared" si="43"/>
        <v>0</v>
      </c>
      <c r="AB186" s="88"/>
      <c r="AC186" s="85">
        <f t="shared" si="44"/>
        <v>0</v>
      </c>
      <c r="AD186" s="13"/>
      <c r="AE186" s="85">
        <f t="shared" si="45"/>
        <v>0</v>
      </c>
      <c r="AF186" s="12"/>
      <c r="AG186" s="89">
        <f t="shared" si="46"/>
        <v>0</v>
      </c>
      <c r="AH186" s="13"/>
      <c r="AI186" s="85">
        <f t="shared" si="47"/>
        <v>0</v>
      </c>
      <c r="AJ186" s="13"/>
      <c r="AK186" s="85">
        <f t="shared" si="48"/>
        <v>0</v>
      </c>
      <c r="AL186" s="113">
        <f t="shared" si="38"/>
        <v>0</v>
      </c>
      <c r="AM186" s="23">
        <f t="shared" si="39"/>
        <v>0</v>
      </c>
    </row>
    <row r="187" spans="1:39" s="114" customFormat="1" x14ac:dyDescent="0.5">
      <c r="A187" s="16">
        <v>183</v>
      </c>
      <c r="B187" s="90" t="s">
        <v>1256</v>
      </c>
      <c r="C187" s="84" t="s">
        <v>1257</v>
      </c>
      <c r="D187" s="12">
        <v>1105</v>
      </c>
      <c r="E187" s="85">
        <f t="shared" si="49"/>
        <v>34387.599999999999</v>
      </c>
      <c r="F187" s="17"/>
      <c r="G187" s="85">
        <f t="shared" si="50"/>
        <v>0</v>
      </c>
      <c r="H187" s="17"/>
      <c r="I187" s="85">
        <f t="shared" si="51"/>
        <v>0</v>
      </c>
      <c r="J187" s="17"/>
      <c r="K187" s="86">
        <f t="shared" si="52"/>
        <v>0</v>
      </c>
      <c r="L187" s="17"/>
      <c r="M187" s="86">
        <f t="shared" si="53"/>
        <v>0</v>
      </c>
      <c r="N187" s="12"/>
      <c r="O187" s="86">
        <f t="shared" si="54"/>
        <v>0</v>
      </c>
      <c r="P187" s="12"/>
      <c r="Q187" s="86">
        <f t="shared" si="55"/>
        <v>0</v>
      </c>
      <c r="R187" s="85"/>
      <c r="S187" s="86">
        <f t="shared" si="56"/>
        <v>0</v>
      </c>
      <c r="T187" s="12"/>
      <c r="U187" s="86">
        <f t="shared" si="40"/>
        <v>0</v>
      </c>
      <c r="V187" s="12"/>
      <c r="W187" s="86">
        <f t="shared" si="41"/>
        <v>0</v>
      </c>
      <c r="X187" s="12"/>
      <c r="Y187" s="86">
        <f t="shared" si="42"/>
        <v>0</v>
      </c>
      <c r="Z187" s="12"/>
      <c r="AA187" s="85">
        <f t="shared" si="43"/>
        <v>0</v>
      </c>
      <c r="AB187" s="88"/>
      <c r="AC187" s="85">
        <f t="shared" si="44"/>
        <v>0</v>
      </c>
      <c r="AD187" s="13"/>
      <c r="AE187" s="85">
        <f t="shared" si="45"/>
        <v>0</v>
      </c>
      <c r="AF187" s="12"/>
      <c r="AG187" s="89">
        <f t="shared" si="46"/>
        <v>0</v>
      </c>
      <c r="AH187" s="13"/>
      <c r="AI187" s="85">
        <f t="shared" si="47"/>
        <v>0</v>
      </c>
      <c r="AJ187" s="13"/>
      <c r="AK187" s="85">
        <f t="shared" si="48"/>
        <v>0</v>
      </c>
      <c r="AL187" s="113">
        <f t="shared" si="38"/>
        <v>1105</v>
      </c>
      <c r="AM187" s="23">
        <f t="shared" si="39"/>
        <v>34387.599999999999</v>
      </c>
    </row>
    <row r="188" spans="1:39" x14ac:dyDescent="0.5">
      <c r="A188" s="16">
        <v>184</v>
      </c>
      <c r="B188" s="90" t="s">
        <v>1258</v>
      </c>
      <c r="C188" s="84" t="s">
        <v>1259</v>
      </c>
      <c r="D188" s="12">
        <v>898</v>
      </c>
      <c r="E188" s="85">
        <f t="shared" si="49"/>
        <v>27945.760000000002</v>
      </c>
      <c r="F188" s="17">
        <v>537</v>
      </c>
      <c r="G188" s="85">
        <f t="shared" si="50"/>
        <v>17404.169999999998</v>
      </c>
      <c r="H188" s="17"/>
      <c r="I188" s="85">
        <f t="shared" si="51"/>
        <v>0</v>
      </c>
      <c r="J188" s="17">
        <v>500</v>
      </c>
      <c r="K188" s="86">
        <f t="shared" si="52"/>
        <v>17560</v>
      </c>
      <c r="L188" s="17"/>
      <c r="M188" s="86">
        <f t="shared" si="53"/>
        <v>0</v>
      </c>
      <c r="N188" s="12">
        <v>495</v>
      </c>
      <c r="O188" s="86">
        <f t="shared" si="54"/>
        <v>20790</v>
      </c>
      <c r="P188" s="12">
        <v>513</v>
      </c>
      <c r="Q188" s="86">
        <f t="shared" si="55"/>
        <v>19853.100000000002</v>
      </c>
      <c r="R188" s="85">
        <v>754</v>
      </c>
      <c r="S188" s="86">
        <f t="shared" si="56"/>
        <v>25409.800000000003</v>
      </c>
      <c r="T188" s="12">
        <v>688</v>
      </c>
      <c r="U188" s="86">
        <f t="shared" si="40"/>
        <v>22566.399999999998</v>
      </c>
      <c r="V188" s="12">
        <v>823</v>
      </c>
      <c r="W188" s="86">
        <f t="shared" si="41"/>
        <v>28928.449999999997</v>
      </c>
      <c r="X188" s="12">
        <v>888</v>
      </c>
      <c r="Y188" s="86">
        <f t="shared" si="42"/>
        <v>30778.079999999998</v>
      </c>
      <c r="Z188" s="12">
        <v>717</v>
      </c>
      <c r="AA188" s="85">
        <f t="shared" si="43"/>
        <v>25847.85</v>
      </c>
      <c r="AB188" s="88">
        <v>1218</v>
      </c>
      <c r="AC188" s="85">
        <f t="shared" si="44"/>
        <v>42678.720000000001</v>
      </c>
      <c r="AD188" s="13">
        <v>1067</v>
      </c>
      <c r="AE188" s="85">
        <f t="shared" si="45"/>
        <v>36470.06</v>
      </c>
      <c r="AF188" s="12">
        <v>922</v>
      </c>
      <c r="AG188" s="89">
        <f t="shared" si="46"/>
        <v>30702.6</v>
      </c>
      <c r="AH188" s="13">
        <v>1017</v>
      </c>
      <c r="AI188" s="85">
        <f t="shared" si="47"/>
        <v>36561.15</v>
      </c>
      <c r="AJ188" s="13">
        <v>898</v>
      </c>
      <c r="AK188" s="85">
        <f t="shared" si="48"/>
        <v>32929.660000000003</v>
      </c>
      <c r="AL188" s="113">
        <f t="shared" si="38"/>
        <v>11935</v>
      </c>
      <c r="AM188" s="23">
        <f t="shared" si="39"/>
        <v>416425.79999999993</v>
      </c>
    </row>
    <row r="189" spans="1:39" s="114" customFormat="1" x14ac:dyDescent="0.5">
      <c r="A189" s="16">
        <v>185</v>
      </c>
      <c r="B189" s="90" t="s">
        <v>1260</v>
      </c>
      <c r="C189" s="84" t="s">
        <v>1261</v>
      </c>
      <c r="D189" s="12"/>
      <c r="E189" s="85">
        <f t="shared" si="49"/>
        <v>0</v>
      </c>
      <c r="F189" s="17"/>
      <c r="G189" s="85">
        <f t="shared" si="50"/>
        <v>0</v>
      </c>
      <c r="H189" s="17">
        <v>568</v>
      </c>
      <c r="I189" s="85">
        <f t="shared" si="51"/>
        <v>18749.68</v>
      </c>
      <c r="J189" s="17">
        <v>262</v>
      </c>
      <c r="K189" s="86">
        <f t="shared" si="52"/>
        <v>9201.4399999999987</v>
      </c>
      <c r="L189" s="17"/>
      <c r="M189" s="86">
        <f t="shared" si="53"/>
        <v>0</v>
      </c>
      <c r="N189" s="12"/>
      <c r="O189" s="86">
        <f t="shared" si="54"/>
        <v>0</v>
      </c>
      <c r="P189" s="12"/>
      <c r="Q189" s="86">
        <f t="shared" si="55"/>
        <v>0</v>
      </c>
      <c r="R189" s="85"/>
      <c r="S189" s="86">
        <f t="shared" si="56"/>
        <v>0</v>
      </c>
      <c r="T189" s="12"/>
      <c r="U189" s="86">
        <f t="shared" si="40"/>
        <v>0</v>
      </c>
      <c r="V189" s="12">
        <v>243</v>
      </c>
      <c r="W189" s="86">
        <f t="shared" si="41"/>
        <v>8541.4499999999989</v>
      </c>
      <c r="X189" s="12"/>
      <c r="Y189" s="86">
        <f t="shared" si="42"/>
        <v>0</v>
      </c>
      <c r="Z189" s="12"/>
      <c r="AA189" s="85">
        <f t="shared" si="43"/>
        <v>0</v>
      </c>
      <c r="AB189" s="88"/>
      <c r="AC189" s="85">
        <f t="shared" si="44"/>
        <v>0</v>
      </c>
      <c r="AD189" s="13"/>
      <c r="AE189" s="85">
        <f t="shared" si="45"/>
        <v>0</v>
      </c>
      <c r="AF189" s="12"/>
      <c r="AG189" s="89">
        <f t="shared" si="46"/>
        <v>0</v>
      </c>
      <c r="AH189" s="13"/>
      <c r="AI189" s="85">
        <f t="shared" si="47"/>
        <v>0</v>
      </c>
      <c r="AJ189" s="13"/>
      <c r="AK189" s="85">
        <f t="shared" si="48"/>
        <v>0</v>
      </c>
      <c r="AL189" s="113">
        <f t="shared" si="38"/>
        <v>1073</v>
      </c>
      <c r="AM189" s="23">
        <f t="shared" si="39"/>
        <v>36492.57</v>
      </c>
    </row>
    <row r="190" spans="1:39" x14ac:dyDescent="0.5">
      <c r="A190" s="16">
        <v>186</v>
      </c>
      <c r="B190" s="90" t="s">
        <v>1262</v>
      </c>
      <c r="C190" s="84" t="s">
        <v>1263</v>
      </c>
      <c r="D190" s="12"/>
      <c r="E190" s="85">
        <f t="shared" si="49"/>
        <v>0</v>
      </c>
      <c r="F190" s="17"/>
      <c r="G190" s="85">
        <f t="shared" si="50"/>
        <v>0</v>
      </c>
      <c r="H190" s="17"/>
      <c r="I190" s="85">
        <f t="shared" si="51"/>
        <v>0</v>
      </c>
      <c r="J190" s="17"/>
      <c r="K190" s="86">
        <f t="shared" si="52"/>
        <v>0</v>
      </c>
      <c r="L190" s="17"/>
      <c r="M190" s="86">
        <f t="shared" si="53"/>
        <v>0</v>
      </c>
      <c r="N190" s="12"/>
      <c r="O190" s="86">
        <f t="shared" si="54"/>
        <v>0</v>
      </c>
      <c r="P190" s="12"/>
      <c r="Q190" s="86">
        <f t="shared" si="55"/>
        <v>0</v>
      </c>
      <c r="R190" s="85"/>
      <c r="S190" s="86">
        <f t="shared" si="56"/>
        <v>0</v>
      </c>
      <c r="T190" s="12"/>
      <c r="U190" s="86">
        <f t="shared" si="40"/>
        <v>0</v>
      </c>
      <c r="V190" s="12"/>
      <c r="W190" s="86">
        <f t="shared" si="41"/>
        <v>0</v>
      </c>
      <c r="X190" s="12"/>
      <c r="Y190" s="86">
        <f t="shared" si="42"/>
        <v>0</v>
      </c>
      <c r="Z190" s="12"/>
      <c r="AA190" s="85">
        <f t="shared" si="43"/>
        <v>0</v>
      </c>
      <c r="AB190" s="88"/>
      <c r="AC190" s="85">
        <f t="shared" si="44"/>
        <v>0</v>
      </c>
      <c r="AD190" s="13"/>
      <c r="AE190" s="85">
        <f t="shared" si="45"/>
        <v>0</v>
      </c>
      <c r="AF190" s="12">
        <v>368</v>
      </c>
      <c r="AG190" s="89">
        <f t="shared" si="46"/>
        <v>12254.4</v>
      </c>
      <c r="AH190" s="13">
        <v>369</v>
      </c>
      <c r="AI190" s="85">
        <f t="shared" si="47"/>
        <v>13265.550000000001</v>
      </c>
      <c r="AJ190" s="13">
        <v>334</v>
      </c>
      <c r="AK190" s="85">
        <f t="shared" si="48"/>
        <v>12247.78</v>
      </c>
      <c r="AL190" s="113">
        <f t="shared" si="38"/>
        <v>1071</v>
      </c>
      <c r="AM190" s="23">
        <f t="shared" si="39"/>
        <v>37767.730000000003</v>
      </c>
    </row>
    <row r="191" spans="1:39" s="114" customFormat="1" x14ac:dyDescent="0.5">
      <c r="A191" s="16">
        <v>187</v>
      </c>
      <c r="B191" s="90" t="s">
        <v>460</v>
      </c>
      <c r="C191" s="84" t="s">
        <v>1264</v>
      </c>
      <c r="D191" s="12"/>
      <c r="E191" s="85">
        <f t="shared" si="49"/>
        <v>0</v>
      </c>
      <c r="F191" s="17"/>
      <c r="G191" s="85">
        <f t="shared" si="50"/>
        <v>0</v>
      </c>
      <c r="H191" s="17"/>
      <c r="I191" s="85">
        <f t="shared" si="51"/>
        <v>0</v>
      </c>
      <c r="J191" s="17"/>
      <c r="K191" s="86">
        <f t="shared" si="52"/>
        <v>0</v>
      </c>
      <c r="L191" s="17"/>
      <c r="M191" s="86">
        <f t="shared" si="53"/>
        <v>0</v>
      </c>
      <c r="N191" s="12">
        <v>302</v>
      </c>
      <c r="O191" s="86">
        <f t="shared" si="54"/>
        <v>12684</v>
      </c>
      <c r="P191" s="12"/>
      <c r="Q191" s="86">
        <f t="shared" si="55"/>
        <v>0</v>
      </c>
      <c r="R191" s="85"/>
      <c r="S191" s="86">
        <f t="shared" si="56"/>
        <v>0</v>
      </c>
      <c r="T191" s="12"/>
      <c r="U191" s="86">
        <f t="shared" si="40"/>
        <v>0</v>
      </c>
      <c r="V191" s="12"/>
      <c r="W191" s="86">
        <f t="shared" si="41"/>
        <v>0</v>
      </c>
      <c r="X191" s="12"/>
      <c r="Y191" s="86">
        <f t="shared" si="42"/>
        <v>0</v>
      </c>
      <c r="Z191" s="12"/>
      <c r="AA191" s="85">
        <f t="shared" si="43"/>
        <v>0</v>
      </c>
      <c r="AB191" s="88"/>
      <c r="AC191" s="85">
        <f t="shared" si="44"/>
        <v>0</v>
      </c>
      <c r="AD191" s="13"/>
      <c r="AE191" s="85">
        <f t="shared" si="45"/>
        <v>0</v>
      </c>
      <c r="AF191" s="12"/>
      <c r="AG191" s="89">
        <f t="shared" si="46"/>
        <v>0</v>
      </c>
      <c r="AH191" s="13"/>
      <c r="AI191" s="85">
        <f t="shared" si="47"/>
        <v>0</v>
      </c>
      <c r="AJ191" s="13"/>
      <c r="AK191" s="85">
        <f t="shared" si="48"/>
        <v>0</v>
      </c>
      <c r="AL191" s="113">
        <f t="shared" si="38"/>
        <v>302</v>
      </c>
      <c r="AM191" s="23">
        <f t="shared" si="39"/>
        <v>12684</v>
      </c>
    </row>
    <row r="192" spans="1:39" s="114" customFormat="1" x14ac:dyDescent="0.5">
      <c r="A192" s="16">
        <v>188</v>
      </c>
      <c r="B192" s="90" t="s">
        <v>1182</v>
      </c>
      <c r="C192" s="84" t="s">
        <v>1265</v>
      </c>
      <c r="D192" s="12"/>
      <c r="E192" s="85">
        <f t="shared" si="49"/>
        <v>0</v>
      </c>
      <c r="F192" s="17"/>
      <c r="G192" s="85">
        <f t="shared" si="50"/>
        <v>0</v>
      </c>
      <c r="H192" s="17"/>
      <c r="I192" s="85">
        <f t="shared" si="51"/>
        <v>0</v>
      </c>
      <c r="J192" s="17"/>
      <c r="K192" s="86">
        <f t="shared" si="52"/>
        <v>0</v>
      </c>
      <c r="L192" s="17">
        <v>252</v>
      </c>
      <c r="M192" s="86">
        <f t="shared" si="53"/>
        <v>9639</v>
      </c>
      <c r="N192" s="12"/>
      <c r="O192" s="86">
        <f t="shared" si="54"/>
        <v>0</v>
      </c>
      <c r="P192" s="12"/>
      <c r="Q192" s="86">
        <f t="shared" si="55"/>
        <v>0</v>
      </c>
      <c r="R192" s="85"/>
      <c r="S192" s="86">
        <f t="shared" si="56"/>
        <v>0</v>
      </c>
      <c r="T192" s="12"/>
      <c r="U192" s="86">
        <f t="shared" si="40"/>
        <v>0</v>
      </c>
      <c r="V192" s="12"/>
      <c r="W192" s="86">
        <f t="shared" si="41"/>
        <v>0</v>
      </c>
      <c r="X192" s="12"/>
      <c r="Y192" s="86">
        <f t="shared" si="42"/>
        <v>0</v>
      </c>
      <c r="Z192" s="12"/>
      <c r="AA192" s="85">
        <f t="shared" si="43"/>
        <v>0</v>
      </c>
      <c r="AB192" s="88"/>
      <c r="AC192" s="85">
        <f t="shared" si="44"/>
        <v>0</v>
      </c>
      <c r="AD192" s="13"/>
      <c r="AE192" s="85">
        <f t="shared" si="45"/>
        <v>0</v>
      </c>
      <c r="AF192" s="12"/>
      <c r="AG192" s="89">
        <f t="shared" si="46"/>
        <v>0</v>
      </c>
      <c r="AH192" s="13"/>
      <c r="AI192" s="85">
        <f t="shared" si="47"/>
        <v>0</v>
      </c>
      <c r="AJ192" s="13"/>
      <c r="AK192" s="85">
        <f t="shared" si="48"/>
        <v>0</v>
      </c>
      <c r="AL192" s="113">
        <f t="shared" si="38"/>
        <v>252</v>
      </c>
      <c r="AM192" s="23">
        <f t="shared" si="39"/>
        <v>9639</v>
      </c>
    </row>
    <row r="193" spans="1:39" s="114" customFormat="1" x14ac:dyDescent="0.5">
      <c r="A193" s="16">
        <v>189</v>
      </c>
      <c r="B193" s="90" t="s">
        <v>350</v>
      </c>
      <c r="C193" s="84" t="s">
        <v>1266</v>
      </c>
      <c r="D193" s="12"/>
      <c r="E193" s="85">
        <f t="shared" si="49"/>
        <v>0</v>
      </c>
      <c r="F193" s="17">
        <v>598</v>
      </c>
      <c r="G193" s="85">
        <f t="shared" si="50"/>
        <v>19381.179999999997</v>
      </c>
      <c r="H193" s="17">
        <v>775</v>
      </c>
      <c r="I193" s="85">
        <f t="shared" si="51"/>
        <v>25582.75</v>
      </c>
      <c r="J193" s="17"/>
      <c r="K193" s="86">
        <f t="shared" si="52"/>
        <v>0</v>
      </c>
      <c r="L193" s="17">
        <v>601</v>
      </c>
      <c r="M193" s="86">
        <f t="shared" si="53"/>
        <v>22988.25</v>
      </c>
      <c r="N193" s="12">
        <v>1047</v>
      </c>
      <c r="O193" s="86">
        <f t="shared" si="54"/>
        <v>43974</v>
      </c>
      <c r="P193" s="12">
        <v>805</v>
      </c>
      <c r="Q193" s="86">
        <f t="shared" si="55"/>
        <v>31153.500000000004</v>
      </c>
      <c r="R193" s="85">
        <v>941</v>
      </c>
      <c r="S193" s="86">
        <f t="shared" si="56"/>
        <v>31711.700000000004</v>
      </c>
      <c r="T193" s="12">
        <v>1059</v>
      </c>
      <c r="U193" s="86">
        <f t="shared" si="40"/>
        <v>34735.199999999997</v>
      </c>
      <c r="V193" s="12">
        <v>1143</v>
      </c>
      <c r="W193" s="86">
        <f t="shared" si="41"/>
        <v>40176.449999999997</v>
      </c>
      <c r="X193" s="12">
        <v>1127</v>
      </c>
      <c r="Y193" s="86">
        <f t="shared" si="42"/>
        <v>39061.82</v>
      </c>
      <c r="Z193" s="12"/>
      <c r="AA193" s="85">
        <f t="shared" si="43"/>
        <v>0</v>
      </c>
      <c r="AB193" s="88"/>
      <c r="AC193" s="85">
        <f t="shared" si="44"/>
        <v>0</v>
      </c>
      <c r="AD193" s="13">
        <v>1602</v>
      </c>
      <c r="AE193" s="85">
        <f t="shared" si="45"/>
        <v>54756.36</v>
      </c>
      <c r="AF193" s="12"/>
      <c r="AG193" s="89">
        <f t="shared" si="46"/>
        <v>0</v>
      </c>
      <c r="AH193" s="13"/>
      <c r="AI193" s="85">
        <f t="shared" si="47"/>
        <v>0</v>
      </c>
      <c r="AJ193" s="13"/>
      <c r="AK193" s="85">
        <f t="shared" si="48"/>
        <v>0</v>
      </c>
      <c r="AL193" s="113">
        <f t="shared" si="38"/>
        <v>9698</v>
      </c>
      <c r="AM193" s="23">
        <f t="shared" si="39"/>
        <v>343521.21</v>
      </c>
    </row>
    <row r="194" spans="1:39" s="114" customFormat="1" x14ac:dyDescent="0.5">
      <c r="A194" s="16">
        <v>190</v>
      </c>
      <c r="B194" s="90" t="s">
        <v>650</v>
      </c>
      <c r="C194" s="84" t="s">
        <v>1267</v>
      </c>
      <c r="D194" s="12">
        <v>628</v>
      </c>
      <c r="E194" s="85">
        <f t="shared" si="49"/>
        <v>19543.36</v>
      </c>
      <c r="F194" s="17"/>
      <c r="G194" s="85">
        <f t="shared" si="50"/>
        <v>0</v>
      </c>
      <c r="H194" s="17"/>
      <c r="I194" s="85">
        <f t="shared" si="51"/>
        <v>0</v>
      </c>
      <c r="J194" s="17"/>
      <c r="K194" s="86">
        <f t="shared" si="52"/>
        <v>0</v>
      </c>
      <c r="L194" s="17">
        <v>797</v>
      </c>
      <c r="M194" s="86">
        <f t="shared" si="53"/>
        <v>30485.25</v>
      </c>
      <c r="N194" s="12">
        <v>720</v>
      </c>
      <c r="O194" s="86">
        <f t="shared" si="54"/>
        <v>30240</v>
      </c>
      <c r="P194" s="12">
        <v>1729</v>
      </c>
      <c r="Q194" s="86">
        <f t="shared" si="55"/>
        <v>66912.3</v>
      </c>
      <c r="R194" s="85"/>
      <c r="S194" s="86">
        <f t="shared" si="56"/>
        <v>0</v>
      </c>
      <c r="T194" s="12"/>
      <c r="U194" s="86">
        <f t="shared" si="40"/>
        <v>0</v>
      </c>
      <c r="V194" s="12"/>
      <c r="W194" s="86">
        <f t="shared" si="41"/>
        <v>0</v>
      </c>
      <c r="X194" s="12"/>
      <c r="Y194" s="86">
        <f t="shared" si="42"/>
        <v>0</v>
      </c>
      <c r="Z194" s="12"/>
      <c r="AA194" s="85">
        <f t="shared" si="43"/>
        <v>0</v>
      </c>
      <c r="AB194" s="88"/>
      <c r="AC194" s="85">
        <f t="shared" si="44"/>
        <v>0</v>
      </c>
      <c r="AD194" s="13"/>
      <c r="AE194" s="85">
        <f t="shared" si="45"/>
        <v>0</v>
      </c>
      <c r="AF194" s="12"/>
      <c r="AG194" s="89">
        <f t="shared" si="46"/>
        <v>0</v>
      </c>
      <c r="AH194" s="13"/>
      <c r="AI194" s="85">
        <f t="shared" si="47"/>
        <v>0</v>
      </c>
      <c r="AJ194" s="13"/>
      <c r="AK194" s="85">
        <f t="shared" si="48"/>
        <v>0</v>
      </c>
      <c r="AL194" s="113">
        <f t="shared" si="38"/>
        <v>3874</v>
      </c>
      <c r="AM194" s="23">
        <f t="shared" si="39"/>
        <v>147180.91</v>
      </c>
    </row>
    <row r="195" spans="1:39" s="114" customFormat="1" x14ac:dyDescent="0.5">
      <c r="A195" s="16">
        <v>191</v>
      </c>
      <c r="B195" s="90" t="s">
        <v>1268</v>
      </c>
      <c r="C195" s="84" t="s">
        <v>1269</v>
      </c>
      <c r="D195" s="12">
        <v>1843</v>
      </c>
      <c r="E195" s="85">
        <f t="shared" si="49"/>
        <v>57354.16</v>
      </c>
      <c r="F195" s="17"/>
      <c r="G195" s="85">
        <f t="shared" si="50"/>
        <v>0</v>
      </c>
      <c r="H195" s="17">
        <v>437</v>
      </c>
      <c r="I195" s="85">
        <f t="shared" si="51"/>
        <v>14425.369999999999</v>
      </c>
      <c r="J195" s="17">
        <v>522</v>
      </c>
      <c r="K195" s="86">
        <f t="shared" si="52"/>
        <v>18332.64</v>
      </c>
      <c r="L195" s="17"/>
      <c r="M195" s="86">
        <f t="shared" si="53"/>
        <v>0</v>
      </c>
      <c r="N195" s="12">
        <v>517</v>
      </c>
      <c r="O195" s="86">
        <f t="shared" si="54"/>
        <v>21714</v>
      </c>
      <c r="P195" s="12"/>
      <c r="Q195" s="86">
        <f t="shared" si="55"/>
        <v>0</v>
      </c>
      <c r="R195" s="85"/>
      <c r="S195" s="86">
        <f t="shared" si="56"/>
        <v>0</v>
      </c>
      <c r="T195" s="12"/>
      <c r="U195" s="86">
        <f t="shared" si="40"/>
        <v>0</v>
      </c>
      <c r="V195" s="12"/>
      <c r="W195" s="86">
        <f t="shared" si="41"/>
        <v>0</v>
      </c>
      <c r="X195" s="12">
        <v>1128</v>
      </c>
      <c r="Y195" s="86">
        <f t="shared" si="42"/>
        <v>39096.479999999996</v>
      </c>
      <c r="Z195" s="12"/>
      <c r="AA195" s="85">
        <f t="shared" si="43"/>
        <v>0</v>
      </c>
      <c r="AB195" s="88"/>
      <c r="AC195" s="85">
        <f t="shared" si="44"/>
        <v>0</v>
      </c>
      <c r="AD195" s="13"/>
      <c r="AE195" s="85">
        <f t="shared" si="45"/>
        <v>0</v>
      </c>
      <c r="AF195" s="12"/>
      <c r="AG195" s="89">
        <f t="shared" si="46"/>
        <v>0</v>
      </c>
      <c r="AH195" s="13"/>
      <c r="AI195" s="85">
        <f t="shared" si="47"/>
        <v>0</v>
      </c>
      <c r="AJ195" s="13"/>
      <c r="AK195" s="85">
        <f t="shared" si="48"/>
        <v>0</v>
      </c>
      <c r="AL195" s="113">
        <f t="shared" si="38"/>
        <v>4447</v>
      </c>
      <c r="AM195" s="23">
        <f t="shared" si="39"/>
        <v>150922.65</v>
      </c>
    </row>
    <row r="196" spans="1:39" s="114" customFormat="1" x14ac:dyDescent="0.5">
      <c r="A196" s="16">
        <v>192</v>
      </c>
      <c r="B196" s="90" t="s">
        <v>1270</v>
      </c>
      <c r="C196" s="84" t="s">
        <v>1271</v>
      </c>
      <c r="D196" s="12"/>
      <c r="E196" s="85">
        <f t="shared" si="49"/>
        <v>0</v>
      </c>
      <c r="F196" s="17"/>
      <c r="G196" s="85">
        <f t="shared" si="50"/>
        <v>0</v>
      </c>
      <c r="H196" s="17"/>
      <c r="I196" s="85">
        <f t="shared" si="51"/>
        <v>0</v>
      </c>
      <c r="J196" s="17"/>
      <c r="K196" s="86">
        <f t="shared" si="52"/>
        <v>0</v>
      </c>
      <c r="L196" s="17"/>
      <c r="M196" s="86">
        <f t="shared" si="53"/>
        <v>0</v>
      </c>
      <c r="N196" s="12"/>
      <c r="O196" s="86">
        <f t="shared" si="54"/>
        <v>0</v>
      </c>
      <c r="P196" s="12"/>
      <c r="Q196" s="86">
        <f t="shared" si="55"/>
        <v>0</v>
      </c>
      <c r="R196" s="85"/>
      <c r="S196" s="86">
        <f t="shared" si="56"/>
        <v>0</v>
      </c>
      <c r="T196" s="12"/>
      <c r="U196" s="86">
        <f t="shared" si="40"/>
        <v>0</v>
      </c>
      <c r="V196" s="12"/>
      <c r="W196" s="86">
        <f t="shared" si="41"/>
        <v>0</v>
      </c>
      <c r="X196" s="12"/>
      <c r="Y196" s="86">
        <f t="shared" si="42"/>
        <v>0</v>
      </c>
      <c r="Z196" s="12"/>
      <c r="AA196" s="85">
        <f t="shared" si="43"/>
        <v>0</v>
      </c>
      <c r="AB196" s="88"/>
      <c r="AC196" s="85">
        <f t="shared" si="44"/>
        <v>0</v>
      </c>
      <c r="AD196" s="13"/>
      <c r="AE196" s="85">
        <f t="shared" si="45"/>
        <v>0</v>
      </c>
      <c r="AF196" s="12"/>
      <c r="AG196" s="89">
        <f t="shared" si="46"/>
        <v>0</v>
      </c>
      <c r="AH196" s="13"/>
      <c r="AI196" s="85">
        <f t="shared" si="47"/>
        <v>0</v>
      </c>
      <c r="AJ196" s="13"/>
      <c r="AK196" s="85">
        <f t="shared" si="48"/>
        <v>0</v>
      </c>
      <c r="AL196" s="113">
        <f t="shared" si="38"/>
        <v>0</v>
      </c>
      <c r="AM196" s="23">
        <f t="shared" si="39"/>
        <v>0</v>
      </c>
    </row>
    <row r="197" spans="1:39" s="114" customFormat="1" x14ac:dyDescent="0.5">
      <c r="A197" s="16">
        <v>193</v>
      </c>
      <c r="B197" s="90" t="s">
        <v>1272</v>
      </c>
      <c r="C197" s="84" t="s">
        <v>1273</v>
      </c>
      <c r="D197" s="12"/>
      <c r="E197" s="85">
        <f t="shared" si="49"/>
        <v>0</v>
      </c>
      <c r="F197" s="17"/>
      <c r="G197" s="85">
        <f t="shared" si="50"/>
        <v>0</v>
      </c>
      <c r="H197" s="17"/>
      <c r="I197" s="85">
        <f t="shared" si="51"/>
        <v>0</v>
      </c>
      <c r="J197" s="17"/>
      <c r="K197" s="86">
        <f t="shared" si="52"/>
        <v>0</v>
      </c>
      <c r="L197" s="17"/>
      <c r="M197" s="86">
        <f t="shared" si="53"/>
        <v>0</v>
      </c>
      <c r="N197" s="12"/>
      <c r="O197" s="86">
        <f t="shared" si="54"/>
        <v>0</v>
      </c>
      <c r="P197" s="12"/>
      <c r="Q197" s="86">
        <f t="shared" si="55"/>
        <v>0</v>
      </c>
      <c r="R197" s="85"/>
      <c r="S197" s="86">
        <f t="shared" si="56"/>
        <v>0</v>
      </c>
      <c r="T197" s="12"/>
      <c r="U197" s="86">
        <f t="shared" si="40"/>
        <v>0</v>
      </c>
      <c r="V197" s="12"/>
      <c r="W197" s="86">
        <f t="shared" si="41"/>
        <v>0</v>
      </c>
      <c r="X197" s="12"/>
      <c r="Y197" s="86">
        <f t="shared" si="42"/>
        <v>0</v>
      </c>
      <c r="Z197" s="12"/>
      <c r="AA197" s="85">
        <f t="shared" si="43"/>
        <v>0</v>
      </c>
      <c r="AB197" s="88"/>
      <c r="AC197" s="85">
        <f t="shared" si="44"/>
        <v>0</v>
      </c>
      <c r="AD197" s="13"/>
      <c r="AE197" s="85">
        <f t="shared" si="45"/>
        <v>0</v>
      </c>
      <c r="AF197" s="12"/>
      <c r="AG197" s="89">
        <f t="shared" si="46"/>
        <v>0</v>
      </c>
      <c r="AH197" s="13"/>
      <c r="AI197" s="85">
        <f t="shared" si="47"/>
        <v>0</v>
      </c>
      <c r="AJ197" s="13"/>
      <c r="AK197" s="85">
        <f t="shared" si="48"/>
        <v>0</v>
      </c>
      <c r="AL197" s="113">
        <f t="shared" ref="AL197:AL260" si="57">D197+F197+H197+J197+L197+N197+P197+R197+T197+V197+X197+Z197+AB197+AD197+AF197+AH197+AJ197</f>
        <v>0</v>
      </c>
      <c r="AM197" s="23">
        <f t="shared" ref="AM197:AM260" si="58">E197+G197+I197+K197+M197+O197+Q197+S197+U197+W197+Y197+AA197+AC197+AE197+AG197+AI197+AK197</f>
        <v>0</v>
      </c>
    </row>
    <row r="198" spans="1:39" x14ac:dyDescent="0.5">
      <c r="A198" s="16">
        <v>194</v>
      </c>
      <c r="B198" s="90" t="s">
        <v>1274</v>
      </c>
      <c r="C198" s="84" t="s">
        <v>1273</v>
      </c>
      <c r="D198" s="12">
        <v>560</v>
      </c>
      <c r="E198" s="85">
        <f t="shared" si="49"/>
        <v>17427.2</v>
      </c>
      <c r="F198" s="17">
        <v>230</v>
      </c>
      <c r="G198" s="85">
        <f t="shared" si="50"/>
        <v>7454.2999999999993</v>
      </c>
      <c r="H198" s="17">
        <v>338</v>
      </c>
      <c r="I198" s="85">
        <f t="shared" si="51"/>
        <v>11157.38</v>
      </c>
      <c r="J198" s="17">
        <v>266</v>
      </c>
      <c r="K198" s="86">
        <f t="shared" si="52"/>
        <v>9341.92</v>
      </c>
      <c r="L198" s="17">
        <v>220</v>
      </c>
      <c r="M198" s="86">
        <f t="shared" si="53"/>
        <v>8415</v>
      </c>
      <c r="N198" s="12">
        <v>248</v>
      </c>
      <c r="O198" s="86">
        <f t="shared" si="54"/>
        <v>10416</v>
      </c>
      <c r="P198" s="12">
        <v>661</v>
      </c>
      <c r="Q198" s="86">
        <f t="shared" si="55"/>
        <v>25580.7</v>
      </c>
      <c r="R198" s="85">
        <v>508</v>
      </c>
      <c r="S198" s="86">
        <f t="shared" si="56"/>
        <v>17119.600000000002</v>
      </c>
      <c r="T198" s="12">
        <v>578</v>
      </c>
      <c r="U198" s="86">
        <f t="shared" si="40"/>
        <v>18958.399999999998</v>
      </c>
      <c r="V198" s="12">
        <v>612</v>
      </c>
      <c r="W198" s="86">
        <f t="shared" si="41"/>
        <v>21511.8</v>
      </c>
      <c r="X198" s="12">
        <v>376</v>
      </c>
      <c r="Y198" s="86">
        <f t="shared" si="42"/>
        <v>13032.159999999998</v>
      </c>
      <c r="Z198" s="12"/>
      <c r="AA198" s="85">
        <f t="shared" si="43"/>
        <v>0</v>
      </c>
      <c r="AB198" s="88">
        <v>1387</v>
      </c>
      <c r="AC198" s="85">
        <f t="shared" si="44"/>
        <v>48600.479999999996</v>
      </c>
      <c r="AD198" s="13">
        <v>266</v>
      </c>
      <c r="AE198" s="85">
        <f t="shared" si="45"/>
        <v>9091.8799999999992</v>
      </c>
      <c r="AF198" s="12">
        <v>648</v>
      </c>
      <c r="AG198" s="89">
        <f t="shared" si="46"/>
        <v>21578.399999999998</v>
      </c>
      <c r="AH198" s="13">
        <v>794</v>
      </c>
      <c r="AI198" s="85">
        <f t="shared" si="47"/>
        <v>28544.300000000003</v>
      </c>
      <c r="AJ198" s="13"/>
      <c r="AK198" s="85">
        <f t="shared" si="48"/>
        <v>0</v>
      </c>
      <c r="AL198" s="113">
        <f t="shared" si="57"/>
        <v>7692</v>
      </c>
      <c r="AM198" s="23">
        <f t="shared" si="58"/>
        <v>268229.52</v>
      </c>
    </row>
    <row r="199" spans="1:39" s="114" customFormat="1" x14ac:dyDescent="0.5">
      <c r="A199" s="16">
        <v>195</v>
      </c>
      <c r="B199" s="90" t="s">
        <v>180</v>
      </c>
      <c r="C199" s="84" t="s">
        <v>1273</v>
      </c>
      <c r="D199" s="12"/>
      <c r="E199" s="85">
        <f t="shared" si="49"/>
        <v>0</v>
      </c>
      <c r="F199" s="17"/>
      <c r="G199" s="85">
        <f t="shared" si="50"/>
        <v>0</v>
      </c>
      <c r="H199" s="17"/>
      <c r="I199" s="85">
        <f t="shared" si="51"/>
        <v>0</v>
      </c>
      <c r="J199" s="17"/>
      <c r="K199" s="86">
        <f t="shared" si="52"/>
        <v>0</v>
      </c>
      <c r="L199" s="17"/>
      <c r="M199" s="86">
        <f t="shared" si="53"/>
        <v>0</v>
      </c>
      <c r="N199" s="12">
        <v>279</v>
      </c>
      <c r="O199" s="86">
        <f t="shared" si="54"/>
        <v>11718</v>
      </c>
      <c r="P199" s="12"/>
      <c r="Q199" s="86">
        <f t="shared" si="55"/>
        <v>0</v>
      </c>
      <c r="R199" s="85"/>
      <c r="S199" s="86">
        <f t="shared" si="56"/>
        <v>0</v>
      </c>
      <c r="T199" s="12"/>
      <c r="U199" s="86">
        <f t="shared" si="40"/>
        <v>0</v>
      </c>
      <c r="V199" s="12"/>
      <c r="W199" s="86">
        <f t="shared" si="41"/>
        <v>0</v>
      </c>
      <c r="X199" s="12"/>
      <c r="Y199" s="86">
        <f t="shared" si="42"/>
        <v>0</v>
      </c>
      <c r="Z199" s="12"/>
      <c r="AA199" s="85">
        <f t="shared" si="43"/>
        <v>0</v>
      </c>
      <c r="AB199" s="88"/>
      <c r="AC199" s="85">
        <f t="shared" si="44"/>
        <v>0</v>
      </c>
      <c r="AD199" s="13"/>
      <c r="AE199" s="85">
        <f t="shared" si="45"/>
        <v>0</v>
      </c>
      <c r="AF199" s="12"/>
      <c r="AG199" s="89">
        <f t="shared" si="46"/>
        <v>0</v>
      </c>
      <c r="AH199" s="13"/>
      <c r="AI199" s="85">
        <f t="shared" si="47"/>
        <v>0</v>
      </c>
      <c r="AJ199" s="13"/>
      <c r="AK199" s="85">
        <f t="shared" si="48"/>
        <v>0</v>
      </c>
      <c r="AL199" s="113">
        <f t="shared" si="57"/>
        <v>279</v>
      </c>
      <c r="AM199" s="23">
        <f t="shared" si="58"/>
        <v>11718</v>
      </c>
    </row>
    <row r="200" spans="1:39" s="114" customFormat="1" x14ac:dyDescent="0.5">
      <c r="A200" s="16">
        <v>196</v>
      </c>
      <c r="B200" s="90" t="s">
        <v>1275</v>
      </c>
      <c r="C200" s="84" t="s">
        <v>1273</v>
      </c>
      <c r="D200" s="12"/>
      <c r="E200" s="85">
        <f t="shared" si="49"/>
        <v>0</v>
      </c>
      <c r="F200" s="17"/>
      <c r="G200" s="85">
        <f t="shared" si="50"/>
        <v>0</v>
      </c>
      <c r="H200" s="17"/>
      <c r="I200" s="85">
        <f t="shared" si="51"/>
        <v>0</v>
      </c>
      <c r="J200" s="17"/>
      <c r="K200" s="86">
        <f t="shared" si="52"/>
        <v>0</v>
      </c>
      <c r="L200" s="17"/>
      <c r="M200" s="86">
        <f t="shared" si="53"/>
        <v>0</v>
      </c>
      <c r="N200" s="12"/>
      <c r="O200" s="86">
        <f t="shared" si="54"/>
        <v>0</v>
      </c>
      <c r="P200" s="12"/>
      <c r="Q200" s="86">
        <f t="shared" si="55"/>
        <v>0</v>
      </c>
      <c r="R200" s="85"/>
      <c r="S200" s="86">
        <f t="shared" si="56"/>
        <v>0</v>
      </c>
      <c r="T200" s="12"/>
      <c r="U200" s="86">
        <f t="shared" si="40"/>
        <v>0</v>
      </c>
      <c r="V200" s="12"/>
      <c r="W200" s="86">
        <f t="shared" si="41"/>
        <v>0</v>
      </c>
      <c r="X200" s="12"/>
      <c r="Y200" s="86">
        <f t="shared" si="42"/>
        <v>0</v>
      </c>
      <c r="Z200" s="12"/>
      <c r="AA200" s="85">
        <f t="shared" si="43"/>
        <v>0</v>
      </c>
      <c r="AB200" s="88"/>
      <c r="AC200" s="85">
        <f t="shared" si="44"/>
        <v>0</v>
      </c>
      <c r="AD200" s="13"/>
      <c r="AE200" s="85">
        <f t="shared" si="45"/>
        <v>0</v>
      </c>
      <c r="AF200" s="12"/>
      <c r="AG200" s="89">
        <f t="shared" si="46"/>
        <v>0</v>
      </c>
      <c r="AH200" s="13"/>
      <c r="AI200" s="85">
        <f t="shared" si="47"/>
        <v>0</v>
      </c>
      <c r="AJ200" s="13"/>
      <c r="AK200" s="85">
        <f t="shared" si="48"/>
        <v>0</v>
      </c>
      <c r="AL200" s="113">
        <f t="shared" si="57"/>
        <v>0</v>
      </c>
      <c r="AM200" s="23">
        <f t="shared" si="58"/>
        <v>0</v>
      </c>
    </row>
    <row r="201" spans="1:39" x14ac:dyDescent="0.5">
      <c r="A201" s="16">
        <v>197</v>
      </c>
      <c r="B201" s="90" t="s">
        <v>1276</v>
      </c>
      <c r="C201" s="84" t="s">
        <v>1277</v>
      </c>
      <c r="D201" s="12"/>
      <c r="E201" s="85">
        <f t="shared" si="49"/>
        <v>0</v>
      </c>
      <c r="F201" s="17"/>
      <c r="G201" s="85">
        <f t="shared" si="50"/>
        <v>0</v>
      </c>
      <c r="H201" s="17"/>
      <c r="I201" s="85">
        <f t="shared" si="51"/>
        <v>0</v>
      </c>
      <c r="J201" s="17"/>
      <c r="K201" s="86">
        <f t="shared" si="52"/>
        <v>0</v>
      </c>
      <c r="L201" s="17">
        <v>361</v>
      </c>
      <c r="M201" s="86">
        <f t="shared" si="53"/>
        <v>13808.25</v>
      </c>
      <c r="N201" s="12">
        <v>834</v>
      </c>
      <c r="O201" s="86">
        <f t="shared" si="54"/>
        <v>35028</v>
      </c>
      <c r="P201" s="12">
        <v>878</v>
      </c>
      <c r="Q201" s="86">
        <f t="shared" si="55"/>
        <v>33978.600000000006</v>
      </c>
      <c r="R201" s="85">
        <v>1108</v>
      </c>
      <c r="S201" s="86">
        <f t="shared" si="56"/>
        <v>37339.600000000006</v>
      </c>
      <c r="T201" s="12">
        <v>1074</v>
      </c>
      <c r="U201" s="86">
        <f t="shared" ref="U201:U267" si="59">T201*32.8</f>
        <v>35227.199999999997</v>
      </c>
      <c r="V201" s="12">
        <v>1313</v>
      </c>
      <c r="W201" s="86">
        <f t="shared" ref="W201:W267" si="60">V201*35.15</f>
        <v>46151.95</v>
      </c>
      <c r="X201" s="12">
        <v>1127</v>
      </c>
      <c r="Y201" s="86">
        <f t="shared" ref="Y201:Y267" si="61">X201*34.66</f>
        <v>39061.82</v>
      </c>
      <c r="Z201" s="12">
        <v>1088</v>
      </c>
      <c r="AA201" s="85">
        <f t="shared" ref="AA201:AA267" si="62">Z201*36.05</f>
        <v>39222.399999999994</v>
      </c>
      <c r="AB201" s="88">
        <v>1248</v>
      </c>
      <c r="AC201" s="85">
        <f t="shared" ref="AC201:AC266" si="63">AB201*35.04</f>
        <v>43729.919999999998</v>
      </c>
      <c r="AD201" s="13">
        <v>1406</v>
      </c>
      <c r="AE201" s="85">
        <f t="shared" ref="AE201:AE266" si="64">AD201*34.18</f>
        <v>48057.08</v>
      </c>
      <c r="AF201" s="12">
        <v>1153</v>
      </c>
      <c r="AG201" s="89">
        <f t="shared" ref="AG201:AG266" si="65">AF201*33.3</f>
        <v>38394.899999999994</v>
      </c>
      <c r="AH201" s="13">
        <v>1484</v>
      </c>
      <c r="AI201" s="85">
        <f t="shared" ref="AI201:AI265" si="66">AH201*35.95</f>
        <v>53349.8</v>
      </c>
      <c r="AJ201" s="13">
        <v>1104</v>
      </c>
      <c r="AK201" s="85">
        <f t="shared" ref="AK201:AK265" si="67">AJ201*36.67</f>
        <v>40483.68</v>
      </c>
      <c r="AL201" s="113">
        <f t="shared" si="57"/>
        <v>14178</v>
      </c>
      <c r="AM201" s="23">
        <f t="shared" si="58"/>
        <v>503833.20000000007</v>
      </c>
    </row>
    <row r="202" spans="1:39" x14ac:dyDescent="0.5">
      <c r="A202" s="16">
        <v>198</v>
      </c>
      <c r="B202" s="90" t="s">
        <v>780</v>
      </c>
      <c r="C202" s="84" t="s">
        <v>1278</v>
      </c>
      <c r="D202" s="12">
        <v>520</v>
      </c>
      <c r="E202" s="85">
        <f t="shared" ref="E202:E268" si="68">D202*31.12</f>
        <v>16182.4</v>
      </c>
      <c r="F202" s="17">
        <v>249</v>
      </c>
      <c r="G202" s="85">
        <f t="shared" ref="G202:G268" si="69">F202*32.41</f>
        <v>8070.0899999999992</v>
      </c>
      <c r="H202" s="17">
        <v>291</v>
      </c>
      <c r="I202" s="85">
        <f t="shared" ref="I202:I268" si="70">H202*33.01</f>
        <v>9605.91</v>
      </c>
      <c r="J202" s="17">
        <v>605</v>
      </c>
      <c r="K202" s="86">
        <f t="shared" ref="K202:K268" si="71">J202*35.12</f>
        <v>21247.599999999999</v>
      </c>
      <c r="L202" s="17">
        <v>218</v>
      </c>
      <c r="M202" s="86">
        <f t="shared" ref="M202:M268" si="72">L202*38.25</f>
        <v>8338.5</v>
      </c>
      <c r="N202" s="12">
        <v>284</v>
      </c>
      <c r="O202" s="86">
        <f t="shared" ref="O202:O268" si="73">N202*42</f>
        <v>11928</v>
      </c>
      <c r="P202" s="12">
        <v>303</v>
      </c>
      <c r="Q202" s="86">
        <f t="shared" ref="Q202:Q268" si="74">P202*38.7</f>
        <v>11726.1</v>
      </c>
      <c r="R202" s="85">
        <v>437</v>
      </c>
      <c r="S202" s="86">
        <f t="shared" ref="S202:S268" si="75">R202*33.7</f>
        <v>14726.900000000001</v>
      </c>
      <c r="T202" s="12">
        <v>489</v>
      </c>
      <c r="U202" s="86">
        <f t="shared" si="59"/>
        <v>16039.199999999999</v>
      </c>
      <c r="V202" s="12">
        <v>491</v>
      </c>
      <c r="W202" s="86">
        <f t="shared" si="60"/>
        <v>17258.649999999998</v>
      </c>
      <c r="X202" s="12">
        <v>562</v>
      </c>
      <c r="Y202" s="86">
        <f t="shared" si="61"/>
        <v>19478.919999999998</v>
      </c>
      <c r="Z202" s="12">
        <v>400</v>
      </c>
      <c r="AA202" s="85">
        <f t="shared" si="62"/>
        <v>14419.999999999998</v>
      </c>
      <c r="AB202" s="88">
        <v>648</v>
      </c>
      <c r="AC202" s="85">
        <f t="shared" si="63"/>
        <v>22705.919999999998</v>
      </c>
      <c r="AD202" s="13">
        <v>715</v>
      </c>
      <c r="AE202" s="85">
        <f t="shared" si="64"/>
        <v>24438.7</v>
      </c>
      <c r="AF202" s="12">
        <v>553</v>
      </c>
      <c r="AG202" s="89">
        <f t="shared" si="65"/>
        <v>18414.899999999998</v>
      </c>
      <c r="AH202" s="13">
        <v>556</v>
      </c>
      <c r="AI202" s="85">
        <f t="shared" si="66"/>
        <v>19988.2</v>
      </c>
      <c r="AJ202" s="13"/>
      <c r="AK202" s="85">
        <f t="shared" si="67"/>
        <v>0</v>
      </c>
      <c r="AL202" s="113">
        <f t="shared" si="57"/>
        <v>7321</v>
      </c>
      <c r="AM202" s="23">
        <f t="shared" si="58"/>
        <v>254569.99000000002</v>
      </c>
    </row>
    <row r="203" spans="1:39" x14ac:dyDescent="0.5">
      <c r="A203" s="16">
        <v>199</v>
      </c>
      <c r="B203" s="90" t="s">
        <v>1279</v>
      </c>
      <c r="C203" s="84" t="s">
        <v>1280</v>
      </c>
      <c r="D203" s="12">
        <v>130</v>
      </c>
      <c r="E203" s="85">
        <f t="shared" si="68"/>
        <v>4045.6</v>
      </c>
      <c r="F203" s="17"/>
      <c r="G203" s="85">
        <f t="shared" si="69"/>
        <v>0</v>
      </c>
      <c r="H203" s="17"/>
      <c r="I203" s="85">
        <f t="shared" si="70"/>
        <v>0</v>
      </c>
      <c r="J203" s="17"/>
      <c r="K203" s="86">
        <f t="shared" si="71"/>
        <v>0</v>
      </c>
      <c r="L203" s="17"/>
      <c r="M203" s="86">
        <f t="shared" si="72"/>
        <v>0</v>
      </c>
      <c r="N203" s="12"/>
      <c r="O203" s="86">
        <f t="shared" si="73"/>
        <v>0</v>
      </c>
      <c r="P203" s="12"/>
      <c r="Q203" s="86">
        <f t="shared" si="74"/>
        <v>0</v>
      </c>
      <c r="R203" s="85"/>
      <c r="S203" s="86">
        <f t="shared" si="75"/>
        <v>0</v>
      </c>
      <c r="T203" s="12"/>
      <c r="U203" s="86">
        <f t="shared" si="59"/>
        <v>0</v>
      </c>
      <c r="V203" s="12"/>
      <c r="W203" s="86">
        <f t="shared" si="60"/>
        <v>0</v>
      </c>
      <c r="X203" s="12"/>
      <c r="Y203" s="86">
        <f t="shared" si="61"/>
        <v>0</v>
      </c>
      <c r="Z203" s="12">
        <v>344</v>
      </c>
      <c r="AA203" s="85">
        <f t="shared" si="62"/>
        <v>12401.199999999999</v>
      </c>
      <c r="AB203" s="88">
        <v>370</v>
      </c>
      <c r="AC203" s="85">
        <f t="shared" si="63"/>
        <v>12964.8</v>
      </c>
      <c r="AD203" s="13">
        <v>452</v>
      </c>
      <c r="AE203" s="85">
        <f t="shared" si="64"/>
        <v>15449.36</v>
      </c>
      <c r="AF203" s="12">
        <v>200</v>
      </c>
      <c r="AG203" s="89">
        <f t="shared" si="65"/>
        <v>6659.9999999999991</v>
      </c>
      <c r="AH203" s="13">
        <v>304</v>
      </c>
      <c r="AI203" s="85">
        <f t="shared" si="66"/>
        <v>10928.800000000001</v>
      </c>
      <c r="AJ203" s="13">
        <v>395</v>
      </c>
      <c r="AK203" s="85">
        <f t="shared" si="67"/>
        <v>14484.650000000001</v>
      </c>
      <c r="AL203" s="113">
        <f t="shared" si="57"/>
        <v>2195</v>
      </c>
      <c r="AM203" s="23">
        <f t="shared" si="58"/>
        <v>76934.41</v>
      </c>
    </row>
    <row r="204" spans="1:39" s="114" customFormat="1" x14ac:dyDescent="0.5">
      <c r="A204" s="16">
        <v>200</v>
      </c>
      <c r="B204" s="90" t="s">
        <v>1281</v>
      </c>
      <c r="C204" s="84" t="s">
        <v>193</v>
      </c>
      <c r="D204" s="12"/>
      <c r="E204" s="85">
        <f t="shared" si="68"/>
        <v>0</v>
      </c>
      <c r="F204" s="17"/>
      <c r="G204" s="85">
        <f t="shared" si="69"/>
        <v>0</v>
      </c>
      <c r="H204" s="17"/>
      <c r="I204" s="85">
        <f t="shared" si="70"/>
        <v>0</v>
      </c>
      <c r="J204" s="17"/>
      <c r="K204" s="86">
        <f t="shared" si="71"/>
        <v>0</v>
      </c>
      <c r="L204" s="17"/>
      <c r="M204" s="86">
        <f t="shared" si="72"/>
        <v>0</v>
      </c>
      <c r="N204" s="12"/>
      <c r="O204" s="86">
        <f t="shared" si="73"/>
        <v>0</v>
      </c>
      <c r="P204" s="12">
        <v>335</v>
      </c>
      <c r="Q204" s="86">
        <f t="shared" si="74"/>
        <v>12964.500000000002</v>
      </c>
      <c r="R204" s="85"/>
      <c r="S204" s="86">
        <f t="shared" si="75"/>
        <v>0</v>
      </c>
      <c r="T204" s="12"/>
      <c r="U204" s="86">
        <f t="shared" si="59"/>
        <v>0</v>
      </c>
      <c r="V204" s="12"/>
      <c r="W204" s="86">
        <f t="shared" si="60"/>
        <v>0</v>
      </c>
      <c r="X204" s="12"/>
      <c r="Y204" s="86">
        <f t="shared" si="61"/>
        <v>0</v>
      </c>
      <c r="Z204" s="12"/>
      <c r="AA204" s="85">
        <f t="shared" si="62"/>
        <v>0</v>
      </c>
      <c r="AB204" s="88"/>
      <c r="AC204" s="85">
        <f t="shared" si="63"/>
        <v>0</v>
      </c>
      <c r="AD204" s="13"/>
      <c r="AE204" s="85">
        <f t="shared" si="64"/>
        <v>0</v>
      </c>
      <c r="AF204" s="12"/>
      <c r="AG204" s="89">
        <f t="shared" si="65"/>
        <v>0</v>
      </c>
      <c r="AH204" s="13"/>
      <c r="AI204" s="85">
        <f t="shared" si="66"/>
        <v>0</v>
      </c>
      <c r="AJ204" s="13"/>
      <c r="AK204" s="85">
        <f t="shared" si="67"/>
        <v>0</v>
      </c>
      <c r="AL204" s="113">
        <f t="shared" si="57"/>
        <v>335</v>
      </c>
      <c r="AM204" s="23">
        <f t="shared" si="58"/>
        <v>12964.500000000002</v>
      </c>
    </row>
    <row r="205" spans="1:39" s="114" customFormat="1" x14ac:dyDescent="0.5">
      <c r="A205" s="16">
        <v>201</v>
      </c>
      <c r="B205" s="90" t="s">
        <v>1282</v>
      </c>
      <c r="C205" s="84" t="s">
        <v>193</v>
      </c>
      <c r="D205" s="12"/>
      <c r="E205" s="85">
        <f t="shared" si="68"/>
        <v>0</v>
      </c>
      <c r="F205" s="17"/>
      <c r="G205" s="85">
        <f t="shared" si="69"/>
        <v>0</v>
      </c>
      <c r="H205" s="17"/>
      <c r="I205" s="85">
        <f t="shared" si="70"/>
        <v>0</v>
      </c>
      <c r="J205" s="17"/>
      <c r="K205" s="86">
        <f t="shared" si="71"/>
        <v>0</v>
      </c>
      <c r="L205" s="17"/>
      <c r="M205" s="86">
        <f t="shared" si="72"/>
        <v>0</v>
      </c>
      <c r="N205" s="12"/>
      <c r="O205" s="86">
        <f t="shared" si="73"/>
        <v>0</v>
      </c>
      <c r="P205" s="12">
        <v>229</v>
      </c>
      <c r="Q205" s="86">
        <f t="shared" si="74"/>
        <v>8862.3000000000011</v>
      </c>
      <c r="R205" s="85"/>
      <c r="S205" s="86">
        <f t="shared" si="75"/>
        <v>0</v>
      </c>
      <c r="T205" s="12"/>
      <c r="U205" s="86">
        <f t="shared" si="59"/>
        <v>0</v>
      </c>
      <c r="V205" s="12"/>
      <c r="W205" s="86">
        <f t="shared" si="60"/>
        <v>0</v>
      </c>
      <c r="X205" s="12"/>
      <c r="Y205" s="86">
        <f t="shared" si="61"/>
        <v>0</v>
      </c>
      <c r="Z205" s="12"/>
      <c r="AA205" s="85">
        <f t="shared" si="62"/>
        <v>0</v>
      </c>
      <c r="AB205" s="88"/>
      <c r="AC205" s="85">
        <f t="shared" si="63"/>
        <v>0</v>
      </c>
      <c r="AD205" s="13"/>
      <c r="AE205" s="85">
        <f t="shared" si="64"/>
        <v>0</v>
      </c>
      <c r="AF205" s="12"/>
      <c r="AG205" s="89">
        <f t="shared" si="65"/>
        <v>0</v>
      </c>
      <c r="AH205" s="13"/>
      <c r="AI205" s="85">
        <f t="shared" si="66"/>
        <v>0</v>
      </c>
      <c r="AJ205" s="13"/>
      <c r="AK205" s="85">
        <f t="shared" si="67"/>
        <v>0</v>
      </c>
      <c r="AL205" s="113">
        <f t="shared" si="57"/>
        <v>229</v>
      </c>
      <c r="AM205" s="23">
        <f t="shared" si="58"/>
        <v>8862.3000000000011</v>
      </c>
    </row>
    <row r="206" spans="1:39" s="114" customFormat="1" x14ac:dyDescent="0.5">
      <c r="A206" s="16">
        <v>202</v>
      </c>
      <c r="B206" s="90" t="s">
        <v>1283</v>
      </c>
      <c r="C206" s="84" t="s">
        <v>1284</v>
      </c>
      <c r="D206" s="12">
        <v>599</v>
      </c>
      <c r="E206" s="85">
        <f t="shared" si="68"/>
        <v>18640.88</v>
      </c>
      <c r="F206" s="17"/>
      <c r="G206" s="85">
        <f t="shared" si="69"/>
        <v>0</v>
      </c>
      <c r="H206" s="17"/>
      <c r="I206" s="85">
        <f t="shared" si="70"/>
        <v>0</v>
      </c>
      <c r="J206" s="17"/>
      <c r="K206" s="86">
        <f t="shared" si="71"/>
        <v>0</v>
      </c>
      <c r="L206" s="17"/>
      <c r="M206" s="86">
        <f t="shared" si="72"/>
        <v>0</v>
      </c>
      <c r="N206" s="12"/>
      <c r="O206" s="86">
        <f t="shared" si="73"/>
        <v>0</v>
      </c>
      <c r="P206" s="12"/>
      <c r="Q206" s="86">
        <f t="shared" si="74"/>
        <v>0</v>
      </c>
      <c r="R206" s="85"/>
      <c r="S206" s="86">
        <f t="shared" si="75"/>
        <v>0</v>
      </c>
      <c r="T206" s="12"/>
      <c r="U206" s="86">
        <f t="shared" si="59"/>
        <v>0</v>
      </c>
      <c r="V206" s="12"/>
      <c r="W206" s="86">
        <f t="shared" si="60"/>
        <v>0</v>
      </c>
      <c r="X206" s="12"/>
      <c r="Y206" s="86">
        <f t="shared" si="61"/>
        <v>0</v>
      </c>
      <c r="Z206" s="12"/>
      <c r="AA206" s="85">
        <f t="shared" si="62"/>
        <v>0</v>
      </c>
      <c r="AB206" s="88"/>
      <c r="AC206" s="85">
        <f t="shared" si="63"/>
        <v>0</v>
      </c>
      <c r="AD206" s="13"/>
      <c r="AE206" s="85">
        <f t="shared" si="64"/>
        <v>0</v>
      </c>
      <c r="AF206" s="12"/>
      <c r="AG206" s="89">
        <f t="shared" si="65"/>
        <v>0</v>
      </c>
      <c r="AH206" s="13"/>
      <c r="AI206" s="85">
        <f t="shared" si="66"/>
        <v>0</v>
      </c>
      <c r="AJ206" s="13"/>
      <c r="AK206" s="85">
        <f t="shared" si="67"/>
        <v>0</v>
      </c>
      <c r="AL206" s="113">
        <f t="shared" si="57"/>
        <v>599</v>
      </c>
      <c r="AM206" s="23">
        <f t="shared" si="58"/>
        <v>18640.88</v>
      </c>
    </row>
    <row r="207" spans="1:39" s="114" customFormat="1" x14ac:dyDescent="0.5">
      <c r="A207" s="16">
        <v>203</v>
      </c>
      <c r="B207" s="90" t="s">
        <v>1285</v>
      </c>
      <c r="C207" s="84" t="s">
        <v>1286</v>
      </c>
      <c r="D207" s="12"/>
      <c r="E207" s="85">
        <f t="shared" si="68"/>
        <v>0</v>
      </c>
      <c r="F207" s="17"/>
      <c r="G207" s="85">
        <f t="shared" si="69"/>
        <v>0</v>
      </c>
      <c r="H207" s="17"/>
      <c r="I207" s="85">
        <f t="shared" si="70"/>
        <v>0</v>
      </c>
      <c r="J207" s="17"/>
      <c r="K207" s="86">
        <f t="shared" si="71"/>
        <v>0</v>
      </c>
      <c r="L207" s="17"/>
      <c r="M207" s="86">
        <f t="shared" si="72"/>
        <v>0</v>
      </c>
      <c r="N207" s="12">
        <v>372</v>
      </c>
      <c r="O207" s="86">
        <f t="shared" si="73"/>
        <v>15624</v>
      </c>
      <c r="P207" s="12"/>
      <c r="Q207" s="86">
        <f t="shared" si="74"/>
        <v>0</v>
      </c>
      <c r="R207" s="85"/>
      <c r="S207" s="86">
        <f t="shared" si="75"/>
        <v>0</v>
      </c>
      <c r="T207" s="12"/>
      <c r="U207" s="86">
        <f t="shared" si="59"/>
        <v>0</v>
      </c>
      <c r="V207" s="12"/>
      <c r="W207" s="86">
        <f t="shared" si="60"/>
        <v>0</v>
      </c>
      <c r="X207" s="12"/>
      <c r="Y207" s="86">
        <f t="shared" si="61"/>
        <v>0</v>
      </c>
      <c r="Z207" s="12"/>
      <c r="AA207" s="85">
        <f t="shared" si="62"/>
        <v>0</v>
      </c>
      <c r="AB207" s="88"/>
      <c r="AC207" s="85">
        <f t="shared" si="63"/>
        <v>0</v>
      </c>
      <c r="AD207" s="13"/>
      <c r="AE207" s="85">
        <f t="shared" si="64"/>
        <v>0</v>
      </c>
      <c r="AF207" s="12"/>
      <c r="AG207" s="89">
        <f t="shared" si="65"/>
        <v>0</v>
      </c>
      <c r="AH207" s="13"/>
      <c r="AI207" s="85">
        <f t="shared" si="66"/>
        <v>0</v>
      </c>
      <c r="AJ207" s="13"/>
      <c r="AK207" s="85">
        <f t="shared" si="67"/>
        <v>0</v>
      </c>
      <c r="AL207" s="113">
        <f t="shared" si="57"/>
        <v>372</v>
      </c>
      <c r="AM207" s="23">
        <f t="shared" si="58"/>
        <v>15624</v>
      </c>
    </row>
    <row r="208" spans="1:39" s="114" customFormat="1" x14ac:dyDescent="0.5">
      <c r="A208" s="16">
        <v>204</v>
      </c>
      <c r="B208" s="90" t="s">
        <v>1287</v>
      </c>
      <c r="C208" s="84"/>
      <c r="D208" s="12"/>
      <c r="E208" s="85">
        <f t="shared" si="68"/>
        <v>0</v>
      </c>
      <c r="F208" s="17"/>
      <c r="G208" s="85">
        <f t="shared" si="69"/>
        <v>0</v>
      </c>
      <c r="H208" s="17"/>
      <c r="I208" s="85">
        <f t="shared" si="70"/>
        <v>0</v>
      </c>
      <c r="J208" s="17"/>
      <c r="K208" s="86">
        <f t="shared" si="71"/>
        <v>0</v>
      </c>
      <c r="L208" s="17"/>
      <c r="M208" s="86">
        <f t="shared" si="72"/>
        <v>0</v>
      </c>
      <c r="N208" s="12"/>
      <c r="O208" s="86">
        <f t="shared" si="73"/>
        <v>0</v>
      </c>
      <c r="P208" s="12"/>
      <c r="Q208" s="86">
        <f t="shared" si="74"/>
        <v>0</v>
      </c>
      <c r="R208" s="85"/>
      <c r="S208" s="86">
        <f t="shared" si="75"/>
        <v>0</v>
      </c>
      <c r="T208" s="12"/>
      <c r="U208" s="86">
        <f t="shared" si="59"/>
        <v>0</v>
      </c>
      <c r="V208" s="12">
        <v>195</v>
      </c>
      <c r="W208" s="86">
        <f t="shared" si="60"/>
        <v>6854.25</v>
      </c>
      <c r="X208" s="12"/>
      <c r="Y208" s="86">
        <f t="shared" si="61"/>
        <v>0</v>
      </c>
      <c r="Z208" s="12"/>
      <c r="AA208" s="85">
        <f t="shared" si="62"/>
        <v>0</v>
      </c>
      <c r="AB208" s="88"/>
      <c r="AC208" s="85">
        <f t="shared" si="63"/>
        <v>0</v>
      </c>
      <c r="AD208" s="13"/>
      <c r="AE208" s="85">
        <f t="shared" si="64"/>
        <v>0</v>
      </c>
      <c r="AF208" s="12"/>
      <c r="AG208" s="89">
        <f t="shared" si="65"/>
        <v>0</v>
      </c>
      <c r="AH208" s="13"/>
      <c r="AI208" s="85">
        <f t="shared" si="66"/>
        <v>0</v>
      </c>
      <c r="AJ208" s="13"/>
      <c r="AK208" s="85">
        <f t="shared" si="67"/>
        <v>0</v>
      </c>
      <c r="AL208" s="113">
        <f t="shared" si="57"/>
        <v>195</v>
      </c>
      <c r="AM208" s="23">
        <f t="shared" si="58"/>
        <v>6854.25</v>
      </c>
    </row>
    <row r="209" spans="1:39" s="114" customFormat="1" x14ac:dyDescent="0.5">
      <c r="A209" s="16">
        <v>205</v>
      </c>
      <c r="B209" s="90" t="s">
        <v>659</v>
      </c>
      <c r="C209" s="84" t="s">
        <v>1288</v>
      </c>
      <c r="D209" s="12"/>
      <c r="E209" s="85">
        <f t="shared" si="68"/>
        <v>0</v>
      </c>
      <c r="F209" s="17"/>
      <c r="G209" s="85">
        <f t="shared" si="69"/>
        <v>0</v>
      </c>
      <c r="H209" s="17"/>
      <c r="I209" s="85">
        <f t="shared" si="70"/>
        <v>0</v>
      </c>
      <c r="J209" s="17"/>
      <c r="K209" s="86">
        <f t="shared" si="71"/>
        <v>0</v>
      </c>
      <c r="L209" s="17"/>
      <c r="M209" s="86">
        <f t="shared" si="72"/>
        <v>0</v>
      </c>
      <c r="N209" s="12">
        <v>1023</v>
      </c>
      <c r="O209" s="86">
        <f t="shared" si="73"/>
        <v>42966</v>
      </c>
      <c r="P209" s="12"/>
      <c r="Q209" s="86">
        <f t="shared" si="74"/>
        <v>0</v>
      </c>
      <c r="R209" s="85"/>
      <c r="S209" s="86">
        <f t="shared" si="75"/>
        <v>0</v>
      </c>
      <c r="T209" s="12"/>
      <c r="U209" s="86">
        <f t="shared" si="59"/>
        <v>0</v>
      </c>
      <c r="V209" s="12"/>
      <c r="W209" s="86">
        <f t="shared" si="60"/>
        <v>0</v>
      </c>
      <c r="X209" s="12"/>
      <c r="Y209" s="86">
        <f t="shared" si="61"/>
        <v>0</v>
      </c>
      <c r="Z209" s="12"/>
      <c r="AA209" s="85">
        <f t="shared" si="62"/>
        <v>0</v>
      </c>
      <c r="AB209" s="88"/>
      <c r="AC209" s="85">
        <f t="shared" si="63"/>
        <v>0</v>
      </c>
      <c r="AD209" s="13"/>
      <c r="AE209" s="85">
        <f t="shared" si="64"/>
        <v>0</v>
      </c>
      <c r="AF209" s="12"/>
      <c r="AG209" s="89">
        <f t="shared" si="65"/>
        <v>0</v>
      </c>
      <c r="AH209" s="13"/>
      <c r="AI209" s="85">
        <f t="shared" si="66"/>
        <v>0</v>
      </c>
      <c r="AJ209" s="13"/>
      <c r="AK209" s="85">
        <f t="shared" si="67"/>
        <v>0</v>
      </c>
      <c r="AL209" s="113">
        <f t="shared" si="57"/>
        <v>1023</v>
      </c>
      <c r="AM209" s="23">
        <f t="shared" si="58"/>
        <v>42966</v>
      </c>
    </row>
    <row r="210" spans="1:39" s="114" customFormat="1" x14ac:dyDescent="0.5">
      <c r="A210" s="16">
        <v>206</v>
      </c>
      <c r="B210" s="90" t="s">
        <v>310</v>
      </c>
      <c r="C210" s="84" t="s">
        <v>1289</v>
      </c>
      <c r="D210" s="12"/>
      <c r="E210" s="85">
        <f t="shared" si="68"/>
        <v>0</v>
      </c>
      <c r="F210" s="17"/>
      <c r="G210" s="85">
        <f t="shared" si="69"/>
        <v>0</v>
      </c>
      <c r="H210" s="17"/>
      <c r="I210" s="85">
        <f t="shared" si="70"/>
        <v>0</v>
      </c>
      <c r="J210" s="17"/>
      <c r="K210" s="86">
        <f t="shared" si="71"/>
        <v>0</v>
      </c>
      <c r="L210" s="17"/>
      <c r="M210" s="86">
        <f t="shared" si="72"/>
        <v>0</v>
      </c>
      <c r="N210" s="12"/>
      <c r="O210" s="86">
        <f t="shared" si="73"/>
        <v>0</v>
      </c>
      <c r="P210" s="12">
        <v>154</v>
      </c>
      <c r="Q210" s="86">
        <f t="shared" si="74"/>
        <v>5959.8</v>
      </c>
      <c r="R210" s="85"/>
      <c r="S210" s="86">
        <f t="shared" si="75"/>
        <v>0</v>
      </c>
      <c r="T210" s="12"/>
      <c r="U210" s="86">
        <f t="shared" si="59"/>
        <v>0</v>
      </c>
      <c r="V210" s="12"/>
      <c r="W210" s="86">
        <f t="shared" si="60"/>
        <v>0</v>
      </c>
      <c r="X210" s="12"/>
      <c r="Y210" s="86">
        <f t="shared" si="61"/>
        <v>0</v>
      </c>
      <c r="Z210" s="12"/>
      <c r="AA210" s="85">
        <f t="shared" si="62"/>
        <v>0</v>
      </c>
      <c r="AB210" s="88"/>
      <c r="AC210" s="85">
        <f t="shared" si="63"/>
        <v>0</v>
      </c>
      <c r="AD210" s="13"/>
      <c r="AE210" s="85">
        <f t="shared" si="64"/>
        <v>0</v>
      </c>
      <c r="AF210" s="12"/>
      <c r="AG210" s="89">
        <f t="shared" si="65"/>
        <v>0</v>
      </c>
      <c r="AH210" s="13"/>
      <c r="AI210" s="85">
        <f t="shared" si="66"/>
        <v>0</v>
      </c>
      <c r="AJ210" s="13"/>
      <c r="AK210" s="85">
        <f t="shared" si="67"/>
        <v>0</v>
      </c>
      <c r="AL210" s="113">
        <f t="shared" si="57"/>
        <v>154</v>
      </c>
      <c r="AM210" s="23">
        <f t="shared" si="58"/>
        <v>5959.8</v>
      </c>
    </row>
    <row r="211" spans="1:39" x14ac:dyDescent="0.5">
      <c r="A211" s="16">
        <v>207</v>
      </c>
      <c r="B211" s="90" t="s">
        <v>733</v>
      </c>
      <c r="C211" s="84" t="s">
        <v>1289</v>
      </c>
      <c r="D211" s="12"/>
      <c r="E211" s="85">
        <f t="shared" si="68"/>
        <v>0</v>
      </c>
      <c r="F211" s="17"/>
      <c r="G211" s="85">
        <f t="shared" si="69"/>
        <v>0</v>
      </c>
      <c r="H211" s="17"/>
      <c r="I211" s="85">
        <f t="shared" si="70"/>
        <v>0</v>
      </c>
      <c r="J211" s="17"/>
      <c r="K211" s="86">
        <f t="shared" si="71"/>
        <v>0</v>
      </c>
      <c r="L211" s="17"/>
      <c r="M211" s="86">
        <f t="shared" si="72"/>
        <v>0</v>
      </c>
      <c r="N211" s="12"/>
      <c r="O211" s="86">
        <f t="shared" si="73"/>
        <v>0</v>
      </c>
      <c r="P211" s="12">
        <v>263</v>
      </c>
      <c r="Q211" s="86">
        <f t="shared" si="74"/>
        <v>10178.1</v>
      </c>
      <c r="R211" s="85"/>
      <c r="S211" s="86">
        <f t="shared" si="75"/>
        <v>0</v>
      </c>
      <c r="T211" s="12">
        <v>320</v>
      </c>
      <c r="U211" s="86">
        <f t="shared" si="59"/>
        <v>10496</v>
      </c>
      <c r="V211" s="12"/>
      <c r="W211" s="86">
        <f t="shared" si="60"/>
        <v>0</v>
      </c>
      <c r="X211" s="12"/>
      <c r="Y211" s="86">
        <f t="shared" si="61"/>
        <v>0</v>
      </c>
      <c r="Z211" s="12"/>
      <c r="AA211" s="85">
        <f t="shared" si="62"/>
        <v>0</v>
      </c>
      <c r="AB211" s="88"/>
      <c r="AC211" s="85">
        <f t="shared" si="63"/>
        <v>0</v>
      </c>
      <c r="AD211" s="13"/>
      <c r="AE211" s="85">
        <f t="shared" si="64"/>
        <v>0</v>
      </c>
      <c r="AF211" s="12"/>
      <c r="AG211" s="89">
        <f t="shared" si="65"/>
        <v>0</v>
      </c>
      <c r="AH211" s="13">
        <v>949</v>
      </c>
      <c r="AI211" s="85">
        <f t="shared" si="66"/>
        <v>34116.550000000003</v>
      </c>
      <c r="AJ211" s="13"/>
      <c r="AK211" s="85">
        <f t="shared" si="67"/>
        <v>0</v>
      </c>
      <c r="AL211" s="113">
        <f t="shared" si="57"/>
        <v>1532</v>
      </c>
      <c r="AM211" s="23">
        <f t="shared" si="58"/>
        <v>54790.65</v>
      </c>
    </row>
    <row r="212" spans="1:39" x14ac:dyDescent="0.5">
      <c r="A212" s="16">
        <v>208</v>
      </c>
      <c r="B212" s="90" t="s">
        <v>1290</v>
      </c>
      <c r="C212" s="84" t="s">
        <v>1291</v>
      </c>
      <c r="D212" s="12"/>
      <c r="E212" s="85">
        <f t="shared" si="68"/>
        <v>0</v>
      </c>
      <c r="F212" s="17"/>
      <c r="G212" s="85">
        <f t="shared" si="69"/>
        <v>0</v>
      </c>
      <c r="H212" s="17"/>
      <c r="I212" s="85">
        <f t="shared" si="70"/>
        <v>0</v>
      </c>
      <c r="J212" s="17"/>
      <c r="K212" s="86">
        <f t="shared" si="71"/>
        <v>0</v>
      </c>
      <c r="L212" s="17"/>
      <c r="M212" s="86">
        <f t="shared" si="72"/>
        <v>0</v>
      </c>
      <c r="N212" s="12">
        <v>176</v>
      </c>
      <c r="O212" s="86">
        <f t="shared" si="73"/>
        <v>7392</v>
      </c>
      <c r="P212" s="12">
        <v>290</v>
      </c>
      <c r="Q212" s="86">
        <f t="shared" si="74"/>
        <v>11223</v>
      </c>
      <c r="R212" s="85">
        <v>386</v>
      </c>
      <c r="S212" s="86">
        <f t="shared" si="75"/>
        <v>13008.2</v>
      </c>
      <c r="T212" s="12">
        <v>381</v>
      </c>
      <c r="U212" s="86">
        <f t="shared" si="59"/>
        <v>12496.8</v>
      </c>
      <c r="V212" s="12">
        <v>415</v>
      </c>
      <c r="W212" s="86">
        <f t="shared" si="60"/>
        <v>14587.25</v>
      </c>
      <c r="X212" s="12">
        <v>214</v>
      </c>
      <c r="Y212" s="86">
        <f t="shared" si="61"/>
        <v>7417.2399999999989</v>
      </c>
      <c r="Z212" s="12">
        <v>312</v>
      </c>
      <c r="AA212" s="85">
        <f t="shared" si="62"/>
        <v>11247.599999999999</v>
      </c>
      <c r="AB212" s="88">
        <v>270</v>
      </c>
      <c r="AC212" s="85">
        <f t="shared" si="63"/>
        <v>9460.7999999999993</v>
      </c>
      <c r="AD212" s="13">
        <v>316</v>
      </c>
      <c r="AE212" s="85">
        <f t="shared" si="64"/>
        <v>10800.88</v>
      </c>
      <c r="AF212" s="12">
        <v>277</v>
      </c>
      <c r="AG212" s="89">
        <f t="shared" si="65"/>
        <v>9224.0999999999985</v>
      </c>
      <c r="AH212" s="13">
        <v>372</v>
      </c>
      <c r="AI212" s="85">
        <f t="shared" si="66"/>
        <v>13373.400000000001</v>
      </c>
      <c r="AJ212" s="13">
        <v>395</v>
      </c>
      <c r="AK212" s="85">
        <f t="shared" si="67"/>
        <v>14484.650000000001</v>
      </c>
      <c r="AL212" s="113">
        <f t="shared" si="57"/>
        <v>3804</v>
      </c>
      <c r="AM212" s="23">
        <f t="shared" si="58"/>
        <v>134715.91999999998</v>
      </c>
    </row>
    <row r="213" spans="1:39" x14ac:dyDescent="0.5">
      <c r="A213" s="16">
        <v>209</v>
      </c>
      <c r="B213" s="90" t="s">
        <v>1053</v>
      </c>
      <c r="C213" s="84" t="s">
        <v>1291</v>
      </c>
      <c r="D213" s="12"/>
      <c r="E213" s="85"/>
      <c r="F213" s="17"/>
      <c r="G213" s="85"/>
      <c r="H213" s="17"/>
      <c r="I213" s="85"/>
      <c r="J213" s="17"/>
      <c r="K213" s="86"/>
      <c r="L213" s="17"/>
      <c r="M213" s="86"/>
      <c r="N213" s="12"/>
      <c r="O213" s="86"/>
      <c r="P213" s="12"/>
      <c r="Q213" s="86"/>
      <c r="R213" s="85"/>
      <c r="S213" s="86"/>
      <c r="T213" s="12"/>
      <c r="U213" s="86"/>
      <c r="V213" s="12"/>
      <c r="W213" s="86"/>
      <c r="X213" s="12"/>
      <c r="Y213" s="86"/>
      <c r="Z213" s="12">
        <v>175</v>
      </c>
      <c r="AA213" s="85">
        <f t="shared" si="62"/>
        <v>6308.7499999999991</v>
      </c>
      <c r="AB213" s="88">
        <v>134</v>
      </c>
      <c r="AC213" s="85">
        <f t="shared" si="63"/>
        <v>4695.3599999999997</v>
      </c>
      <c r="AD213" s="13">
        <v>135</v>
      </c>
      <c r="AE213" s="85">
        <f t="shared" si="64"/>
        <v>4614.3</v>
      </c>
      <c r="AF213" s="12">
        <v>134</v>
      </c>
      <c r="AG213" s="89">
        <f t="shared" si="65"/>
        <v>4462.2</v>
      </c>
      <c r="AH213" s="13">
        <v>179</v>
      </c>
      <c r="AI213" s="85">
        <f t="shared" si="66"/>
        <v>6435.05</v>
      </c>
      <c r="AJ213" s="13">
        <v>138</v>
      </c>
      <c r="AK213" s="85">
        <f t="shared" si="67"/>
        <v>5060.46</v>
      </c>
      <c r="AL213" s="113">
        <f t="shared" si="57"/>
        <v>895</v>
      </c>
      <c r="AM213" s="23">
        <f t="shared" si="58"/>
        <v>31576.12</v>
      </c>
    </row>
    <row r="214" spans="1:39" s="114" customFormat="1" x14ac:dyDescent="0.5">
      <c r="A214" s="16">
        <v>210</v>
      </c>
      <c r="B214" s="90" t="s">
        <v>210</v>
      </c>
      <c r="C214" s="84" t="s">
        <v>1292</v>
      </c>
      <c r="D214" s="12"/>
      <c r="E214" s="85">
        <f t="shared" si="68"/>
        <v>0</v>
      </c>
      <c r="F214" s="17"/>
      <c r="G214" s="85">
        <f t="shared" si="69"/>
        <v>0</v>
      </c>
      <c r="H214" s="17"/>
      <c r="I214" s="85">
        <f t="shared" si="70"/>
        <v>0</v>
      </c>
      <c r="J214" s="17"/>
      <c r="K214" s="86">
        <f t="shared" si="71"/>
        <v>0</v>
      </c>
      <c r="L214" s="17"/>
      <c r="M214" s="86">
        <f t="shared" si="72"/>
        <v>0</v>
      </c>
      <c r="N214" s="12">
        <v>166</v>
      </c>
      <c r="O214" s="86">
        <f t="shared" si="73"/>
        <v>6972</v>
      </c>
      <c r="P214" s="12"/>
      <c r="Q214" s="86">
        <f t="shared" si="74"/>
        <v>0</v>
      </c>
      <c r="R214" s="85"/>
      <c r="S214" s="86">
        <f t="shared" si="75"/>
        <v>0</v>
      </c>
      <c r="T214" s="12"/>
      <c r="U214" s="86">
        <f t="shared" si="59"/>
        <v>0</v>
      </c>
      <c r="V214" s="12"/>
      <c r="W214" s="86">
        <f t="shared" si="60"/>
        <v>0</v>
      </c>
      <c r="X214" s="12"/>
      <c r="Y214" s="86">
        <f t="shared" si="61"/>
        <v>0</v>
      </c>
      <c r="Z214" s="12"/>
      <c r="AA214" s="85">
        <f t="shared" si="62"/>
        <v>0</v>
      </c>
      <c r="AB214" s="88"/>
      <c r="AC214" s="85">
        <f t="shared" si="63"/>
        <v>0</v>
      </c>
      <c r="AD214" s="13"/>
      <c r="AE214" s="85">
        <f t="shared" si="64"/>
        <v>0</v>
      </c>
      <c r="AF214" s="12"/>
      <c r="AG214" s="89">
        <f t="shared" si="65"/>
        <v>0</v>
      </c>
      <c r="AH214" s="13"/>
      <c r="AI214" s="85">
        <f t="shared" si="66"/>
        <v>0</v>
      </c>
      <c r="AJ214" s="13"/>
      <c r="AK214" s="85">
        <f t="shared" si="67"/>
        <v>0</v>
      </c>
      <c r="AL214" s="113">
        <f t="shared" si="57"/>
        <v>166</v>
      </c>
      <c r="AM214" s="23">
        <f t="shared" si="58"/>
        <v>6972</v>
      </c>
    </row>
    <row r="215" spans="1:39" x14ac:dyDescent="0.5">
      <c r="A215" s="16">
        <v>211</v>
      </c>
      <c r="B215" s="90" t="s">
        <v>1293</v>
      </c>
      <c r="C215" s="84" t="s">
        <v>1108</v>
      </c>
      <c r="D215" s="12">
        <v>277</v>
      </c>
      <c r="E215" s="85">
        <f t="shared" si="68"/>
        <v>8620.24</v>
      </c>
      <c r="F215" s="17"/>
      <c r="G215" s="85">
        <f t="shared" si="69"/>
        <v>0</v>
      </c>
      <c r="H215" s="17"/>
      <c r="I215" s="85">
        <f t="shared" si="70"/>
        <v>0</v>
      </c>
      <c r="J215" s="17"/>
      <c r="K215" s="86">
        <f t="shared" si="71"/>
        <v>0</v>
      </c>
      <c r="L215" s="17"/>
      <c r="M215" s="86">
        <f t="shared" si="72"/>
        <v>0</v>
      </c>
      <c r="N215" s="12">
        <v>192</v>
      </c>
      <c r="O215" s="86">
        <f t="shared" si="73"/>
        <v>8064</v>
      </c>
      <c r="P215" s="12">
        <v>259</v>
      </c>
      <c r="Q215" s="86">
        <f t="shared" si="74"/>
        <v>10023.300000000001</v>
      </c>
      <c r="R215" s="85">
        <v>241</v>
      </c>
      <c r="S215" s="86">
        <f t="shared" si="75"/>
        <v>8121.7000000000007</v>
      </c>
      <c r="T215" s="12">
        <v>223</v>
      </c>
      <c r="U215" s="86">
        <f t="shared" si="59"/>
        <v>7314.4</v>
      </c>
      <c r="V215" s="12">
        <v>213</v>
      </c>
      <c r="W215" s="86">
        <f t="shared" si="60"/>
        <v>7486.95</v>
      </c>
      <c r="X215" s="12"/>
      <c r="Y215" s="86">
        <f t="shared" si="61"/>
        <v>0</v>
      </c>
      <c r="Z215" s="12"/>
      <c r="AA215" s="85">
        <f t="shared" si="62"/>
        <v>0</v>
      </c>
      <c r="AB215" s="88">
        <v>246</v>
      </c>
      <c r="AC215" s="85">
        <f t="shared" si="63"/>
        <v>8619.84</v>
      </c>
      <c r="AD215" s="13">
        <v>257</v>
      </c>
      <c r="AE215" s="85">
        <f t="shared" si="64"/>
        <v>8784.26</v>
      </c>
      <c r="AF215" s="12">
        <v>236</v>
      </c>
      <c r="AG215" s="89">
        <f t="shared" si="65"/>
        <v>7858.7999999999993</v>
      </c>
      <c r="AH215" s="13">
        <v>226</v>
      </c>
      <c r="AI215" s="85">
        <f t="shared" si="66"/>
        <v>8124.7000000000007</v>
      </c>
      <c r="AJ215" s="13">
        <v>238</v>
      </c>
      <c r="AK215" s="85">
        <f t="shared" si="67"/>
        <v>8727.4600000000009</v>
      </c>
      <c r="AL215" s="113">
        <f t="shared" si="57"/>
        <v>2608</v>
      </c>
      <c r="AM215" s="23">
        <f t="shared" si="58"/>
        <v>91745.650000000009</v>
      </c>
    </row>
    <row r="216" spans="1:39" x14ac:dyDescent="0.5">
      <c r="A216" s="16">
        <v>212</v>
      </c>
      <c r="B216" s="90" t="s">
        <v>1294</v>
      </c>
      <c r="C216" s="84" t="s">
        <v>1295</v>
      </c>
      <c r="D216" s="12"/>
      <c r="E216" s="85">
        <f t="shared" si="68"/>
        <v>0</v>
      </c>
      <c r="F216" s="17"/>
      <c r="G216" s="85">
        <f t="shared" si="69"/>
        <v>0</v>
      </c>
      <c r="H216" s="17"/>
      <c r="I216" s="85">
        <f t="shared" si="70"/>
        <v>0</v>
      </c>
      <c r="J216" s="17"/>
      <c r="K216" s="86">
        <f t="shared" si="71"/>
        <v>0</v>
      </c>
      <c r="L216" s="17"/>
      <c r="M216" s="86">
        <f t="shared" si="72"/>
        <v>0</v>
      </c>
      <c r="N216" s="12"/>
      <c r="O216" s="86">
        <f t="shared" si="73"/>
        <v>0</v>
      </c>
      <c r="P216" s="12"/>
      <c r="Q216" s="86">
        <f t="shared" si="74"/>
        <v>0</v>
      </c>
      <c r="R216" s="85"/>
      <c r="S216" s="86">
        <f t="shared" si="75"/>
        <v>0</v>
      </c>
      <c r="T216" s="12"/>
      <c r="U216" s="86">
        <f t="shared" si="59"/>
        <v>0</v>
      </c>
      <c r="V216" s="12">
        <v>891</v>
      </c>
      <c r="W216" s="86">
        <f t="shared" si="60"/>
        <v>31318.649999999998</v>
      </c>
      <c r="X216" s="12">
        <v>757</v>
      </c>
      <c r="Y216" s="86">
        <f t="shared" si="61"/>
        <v>26237.62</v>
      </c>
      <c r="Z216" s="12">
        <v>908</v>
      </c>
      <c r="AA216" s="85">
        <f t="shared" si="62"/>
        <v>32733.399999999998</v>
      </c>
      <c r="AB216" s="88">
        <v>783</v>
      </c>
      <c r="AC216" s="85">
        <f t="shared" si="63"/>
        <v>27436.32</v>
      </c>
      <c r="AD216" s="13">
        <v>805</v>
      </c>
      <c r="AE216" s="85">
        <f t="shared" si="64"/>
        <v>27514.9</v>
      </c>
      <c r="AF216" s="12">
        <v>853</v>
      </c>
      <c r="AG216" s="89">
        <f t="shared" si="65"/>
        <v>28404.899999999998</v>
      </c>
      <c r="AH216" s="13">
        <v>1063</v>
      </c>
      <c r="AI216" s="85">
        <f t="shared" si="66"/>
        <v>38214.850000000006</v>
      </c>
      <c r="AJ216" s="13">
        <v>989</v>
      </c>
      <c r="AK216" s="85">
        <f t="shared" si="67"/>
        <v>36266.630000000005</v>
      </c>
      <c r="AL216" s="113">
        <f t="shared" si="57"/>
        <v>7049</v>
      </c>
      <c r="AM216" s="23">
        <f t="shared" si="58"/>
        <v>248127.27</v>
      </c>
    </row>
    <row r="217" spans="1:39" x14ac:dyDescent="0.5">
      <c r="A217" s="16">
        <v>213</v>
      </c>
      <c r="B217" s="90" t="s">
        <v>1296</v>
      </c>
      <c r="C217" s="84" t="s">
        <v>1297</v>
      </c>
      <c r="D217" s="12">
        <v>1851</v>
      </c>
      <c r="E217" s="85">
        <f t="shared" si="68"/>
        <v>57603.12</v>
      </c>
      <c r="F217" s="17">
        <v>961</v>
      </c>
      <c r="G217" s="85">
        <f t="shared" si="69"/>
        <v>31146.01</v>
      </c>
      <c r="H217" s="17">
        <v>807</v>
      </c>
      <c r="I217" s="85">
        <f t="shared" si="70"/>
        <v>26639.07</v>
      </c>
      <c r="J217" s="17"/>
      <c r="K217" s="86">
        <f t="shared" si="71"/>
        <v>0</v>
      </c>
      <c r="L217" s="17"/>
      <c r="M217" s="86">
        <f t="shared" si="72"/>
        <v>0</v>
      </c>
      <c r="N217" s="12">
        <v>555</v>
      </c>
      <c r="O217" s="86">
        <f t="shared" si="73"/>
        <v>23310</v>
      </c>
      <c r="P217" s="12">
        <v>1698</v>
      </c>
      <c r="Q217" s="86">
        <f t="shared" si="74"/>
        <v>65712.600000000006</v>
      </c>
      <c r="R217" s="85">
        <v>1394</v>
      </c>
      <c r="S217" s="86">
        <f t="shared" si="75"/>
        <v>46977.8</v>
      </c>
      <c r="T217" s="12">
        <v>954</v>
      </c>
      <c r="U217" s="86">
        <f t="shared" si="59"/>
        <v>31291.199999999997</v>
      </c>
      <c r="V217" s="12">
        <v>1036</v>
      </c>
      <c r="W217" s="86">
        <f t="shared" si="60"/>
        <v>36415.4</v>
      </c>
      <c r="X217" s="12">
        <v>696</v>
      </c>
      <c r="Y217" s="86">
        <f t="shared" si="61"/>
        <v>24123.359999999997</v>
      </c>
      <c r="Z217" s="12">
        <v>961</v>
      </c>
      <c r="AA217" s="85">
        <f t="shared" si="62"/>
        <v>34644.049999999996</v>
      </c>
      <c r="AB217" s="88">
        <v>1752</v>
      </c>
      <c r="AC217" s="85">
        <f t="shared" si="63"/>
        <v>61390.080000000002</v>
      </c>
      <c r="AD217" s="13">
        <v>1544</v>
      </c>
      <c r="AE217" s="85">
        <f t="shared" si="64"/>
        <v>52773.919999999998</v>
      </c>
      <c r="AF217" s="12">
        <v>1483</v>
      </c>
      <c r="AG217" s="89">
        <f t="shared" si="65"/>
        <v>49383.899999999994</v>
      </c>
      <c r="AH217" s="13">
        <v>1192</v>
      </c>
      <c r="AI217" s="85">
        <f t="shared" si="66"/>
        <v>42852.4</v>
      </c>
      <c r="AJ217" s="13">
        <v>971</v>
      </c>
      <c r="AK217" s="85">
        <f t="shared" si="67"/>
        <v>35606.57</v>
      </c>
      <c r="AL217" s="113">
        <f t="shared" si="57"/>
        <v>17855</v>
      </c>
      <c r="AM217" s="23">
        <f t="shared" si="58"/>
        <v>619869.48</v>
      </c>
    </row>
    <row r="218" spans="1:39" s="114" customFormat="1" x14ac:dyDescent="0.5">
      <c r="A218" s="16">
        <v>214</v>
      </c>
      <c r="B218" s="90" t="s">
        <v>706</v>
      </c>
      <c r="C218" s="84" t="s">
        <v>1298</v>
      </c>
      <c r="D218" s="12"/>
      <c r="E218" s="85"/>
      <c r="F218" s="17"/>
      <c r="G218" s="85"/>
      <c r="H218" s="17"/>
      <c r="I218" s="85"/>
      <c r="J218" s="17"/>
      <c r="K218" s="86"/>
      <c r="L218" s="17"/>
      <c r="M218" s="86"/>
      <c r="N218" s="12"/>
      <c r="O218" s="86"/>
      <c r="P218" s="12"/>
      <c r="Q218" s="86"/>
      <c r="R218" s="85"/>
      <c r="S218" s="86"/>
      <c r="T218" s="12"/>
      <c r="U218" s="86"/>
      <c r="V218" s="12"/>
      <c r="W218" s="86"/>
      <c r="X218" s="12"/>
      <c r="Y218" s="86"/>
      <c r="Z218" s="12"/>
      <c r="AA218" s="85"/>
      <c r="AB218" s="88"/>
      <c r="AC218" s="85"/>
      <c r="AD218" s="13"/>
      <c r="AE218" s="85"/>
      <c r="AF218" s="12">
        <v>594</v>
      </c>
      <c r="AG218" s="89">
        <f t="shared" si="65"/>
        <v>19780.199999999997</v>
      </c>
      <c r="AH218" s="13"/>
      <c r="AI218" s="85">
        <f t="shared" si="66"/>
        <v>0</v>
      </c>
      <c r="AJ218" s="13"/>
      <c r="AK218" s="85">
        <f t="shared" si="67"/>
        <v>0</v>
      </c>
      <c r="AL218" s="113">
        <f t="shared" si="57"/>
        <v>594</v>
      </c>
      <c r="AM218" s="23">
        <f t="shared" si="58"/>
        <v>19780.199999999997</v>
      </c>
    </row>
    <row r="219" spans="1:39" x14ac:dyDescent="0.5">
      <c r="A219" s="16">
        <v>215</v>
      </c>
      <c r="B219" s="90" t="s">
        <v>544</v>
      </c>
      <c r="C219" s="84" t="s">
        <v>1299</v>
      </c>
      <c r="D219" s="12">
        <v>382</v>
      </c>
      <c r="E219" s="85">
        <f t="shared" si="68"/>
        <v>11887.84</v>
      </c>
      <c r="F219" s="17"/>
      <c r="G219" s="85">
        <f t="shared" si="69"/>
        <v>0</v>
      </c>
      <c r="H219" s="17"/>
      <c r="I219" s="85">
        <f t="shared" si="70"/>
        <v>0</v>
      </c>
      <c r="J219" s="17"/>
      <c r="K219" s="86">
        <f t="shared" si="71"/>
        <v>0</v>
      </c>
      <c r="L219" s="17"/>
      <c r="M219" s="86">
        <f t="shared" si="72"/>
        <v>0</v>
      </c>
      <c r="N219" s="12"/>
      <c r="O219" s="86">
        <f t="shared" si="73"/>
        <v>0</v>
      </c>
      <c r="P219" s="12"/>
      <c r="Q219" s="86">
        <f t="shared" si="74"/>
        <v>0</v>
      </c>
      <c r="R219" s="85"/>
      <c r="S219" s="86">
        <f t="shared" si="75"/>
        <v>0</v>
      </c>
      <c r="T219" s="12">
        <v>813</v>
      </c>
      <c r="U219" s="86">
        <f t="shared" si="59"/>
        <v>26666.399999999998</v>
      </c>
      <c r="V219" s="12">
        <v>703</v>
      </c>
      <c r="W219" s="86">
        <f t="shared" si="60"/>
        <v>24710.45</v>
      </c>
      <c r="X219" s="12">
        <v>579</v>
      </c>
      <c r="Y219" s="86">
        <f t="shared" si="61"/>
        <v>20068.14</v>
      </c>
      <c r="Z219" s="12">
        <v>589</v>
      </c>
      <c r="AA219" s="85">
        <f t="shared" si="62"/>
        <v>21233.449999999997</v>
      </c>
      <c r="AB219" s="88">
        <v>582</v>
      </c>
      <c r="AC219" s="85">
        <f t="shared" si="63"/>
        <v>20393.28</v>
      </c>
      <c r="AD219" s="13">
        <v>606</v>
      </c>
      <c r="AE219" s="85">
        <f t="shared" si="64"/>
        <v>20713.079999999998</v>
      </c>
      <c r="AF219" s="12">
        <v>596</v>
      </c>
      <c r="AG219" s="89">
        <f t="shared" si="65"/>
        <v>19846.8</v>
      </c>
      <c r="AH219" s="13">
        <v>595</v>
      </c>
      <c r="AI219" s="85">
        <f t="shared" si="66"/>
        <v>21390.25</v>
      </c>
      <c r="AJ219" s="13"/>
      <c r="AK219" s="85">
        <f t="shared" si="67"/>
        <v>0</v>
      </c>
      <c r="AL219" s="113">
        <f t="shared" si="57"/>
        <v>5445</v>
      </c>
      <c r="AM219" s="23">
        <f t="shared" si="58"/>
        <v>186909.68999999997</v>
      </c>
    </row>
    <row r="220" spans="1:39" s="114" customFormat="1" x14ac:dyDescent="0.5">
      <c r="A220" s="16">
        <v>216</v>
      </c>
      <c r="B220" s="90" t="s">
        <v>1215</v>
      </c>
      <c r="C220" s="84" t="s">
        <v>1300</v>
      </c>
      <c r="D220" s="12"/>
      <c r="E220" s="85">
        <f t="shared" si="68"/>
        <v>0</v>
      </c>
      <c r="F220" s="17"/>
      <c r="G220" s="85">
        <f t="shared" si="69"/>
        <v>0</v>
      </c>
      <c r="H220" s="17"/>
      <c r="I220" s="85">
        <f t="shared" si="70"/>
        <v>0</v>
      </c>
      <c r="J220" s="17"/>
      <c r="K220" s="86">
        <f t="shared" si="71"/>
        <v>0</v>
      </c>
      <c r="L220" s="17"/>
      <c r="M220" s="86">
        <f t="shared" si="72"/>
        <v>0</v>
      </c>
      <c r="N220" s="12"/>
      <c r="O220" s="86">
        <f t="shared" si="73"/>
        <v>0</v>
      </c>
      <c r="P220" s="12"/>
      <c r="Q220" s="86">
        <f t="shared" si="74"/>
        <v>0</v>
      </c>
      <c r="R220" s="85"/>
      <c r="S220" s="86">
        <f t="shared" si="75"/>
        <v>0</v>
      </c>
      <c r="T220" s="12"/>
      <c r="U220" s="86">
        <f t="shared" si="59"/>
        <v>0</v>
      </c>
      <c r="V220" s="12"/>
      <c r="W220" s="86">
        <f t="shared" si="60"/>
        <v>0</v>
      </c>
      <c r="X220" s="12">
        <v>274</v>
      </c>
      <c r="Y220" s="86">
        <f t="shared" si="61"/>
        <v>9496.8399999999983</v>
      </c>
      <c r="Z220" s="12"/>
      <c r="AA220" s="85">
        <f t="shared" si="62"/>
        <v>0</v>
      </c>
      <c r="AB220" s="88"/>
      <c r="AC220" s="85">
        <f t="shared" si="63"/>
        <v>0</v>
      </c>
      <c r="AD220" s="13"/>
      <c r="AE220" s="85">
        <f t="shared" si="64"/>
        <v>0</v>
      </c>
      <c r="AF220" s="12"/>
      <c r="AG220" s="89">
        <f t="shared" si="65"/>
        <v>0</v>
      </c>
      <c r="AH220" s="13"/>
      <c r="AI220" s="85">
        <f t="shared" si="66"/>
        <v>0</v>
      </c>
      <c r="AJ220" s="13"/>
      <c r="AK220" s="85">
        <f t="shared" si="67"/>
        <v>0</v>
      </c>
      <c r="AL220" s="113">
        <f t="shared" si="57"/>
        <v>274</v>
      </c>
      <c r="AM220" s="23">
        <f t="shared" si="58"/>
        <v>9496.8399999999983</v>
      </c>
    </row>
    <row r="221" spans="1:39" x14ac:dyDescent="0.5">
      <c r="A221" s="16">
        <v>217</v>
      </c>
      <c r="B221" s="90" t="s">
        <v>1301</v>
      </c>
      <c r="C221" s="84" t="s">
        <v>1302</v>
      </c>
      <c r="D221" s="12">
        <v>570</v>
      </c>
      <c r="E221" s="85">
        <f t="shared" si="68"/>
        <v>17738.400000000001</v>
      </c>
      <c r="F221" s="17"/>
      <c r="G221" s="85">
        <f t="shared" si="69"/>
        <v>0</v>
      </c>
      <c r="H221" s="17"/>
      <c r="I221" s="85">
        <f t="shared" si="70"/>
        <v>0</v>
      </c>
      <c r="J221" s="17"/>
      <c r="K221" s="86">
        <f t="shared" si="71"/>
        <v>0</v>
      </c>
      <c r="L221" s="17"/>
      <c r="M221" s="86">
        <f t="shared" si="72"/>
        <v>0</v>
      </c>
      <c r="N221" s="12"/>
      <c r="O221" s="86">
        <f t="shared" si="73"/>
        <v>0</v>
      </c>
      <c r="P221" s="12"/>
      <c r="Q221" s="86">
        <f t="shared" si="74"/>
        <v>0</v>
      </c>
      <c r="R221" s="85">
        <v>368</v>
      </c>
      <c r="S221" s="86">
        <f t="shared" si="75"/>
        <v>12401.6</v>
      </c>
      <c r="T221" s="12"/>
      <c r="U221" s="86">
        <f t="shared" si="59"/>
        <v>0</v>
      </c>
      <c r="V221" s="12">
        <v>559</v>
      </c>
      <c r="W221" s="86">
        <f t="shared" si="60"/>
        <v>19648.849999999999</v>
      </c>
      <c r="X221" s="12"/>
      <c r="Y221" s="86">
        <f t="shared" si="61"/>
        <v>0</v>
      </c>
      <c r="Z221" s="12"/>
      <c r="AA221" s="85">
        <f t="shared" si="62"/>
        <v>0</v>
      </c>
      <c r="AB221" s="88">
        <v>568</v>
      </c>
      <c r="AC221" s="85">
        <f t="shared" si="63"/>
        <v>19902.72</v>
      </c>
      <c r="AD221" s="13">
        <v>734</v>
      </c>
      <c r="AE221" s="85">
        <f t="shared" si="64"/>
        <v>25088.12</v>
      </c>
      <c r="AF221" s="12"/>
      <c r="AG221" s="89">
        <f t="shared" si="65"/>
        <v>0</v>
      </c>
      <c r="AH221" s="13">
        <v>748</v>
      </c>
      <c r="AI221" s="85">
        <f t="shared" si="66"/>
        <v>26890.600000000002</v>
      </c>
      <c r="AJ221" s="13">
        <v>598</v>
      </c>
      <c r="AK221" s="85">
        <f t="shared" si="67"/>
        <v>21928.66</v>
      </c>
      <c r="AL221" s="113">
        <f t="shared" si="57"/>
        <v>4145</v>
      </c>
      <c r="AM221" s="23">
        <f t="shared" si="58"/>
        <v>143598.95000000001</v>
      </c>
    </row>
    <row r="222" spans="1:39" s="114" customFormat="1" x14ac:dyDescent="0.5">
      <c r="A222" s="16">
        <v>218</v>
      </c>
      <c r="B222" s="90" t="s">
        <v>631</v>
      </c>
      <c r="C222" s="84" t="s">
        <v>601</v>
      </c>
      <c r="D222" s="12">
        <v>356</v>
      </c>
      <c r="E222" s="85">
        <f t="shared" si="68"/>
        <v>11078.720000000001</v>
      </c>
      <c r="F222" s="17"/>
      <c r="G222" s="85">
        <f t="shared" si="69"/>
        <v>0</v>
      </c>
      <c r="H222" s="17"/>
      <c r="I222" s="85">
        <f t="shared" si="70"/>
        <v>0</v>
      </c>
      <c r="J222" s="17"/>
      <c r="K222" s="86">
        <f t="shared" si="71"/>
        <v>0</v>
      </c>
      <c r="L222" s="17"/>
      <c r="M222" s="86">
        <f t="shared" si="72"/>
        <v>0</v>
      </c>
      <c r="N222" s="12"/>
      <c r="O222" s="86">
        <f t="shared" si="73"/>
        <v>0</v>
      </c>
      <c r="P222" s="12"/>
      <c r="Q222" s="86">
        <f t="shared" si="74"/>
        <v>0</v>
      </c>
      <c r="R222" s="85"/>
      <c r="S222" s="86">
        <f t="shared" si="75"/>
        <v>0</v>
      </c>
      <c r="T222" s="12"/>
      <c r="U222" s="86">
        <f t="shared" si="59"/>
        <v>0</v>
      </c>
      <c r="V222" s="12"/>
      <c r="W222" s="86">
        <f t="shared" si="60"/>
        <v>0</v>
      </c>
      <c r="X222" s="12"/>
      <c r="Y222" s="86">
        <f t="shared" si="61"/>
        <v>0</v>
      </c>
      <c r="Z222" s="12"/>
      <c r="AA222" s="85">
        <f t="shared" si="62"/>
        <v>0</v>
      </c>
      <c r="AB222" s="88"/>
      <c r="AC222" s="85">
        <f t="shared" si="63"/>
        <v>0</v>
      </c>
      <c r="AD222" s="13"/>
      <c r="AE222" s="85">
        <f t="shared" si="64"/>
        <v>0</v>
      </c>
      <c r="AF222" s="12"/>
      <c r="AG222" s="89">
        <f t="shared" si="65"/>
        <v>0</v>
      </c>
      <c r="AH222" s="13"/>
      <c r="AI222" s="85">
        <f t="shared" si="66"/>
        <v>0</v>
      </c>
      <c r="AJ222" s="13"/>
      <c r="AK222" s="85">
        <f t="shared" si="67"/>
        <v>0</v>
      </c>
      <c r="AL222" s="113">
        <f t="shared" si="57"/>
        <v>356</v>
      </c>
      <c r="AM222" s="23">
        <f t="shared" si="58"/>
        <v>11078.720000000001</v>
      </c>
    </row>
    <row r="223" spans="1:39" x14ac:dyDescent="0.5">
      <c r="A223" s="16">
        <v>219</v>
      </c>
      <c r="B223" s="90" t="s">
        <v>1303</v>
      </c>
      <c r="C223" s="84" t="s">
        <v>1304</v>
      </c>
      <c r="D223" s="12"/>
      <c r="E223" s="85">
        <f t="shared" si="68"/>
        <v>0</v>
      </c>
      <c r="F223" s="17"/>
      <c r="G223" s="85">
        <f t="shared" si="69"/>
        <v>0</v>
      </c>
      <c r="H223" s="17"/>
      <c r="I223" s="85">
        <f t="shared" si="70"/>
        <v>0</v>
      </c>
      <c r="J223" s="17"/>
      <c r="K223" s="86">
        <f t="shared" si="71"/>
        <v>0</v>
      </c>
      <c r="L223" s="17"/>
      <c r="M223" s="86">
        <f t="shared" si="72"/>
        <v>0</v>
      </c>
      <c r="N223" s="12"/>
      <c r="O223" s="86">
        <f t="shared" si="73"/>
        <v>0</v>
      </c>
      <c r="P223" s="12"/>
      <c r="Q223" s="86">
        <f t="shared" si="74"/>
        <v>0</v>
      </c>
      <c r="R223" s="85"/>
      <c r="S223" s="86">
        <f t="shared" si="75"/>
        <v>0</v>
      </c>
      <c r="T223" s="12"/>
      <c r="U223" s="86">
        <f t="shared" si="59"/>
        <v>0</v>
      </c>
      <c r="V223" s="12">
        <v>303</v>
      </c>
      <c r="W223" s="86">
        <f t="shared" si="60"/>
        <v>10650.449999999999</v>
      </c>
      <c r="X223" s="12"/>
      <c r="Y223" s="86">
        <f t="shared" si="61"/>
        <v>0</v>
      </c>
      <c r="Z223" s="12"/>
      <c r="AA223" s="85">
        <f t="shared" si="62"/>
        <v>0</v>
      </c>
      <c r="AB223" s="88">
        <v>196</v>
      </c>
      <c r="AC223" s="85">
        <f t="shared" si="63"/>
        <v>6867.84</v>
      </c>
      <c r="AD223" s="13">
        <v>319</v>
      </c>
      <c r="AE223" s="85">
        <f t="shared" si="64"/>
        <v>10903.42</v>
      </c>
      <c r="AF223" s="12">
        <v>252</v>
      </c>
      <c r="AG223" s="89">
        <f t="shared" si="65"/>
        <v>8391.5999999999985</v>
      </c>
      <c r="AH223" s="13">
        <v>264</v>
      </c>
      <c r="AI223" s="85">
        <f t="shared" si="66"/>
        <v>9490.8000000000011</v>
      </c>
      <c r="AJ223" s="13"/>
      <c r="AK223" s="85">
        <f t="shared" si="67"/>
        <v>0</v>
      </c>
      <c r="AL223" s="113">
        <f t="shared" si="57"/>
        <v>1334</v>
      </c>
      <c r="AM223" s="23">
        <f t="shared" si="58"/>
        <v>46304.11</v>
      </c>
    </row>
    <row r="224" spans="1:39" s="114" customFormat="1" x14ac:dyDescent="0.5">
      <c r="A224" s="16">
        <v>220</v>
      </c>
      <c r="B224" s="90" t="s">
        <v>942</v>
      </c>
      <c r="C224" s="84" t="s">
        <v>1305</v>
      </c>
      <c r="D224" s="12"/>
      <c r="E224" s="85">
        <f t="shared" si="68"/>
        <v>0</v>
      </c>
      <c r="F224" s="17"/>
      <c r="G224" s="85">
        <f t="shared" si="69"/>
        <v>0</v>
      </c>
      <c r="H224" s="17"/>
      <c r="I224" s="85">
        <f t="shared" si="70"/>
        <v>0</v>
      </c>
      <c r="J224" s="17"/>
      <c r="K224" s="86">
        <f t="shared" si="71"/>
        <v>0</v>
      </c>
      <c r="L224" s="17"/>
      <c r="M224" s="86">
        <f t="shared" si="72"/>
        <v>0</v>
      </c>
      <c r="N224" s="12"/>
      <c r="O224" s="86">
        <f t="shared" si="73"/>
        <v>0</v>
      </c>
      <c r="P224" s="12"/>
      <c r="Q224" s="86">
        <f t="shared" si="74"/>
        <v>0</v>
      </c>
      <c r="R224" s="85"/>
      <c r="S224" s="86">
        <f t="shared" si="75"/>
        <v>0</v>
      </c>
      <c r="T224" s="12"/>
      <c r="U224" s="86">
        <f t="shared" si="59"/>
        <v>0</v>
      </c>
      <c r="V224" s="12"/>
      <c r="W224" s="86">
        <f t="shared" si="60"/>
        <v>0</v>
      </c>
      <c r="X224" s="12">
        <v>334</v>
      </c>
      <c r="Y224" s="86">
        <f t="shared" si="61"/>
        <v>11576.439999999999</v>
      </c>
      <c r="Z224" s="12"/>
      <c r="AA224" s="85">
        <f t="shared" si="62"/>
        <v>0</v>
      </c>
      <c r="AB224" s="88"/>
      <c r="AC224" s="85">
        <f t="shared" si="63"/>
        <v>0</v>
      </c>
      <c r="AD224" s="13"/>
      <c r="AE224" s="85">
        <f t="shared" si="64"/>
        <v>0</v>
      </c>
      <c r="AF224" s="12"/>
      <c r="AG224" s="89">
        <f t="shared" si="65"/>
        <v>0</v>
      </c>
      <c r="AH224" s="13"/>
      <c r="AI224" s="85">
        <f t="shared" si="66"/>
        <v>0</v>
      </c>
      <c r="AJ224" s="13"/>
      <c r="AK224" s="85">
        <f t="shared" si="67"/>
        <v>0</v>
      </c>
      <c r="AL224" s="113">
        <f t="shared" si="57"/>
        <v>334</v>
      </c>
      <c r="AM224" s="23">
        <f t="shared" si="58"/>
        <v>11576.439999999999</v>
      </c>
    </row>
    <row r="225" spans="1:39" s="114" customFormat="1" x14ac:dyDescent="0.5">
      <c r="A225" s="16">
        <v>221</v>
      </c>
      <c r="B225" s="90" t="s">
        <v>1306</v>
      </c>
      <c r="C225" s="84" t="s">
        <v>1307</v>
      </c>
      <c r="D225" s="12"/>
      <c r="E225" s="85">
        <f t="shared" si="68"/>
        <v>0</v>
      </c>
      <c r="F225" s="17"/>
      <c r="G225" s="85">
        <f t="shared" si="69"/>
        <v>0</v>
      </c>
      <c r="H225" s="17"/>
      <c r="I225" s="85">
        <f t="shared" si="70"/>
        <v>0</v>
      </c>
      <c r="J225" s="17"/>
      <c r="K225" s="86">
        <f t="shared" si="71"/>
        <v>0</v>
      </c>
      <c r="L225" s="17"/>
      <c r="M225" s="86">
        <f t="shared" si="72"/>
        <v>0</v>
      </c>
      <c r="N225" s="12"/>
      <c r="O225" s="86">
        <f t="shared" si="73"/>
        <v>0</v>
      </c>
      <c r="P225" s="12"/>
      <c r="Q225" s="86">
        <f t="shared" si="74"/>
        <v>0</v>
      </c>
      <c r="R225" s="85"/>
      <c r="S225" s="86">
        <f t="shared" si="75"/>
        <v>0</v>
      </c>
      <c r="T225" s="12"/>
      <c r="U225" s="86">
        <f t="shared" si="59"/>
        <v>0</v>
      </c>
      <c r="V225" s="12"/>
      <c r="W225" s="86">
        <f t="shared" si="60"/>
        <v>0</v>
      </c>
      <c r="X225" s="12"/>
      <c r="Y225" s="86">
        <f t="shared" si="61"/>
        <v>0</v>
      </c>
      <c r="Z225" s="12"/>
      <c r="AA225" s="85">
        <f t="shared" si="62"/>
        <v>0</v>
      </c>
      <c r="AB225" s="88"/>
      <c r="AC225" s="85">
        <f t="shared" si="63"/>
        <v>0</v>
      </c>
      <c r="AD225" s="13"/>
      <c r="AE225" s="85">
        <f t="shared" si="64"/>
        <v>0</v>
      </c>
      <c r="AF225" s="12"/>
      <c r="AG225" s="89">
        <f t="shared" si="65"/>
        <v>0</v>
      </c>
      <c r="AH225" s="13"/>
      <c r="AI225" s="85">
        <f t="shared" si="66"/>
        <v>0</v>
      </c>
      <c r="AJ225" s="13"/>
      <c r="AK225" s="85">
        <f t="shared" si="67"/>
        <v>0</v>
      </c>
      <c r="AL225" s="113">
        <f t="shared" si="57"/>
        <v>0</v>
      </c>
      <c r="AM225" s="23">
        <f t="shared" si="58"/>
        <v>0</v>
      </c>
    </row>
    <row r="226" spans="1:39" s="114" customFormat="1" x14ac:dyDescent="0.5">
      <c r="A226" s="16">
        <v>222</v>
      </c>
      <c r="B226" s="90" t="s">
        <v>1308</v>
      </c>
      <c r="C226" s="84" t="s">
        <v>1309</v>
      </c>
      <c r="D226" s="12">
        <v>706</v>
      </c>
      <c r="E226" s="85">
        <f t="shared" si="68"/>
        <v>21970.720000000001</v>
      </c>
      <c r="F226" s="17"/>
      <c r="G226" s="85">
        <f t="shared" si="69"/>
        <v>0</v>
      </c>
      <c r="H226" s="17"/>
      <c r="I226" s="85">
        <f t="shared" si="70"/>
        <v>0</v>
      </c>
      <c r="J226" s="17"/>
      <c r="K226" s="86">
        <f t="shared" si="71"/>
        <v>0</v>
      </c>
      <c r="L226" s="17"/>
      <c r="M226" s="86">
        <f t="shared" si="72"/>
        <v>0</v>
      </c>
      <c r="N226" s="12"/>
      <c r="O226" s="86">
        <f t="shared" si="73"/>
        <v>0</v>
      </c>
      <c r="P226" s="12"/>
      <c r="Q226" s="86">
        <f t="shared" si="74"/>
        <v>0</v>
      </c>
      <c r="R226" s="85"/>
      <c r="S226" s="86">
        <f t="shared" si="75"/>
        <v>0</v>
      </c>
      <c r="T226" s="12"/>
      <c r="U226" s="86">
        <f t="shared" si="59"/>
        <v>0</v>
      </c>
      <c r="V226" s="12"/>
      <c r="W226" s="86">
        <f t="shared" si="60"/>
        <v>0</v>
      </c>
      <c r="X226" s="12"/>
      <c r="Y226" s="86">
        <f t="shared" si="61"/>
        <v>0</v>
      </c>
      <c r="Z226" s="12"/>
      <c r="AA226" s="85">
        <f t="shared" si="62"/>
        <v>0</v>
      </c>
      <c r="AB226" s="88"/>
      <c r="AC226" s="85">
        <f t="shared" si="63"/>
        <v>0</v>
      </c>
      <c r="AD226" s="13"/>
      <c r="AE226" s="85">
        <f t="shared" si="64"/>
        <v>0</v>
      </c>
      <c r="AF226" s="12"/>
      <c r="AG226" s="89">
        <f t="shared" si="65"/>
        <v>0</v>
      </c>
      <c r="AH226" s="13"/>
      <c r="AI226" s="85">
        <f t="shared" si="66"/>
        <v>0</v>
      </c>
      <c r="AJ226" s="13"/>
      <c r="AK226" s="85">
        <f t="shared" si="67"/>
        <v>0</v>
      </c>
      <c r="AL226" s="113">
        <f t="shared" si="57"/>
        <v>706</v>
      </c>
      <c r="AM226" s="23">
        <f t="shared" si="58"/>
        <v>21970.720000000001</v>
      </c>
    </row>
    <row r="227" spans="1:39" x14ac:dyDescent="0.5">
      <c r="A227" s="16">
        <v>223</v>
      </c>
      <c r="B227" s="90" t="s">
        <v>1129</v>
      </c>
      <c r="C227" s="84" t="s">
        <v>1310</v>
      </c>
      <c r="D227" s="12"/>
      <c r="E227" s="85">
        <f t="shared" si="68"/>
        <v>0</v>
      </c>
      <c r="F227" s="17"/>
      <c r="G227" s="85">
        <f t="shared" si="69"/>
        <v>0</v>
      </c>
      <c r="H227" s="17"/>
      <c r="I227" s="85">
        <f t="shared" si="70"/>
        <v>0</v>
      </c>
      <c r="J227" s="17"/>
      <c r="K227" s="86">
        <f t="shared" si="71"/>
        <v>0</v>
      </c>
      <c r="L227" s="17"/>
      <c r="M227" s="86">
        <f t="shared" si="72"/>
        <v>0</v>
      </c>
      <c r="N227" s="12"/>
      <c r="O227" s="86">
        <f t="shared" si="73"/>
        <v>0</v>
      </c>
      <c r="P227" s="12"/>
      <c r="Q227" s="86">
        <f t="shared" si="74"/>
        <v>0</v>
      </c>
      <c r="R227" s="85">
        <v>838</v>
      </c>
      <c r="S227" s="86">
        <f t="shared" si="75"/>
        <v>28240.600000000002</v>
      </c>
      <c r="T227" s="12">
        <v>575</v>
      </c>
      <c r="U227" s="86">
        <f t="shared" si="59"/>
        <v>18860</v>
      </c>
      <c r="V227" s="12">
        <v>635</v>
      </c>
      <c r="W227" s="86">
        <f t="shared" si="60"/>
        <v>22320.25</v>
      </c>
      <c r="X227" s="12">
        <v>451</v>
      </c>
      <c r="Y227" s="86">
        <f t="shared" si="61"/>
        <v>15631.659999999998</v>
      </c>
      <c r="Z227" s="12">
        <v>462</v>
      </c>
      <c r="AA227" s="85">
        <f t="shared" si="62"/>
        <v>16655.099999999999</v>
      </c>
      <c r="AB227" s="88">
        <v>530</v>
      </c>
      <c r="AC227" s="85">
        <f t="shared" si="63"/>
        <v>18571.2</v>
      </c>
      <c r="AD227" s="13">
        <v>740</v>
      </c>
      <c r="AE227" s="85">
        <f t="shared" si="64"/>
        <v>25293.200000000001</v>
      </c>
      <c r="AF227" s="12">
        <v>553</v>
      </c>
      <c r="AG227" s="89">
        <f t="shared" si="65"/>
        <v>18414.899999999998</v>
      </c>
      <c r="AH227" s="13">
        <v>536</v>
      </c>
      <c r="AI227" s="85">
        <f t="shared" si="66"/>
        <v>19269.2</v>
      </c>
      <c r="AJ227" s="13"/>
      <c r="AK227" s="85">
        <f t="shared" si="67"/>
        <v>0</v>
      </c>
      <c r="AL227" s="113">
        <f t="shared" si="57"/>
        <v>5320</v>
      </c>
      <c r="AM227" s="23">
        <f t="shared" si="58"/>
        <v>183256.11000000002</v>
      </c>
    </row>
    <row r="228" spans="1:39" x14ac:dyDescent="0.5">
      <c r="A228" s="16">
        <v>224</v>
      </c>
      <c r="B228" s="90" t="s">
        <v>1311</v>
      </c>
      <c r="C228" s="84" t="s">
        <v>1312</v>
      </c>
      <c r="D228" s="12">
        <v>650</v>
      </c>
      <c r="E228" s="85">
        <f t="shared" si="68"/>
        <v>20228</v>
      </c>
      <c r="F228" s="17">
        <v>580</v>
      </c>
      <c r="G228" s="85">
        <f t="shared" si="69"/>
        <v>18797.8</v>
      </c>
      <c r="H228" s="17">
        <v>587</v>
      </c>
      <c r="I228" s="85">
        <f t="shared" si="70"/>
        <v>19376.87</v>
      </c>
      <c r="J228" s="17"/>
      <c r="K228" s="86">
        <f t="shared" si="71"/>
        <v>0</v>
      </c>
      <c r="L228" s="17"/>
      <c r="M228" s="86">
        <f t="shared" si="72"/>
        <v>0</v>
      </c>
      <c r="N228" s="12"/>
      <c r="O228" s="86">
        <f t="shared" si="73"/>
        <v>0</v>
      </c>
      <c r="P228" s="12">
        <v>864</v>
      </c>
      <c r="Q228" s="86">
        <f t="shared" si="74"/>
        <v>33436.800000000003</v>
      </c>
      <c r="R228" s="85">
        <v>682</v>
      </c>
      <c r="S228" s="86">
        <f t="shared" si="75"/>
        <v>22983.4</v>
      </c>
      <c r="T228" s="12">
        <v>445</v>
      </c>
      <c r="U228" s="86">
        <f t="shared" si="59"/>
        <v>14595.999999999998</v>
      </c>
      <c r="V228" s="12">
        <v>753</v>
      </c>
      <c r="W228" s="86">
        <f t="shared" si="60"/>
        <v>26467.95</v>
      </c>
      <c r="X228" s="12">
        <v>485</v>
      </c>
      <c r="Y228" s="86">
        <f t="shared" si="61"/>
        <v>16810.099999999999</v>
      </c>
      <c r="Z228" s="12">
        <v>598</v>
      </c>
      <c r="AA228" s="85">
        <f t="shared" si="62"/>
        <v>21557.899999999998</v>
      </c>
      <c r="AB228" s="88">
        <v>754</v>
      </c>
      <c r="AC228" s="85">
        <f t="shared" si="63"/>
        <v>26420.16</v>
      </c>
      <c r="AD228" s="13">
        <v>528</v>
      </c>
      <c r="AE228" s="85">
        <f t="shared" si="64"/>
        <v>18047.04</v>
      </c>
      <c r="AF228" s="12">
        <v>645</v>
      </c>
      <c r="AG228" s="89">
        <f t="shared" si="65"/>
        <v>21478.499999999996</v>
      </c>
      <c r="AH228" s="13">
        <v>848</v>
      </c>
      <c r="AI228" s="85">
        <f t="shared" si="66"/>
        <v>30485.600000000002</v>
      </c>
      <c r="AJ228" s="13"/>
      <c r="AK228" s="85">
        <f t="shared" si="67"/>
        <v>0</v>
      </c>
      <c r="AL228" s="113">
        <f t="shared" si="57"/>
        <v>8419</v>
      </c>
      <c r="AM228" s="23">
        <f t="shared" si="58"/>
        <v>290686.12</v>
      </c>
    </row>
    <row r="229" spans="1:39" x14ac:dyDescent="0.5">
      <c r="A229" s="16">
        <v>225</v>
      </c>
      <c r="B229" s="90" t="s">
        <v>1306</v>
      </c>
      <c r="C229" s="84" t="s">
        <v>1313</v>
      </c>
      <c r="D229" s="12"/>
      <c r="E229" s="85">
        <f t="shared" si="68"/>
        <v>0</v>
      </c>
      <c r="F229" s="17"/>
      <c r="G229" s="85">
        <f t="shared" si="69"/>
        <v>0</v>
      </c>
      <c r="H229" s="17"/>
      <c r="I229" s="85">
        <f t="shared" si="70"/>
        <v>0</v>
      </c>
      <c r="J229" s="17">
        <v>794</v>
      </c>
      <c r="K229" s="86">
        <f t="shared" si="71"/>
        <v>27885.279999999999</v>
      </c>
      <c r="L229" s="17">
        <v>844</v>
      </c>
      <c r="M229" s="86">
        <f t="shared" si="72"/>
        <v>32283</v>
      </c>
      <c r="N229" s="12">
        <v>1256</v>
      </c>
      <c r="O229" s="86">
        <f t="shared" si="73"/>
        <v>52752</v>
      </c>
      <c r="P229" s="12">
        <v>1180</v>
      </c>
      <c r="Q229" s="86">
        <f t="shared" si="74"/>
        <v>45666</v>
      </c>
      <c r="R229" s="85">
        <v>1735</v>
      </c>
      <c r="S229" s="86">
        <f t="shared" si="75"/>
        <v>58469.500000000007</v>
      </c>
      <c r="T229" s="12">
        <v>1542</v>
      </c>
      <c r="U229" s="86">
        <f t="shared" si="59"/>
        <v>50577.599999999999</v>
      </c>
      <c r="V229" s="12">
        <v>1919</v>
      </c>
      <c r="W229" s="86">
        <f t="shared" si="60"/>
        <v>67452.849999999991</v>
      </c>
      <c r="X229" s="12">
        <v>1503</v>
      </c>
      <c r="Y229" s="86">
        <f t="shared" si="61"/>
        <v>52093.979999999996</v>
      </c>
      <c r="Z229" s="12"/>
      <c r="AA229" s="85">
        <f t="shared" si="62"/>
        <v>0</v>
      </c>
      <c r="AB229" s="88">
        <v>2085</v>
      </c>
      <c r="AC229" s="85">
        <f t="shared" si="63"/>
        <v>73058.399999999994</v>
      </c>
      <c r="AD229" s="13">
        <v>1938</v>
      </c>
      <c r="AE229" s="85">
        <f t="shared" si="64"/>
        <v>66240.84</v>
      </c>
      <c r="AF229" s="12">
        <v>2204</v>
      </c>
      <c r="AG229" s="89">
        <f t="shared" si="65"/>
        <v>73393.2</v>
      </c>
      <c r="AH229" s="13">
        <v>2004</v>
      </c>
      <c r="AI229" s="85">
        <f t="shared" si="66"/>
        <v>72043.8</v>
      </c>
      <c r="AJ229" s="13"/>
      <c r="AK229" s="85">
        <f t="shared" si="67"/>
        <v>0</v>
      </c>
      <c r="AL229" s="113">
        <f t="shared" si="57"/>
        <v>19004</v>
      </c>
      <c r="AM229" s="23">
        <f t="shared" si="58"/>
        <v>671916.45</v>
      </c>
    </row>
    <row r="230" spans="1:39" s="114" customFormat="1" x14ac:dyDescent="0.5">
      <c r="A230" s="16">
        <v>226</v>
      </c>
      <c r="B230" s="90" t="s">
        <v>1314</v>
      </c>
      <c r="C230" s="84" t="s">
        <v>1315</v>
      </c>
      <c r="D230" s="12"/>
      <c r="E230" s="85">
        <f t="shared" si="68"/>
        <v>0</v>
      </c>
      <c r="F230" s="17"/>
      <c r="G230" s="85">
        <f t="shared" si="69"/>
        <v>0</v>
      </c>
      <c r="H230" s="17"/>
      <c r="I230" s="85">
        <f t="shared" si="70"/>
        <v>0</v>
      </c>
      <c r="J230" s="17"/>
      <c r="K230" s="86">
        <f t="shared" si="71"/>
        <v>0</v>
      </c>
      <c r="L230" s="17">
        <v>446</v>
      </c>
      <c r="M230" s="86">
        <f t="shared" si="72"/>
        <v>17059.5</v>
      </c>
      <c r="N230" s="12">
        <v>483</v>
      </c>
      <c r="O230" s="86">
        <f t="shared" si="73"/>
        <v>20286</v>
      </c>
      <c r="P230" s="12"/>
      <c r="Q230" s="86">
        <f t="shared" si="74"/>
        <v>0</v>
      </c>
      <c r="R230" s="85"/>
      <c r="S230" s="86">
        <f t="shared" si="75"/>
        <v>0</v>
      </c>
      <c r="T230" s="12"/>
      <c r="U230" s="86">
        <f t="shared" si="59"/>
        <v>0</v>
      </c>
      <c r="V230" s="12"/>
      <c r="W230" s="86">
        <f t="shared" si="60"/>
        <v>0</v>
      </c>
      <c r="X230" s="12"/>
      <c r="Y230" s="86">
        <f t="shared" si="61"/>
        <v>0</v>
      </c>
      <c r="Z230" s="12"/>
      <c r="AA230" s="85">
        <f t="shared" si="62"/>
        <v>0</v>
      </c>
      <c r="AB230" s="88"/>
      <c r="AC230" s="85">
        <f t="shared" si="63"/>
        <v>0</v>
      </c>
      <c r="AD230" s="13"/>
      <c r="AE230" s="85">
        <f t="shared" si="64"/>
        <v>0</v>
      </c>
      <c r="AF230" s="12"/>
      <c r="AG230" s="89">
        <f t="shared" si="65"/>
        <v>0</v>
      </c>
      <c r="AH230" s="13"/>
      <c r="AI230" s="85">
        <f t="shared" si="66"/>
        <v>0</v>
      </c>
      <c r="AJ230" s="13"/>
      <c r="AK230" s="85">
        <f t="shared" si="67"/>
        <v>0</v>
      </c>
      <c r="AL230" s="113">
        <f t="shared" si="57"/>
        <v>929</v>
      </c>
      <c r="AM230" s="23">
        <f t="shared" si="58"/>
        <v>37345.5</v>
      </c>
    </row>
    <row r="231" spans="1:39" s="114" customFormat="1" x14ac:dyDescent="0.5">
      <c r="A231" s="16">
        <v>227</v>
      </c>
      <c r="B231" s="90" t="s">
        <v>676</v>
      </c>
      <c r="C231" s="84" t="s">
        <v>1316</v>
      </c>
      <c r="D231" s="12"/>
      <c r="E231" s="85">
        <f t="shared" si="68"/>
        <v>0</v>
      </c>
      <c r="F231" s="17"/>
      <c r="G231" s="85">
        <f t="shared" si="69"/>
        <v>0</v>
      </c>
      <c r="H231" s="17"/>
      <c r="I231" s="85">
        <f t="shared" si="70"/>
        <v>0</v>
      </c>
      <c r="J231" s="17"/>
      <c r="K231" s="86">
        <f t="shared" si="71"/>
        <v>0</v>
      </c>
      <c r="L231" s="17"/>
      <c r="M231" s="86">
        <f t="shared" si="72"/>
        <v>0</v>
      </c>
      <c r="N231" s="12">
        <v>256</v>
      </c>
      <c r="O231" s="86">
        <f t="shared" si="73"/>
        <v>10752</v>
      </c>
      <c r="P231" s="12"/>
      <c r="Q231" s="86">
        <f t="shared" si="74"/>
        <v>0</v>
      </c>
      <c r="R231" s="85"/>
      <c r="S231" s="86">
        <f t="shared" si="75"/>
        <v>0</v>
      </c>
      <c r="T231" s="12"/>
      <c r="U231" s="86">
        <f t="shared" si="59"/>
        <v>0</v>
      </c>
      <c r="V231" s="12"/>
      <c r="W231" s="86">
        <f t="shared" si="60"/>
        <v>0</v>
      </c>
      <c r="X231" s="12"/>
      <c r="Y231" s="86">
        <f t="shared" si="61"/>
        <v>0</v>
      </c>
      <c r="Z231" s="12"/>
      <c r="AA231" s="85">
        <f t="shared" si="62"/>
        <v>0</v>
      </c>
      <c r="AB231" s="88"/>
      <c r="AC231" s="85">
        <f t="shared" si="63"/>
        <v>0</v>
      </c>
      <c r="AD231" s="13"/>
      <c r="AE231" s="85">
        <f t="shared" si="64"/>
        <v>0</v>
      </c>
      <c r="AF231" s="12"/>
      <c r="AG231" s="89">
        <f t="shared" si="65"/>
        <v>0</v>
      </c>
      <c r="AH231" s="13"/>
      <c r="AI231" s="85">
        <f t="shared" si="66"/>
        <v>0</v>
      </c>
      <c r="AJ231" s="13"/>
      <c r="AK231" s="85">
        <f t="shared" si="67"/>
        <v>0</v>
      </c>
      <c r="AL231" s="113">
        <f t="shared" si="57"/>
        <v>256</v>
      </c>
      <c r="AM231" s="23">
        <f t="shared" si="58"/>
        <v>10752</v>
      </c>
    </row>
    <row r="232" spans="1:39" x14ac:dyDescent="0.5">
      <c r="A232" s="16">
        <v>228</v>
      </c>
      <c r="B232" s="90" t="s">
        <v>1317</v>
      </c>
      <c r="C232" s="84" t="s">
        <v>1004</v>
      </c>
      <c r="D232" s="12"/>
      <c r="E232" s="85">
        <f t="shared" si="68"/>
        <v>0</v>
      </c>
      <c r="F232" s="17"/>
      <c r="G232" s="85">
        <f t="shared" si="69"/>
        <v>0</v>
      </c>
      <c r="H232" s="17"/>
      <c r="I232" s="85">
        <f t="shared" si="70"/>
        <v>0</v>
      </c>
      <c r="J232" s="17"/>
      <c r="K232" s="86">
        <f t="shared" si="71"/>
        <v>0</v>
      </c>
      <c r="L232" s="17"/>
      <c r="M232" s="86">
        <f t="shared" si="72"/>
        <v>0</v>
      </c>
      <c r="N232" s="12"/>
      <c r="O232" s="86">
        <f t="shared" si="73"/>
        <v>0</v>
      </c>
      <c r="P232" s="12"/>
      <c r="Q232" s="86">
        <f t="shared" si="74"/>
        <v>0</v>
      </c>
      <c r="R232" s="85"/>
      <c r="S232" s="86">
        <f t="shared" si="75"/>
        <v>0</v>
      </c>
      <c r="T232" s="12">
        <v>263</v>
      </c>
      <c r="U232" s="86">
        <f t="shared" si="59"/>
        <v>8626.4</v>
      </c>
      <c r="V232" s="12">
        <v>196</v>
      </c>
      <c r="W232" s="86">
        <f t="shared" si="60"/>
        <v>6889.4</v>
      </c>
      <c r="X232" s="12"/>
      <c r="Y232" s="86">
        <f t="shared" si="61"/>
        <v>0</v>
      </c>
      <c r="Z232" s="12">
        <v>241</v>
      </c>
      <c r="AA232" s="85">
        <f t="shared" si="62"/>
        <v>8688.0499999999993</v>
      </c>
      <c r="AB232" s="88"/>
      <c r="AC232" s="85">
        <f t="shared" si="63"/>
        <v>0</v>
      </c>
      <c r="AD232" s="13">
        <v>272</v>
      </c>
      <c r="AE232" s="85">
        <f t="shared" si="64"/>
        <v>9296.9599999999991</v>
      </c>
      <c r="AF232" s="12"/>
      <c r="AG232" s="89">
        <f t="shared" si="65"/>
        <v>0</v>
      </c>
      <c r="AH232" s="13">
        <v>209</v>
      </c>
      <c r="AI232" s="85">
        <f t="shared" si="66"/>
        <v>7513.55</v>
      </c>
      <c r="AJ232" s="13"/>
      <c r="AK232" s="85">
        <f t="shared" si="67"/>
        <v>0</v>
      </c>
      <c r="AL232" s="113">
        <f t="shared" si="57"/>
        <v>1181</v>
      </c>
      <c r="AM232" s="23">
        <f t="shared" si="58"/>
        <v>41014.36</v>
      </c>
    </row>
    <row r="233" spans="1:39" s="114" customFormat="1" x14ac:dyDescent="0.5">
      <c r="A233" s="16">
        <v>229</v>
      </c>
      <c r="B233" s="90" t="s">
        <v>1318</v>
      </c>
      <c r="C233" s="84" t="s">
        <v>1319</v>
      </c>
      <c r="D233" s="12"/>
      <c r="E233" s="85">
        <f t="shared" si="68"/>
        <v>0</v>
      </c>
      <c r="F233" s="17"/>
      <c r="G233" s="85">
        <f t="shared" si="69"/>
        <v>0</v>
      </c>
      <c r="H233" s="17"/>
      <c r="I233" s="85">
        <f t="shared" si="70"/>
        <v>0</v>
      </c>
      <c r="J233" s="17"/>
      <c r="K233" s="86">
        <f t="shared" si="71"/>
        <v>0</v>
      </c>
      <c r="L233" s="17"/>
      <c r="M233" s="86">
        <f t="shared" si="72"/>
        <v>0</v>
      </c>
      <c r="N233" s="12">
        <v>494</v>
      </c>
      <c r="O233" s="86">
        <f t="shared" si="73"/>
        <v>20748</v>
      </c>
      <c r="P233" s="12"/>
      <c r="Q233" s="86">
        <f t="shared" si="74"/>
        <v>0</v>
      </c>
      <c r="R233" s="85"/>
      <c r="S233" s="86">
        <f t="shared" si="75"/>
        <v>0</v>
      </c>
      <c r="T233" s="12"/>
      <c r="U233" s="86">
        <f t="shared" si="59"/>
        <v>0</v>
      </c>
      <c r="V233" s="12"/>
      <c r="W233" s="86">
        <f t="shared" si="60"/>
        <v>0</v>
      </c>
      <c r="X233" s="12"/>
      <c r="Y233" s="86">
        <f t="shared" si="61"/>
        <v>0</v>
      </c>
      <c r="Z233" s="12"/>
      <c r="AA233" s="85">
        <f t="shared" si="62"/>
        <v>0</v>
      </c>
      <c r="AB233" s="88"/>
      <c r="AC233" s="85">
        <f t="shared" si="63"/>
        <v>0</v>
      </c>
      <c r="AD233" s="13"/>
      <c r="AE233" s="85">
        <f t="shared" si="64"/>
        <v>0</v>
      </c>
      <c r="AF233" s="12"/>
      <c r="AG233" s="89">
        <f t="shared" si="65"/>
        <v>0</v>
      </c>
      <c r="AH233" s="13"/>
      <c r="AI233" s="85">
        <f t="shared" si="66"/>
        <v>0</v>
      </c>
      <c r="AJ233" s="13"/>
      <c r="AK233" s="85">
        <f t="shared" si="67"/>
        <v>0</v>
      </c>
      <c r="AL233" s="113">
        <f t="shared" si="57"/>
        <v>494</v>
      </c>
      <c r="AM233" s="23">
        <f t="shared" si="58"/>
        <v>20748</v>
      </c>
    </row>
    <row r="234" spans="1:39" s="114" customFormat="1" x14ac:dyDescent="0.5">
      <c r="A234" s="16">
        <v>230</v>
      </c>
      <c r="B234" s="90" t="s">
        <v>1320</v>
      </c>
      <c r="C234" s="84" t="s">
        <v>1321</v>
      </c>
      <c r="D234" s="12"/>
      <c r="E234" s="85">
        <f t="shared" si="68"/>
        <v>0</v>
      </c>
      <c r="F234" s="17"/>
      <c r="G234" s="85">
        <f t="shared" si="69"/>
        <v>0</v>
      </c>
      <c r="H234" s="17"/>
      <c r="I234" s="85">
        <f t="shared" si="70"/>
        <v>0</v>
      </c>
      <c r="J234" s="17"/>
      <c r="K234" s="86">
        <f t="shared" si="71"/>
        <v>0</v>
      </c>
      <c r="L234" s="17"/>
      <c r="M234" s="86">
        <f t="shared" si="72"/>
        <v>0</v>
      </c>
      <c r="N234" s="12">
        <v>439</v>
      </c>
      <c r="O234" s="86">
        <f t="shared" si="73"/>
        <v>18438</v>
      </c>
      <c r="P234" s="12">
        <v>580</v>
      </c>
      <c r="Q234" s="86">
        <f t="shared" si="74"/>
        <v>22446</v>
      </c>
      <c r="R234" s="85">
        <v>667</v>
      </c>
      <c r="S234" s="86">
        <f t="shared" si="75"/>
        <v>22477.9</v>
      </c>
      <c r="T234" s="12"/>
      <c r="U234" s="86">
        <f t="shared" si="59"/>
        <v>0</v>
      </c>
      <c r="V234" s="12"/>
      <c r="W234" s="86">
        <f t="shared" si="60"/>
        <v>0</v>
      </c>
      <c r="X234" s="12">
        <v>702</v>
      </c>
      <c r="Y234" s="86">
        <f t="shared" si="61"/>
        <v>24331.319999999996</v>
      </c>
      <c r="Z234" s="12"/>
      <c r="AA234" s="85">
        <f t="shared" si="62"/>
        <v>0</v>
      </c>
      <c r="AB234" s="88"/>
      <c r="AC234" s="85">
        <f t="shared" si="63"/>
        <v>0</v>
      </c>
      <c r="AD234" s="13"/>
      <c r="AE234" s="85">
        <f t="shared" si="64"/>
        <v>0</v>
      </c>
      <c r="AF234" s="12"/>
      <c r="AG234" s="89">
        <f t="shared" si="65"/>
        <v>0</v>
      </c>
      <c r="AH234" s="13"/>
      <c r="AI234" s="85">
        <f t="shared" si="66"/>
        <v>0</v>
      </c>
      <c r="AJ234" s="13"/>
      <c r="AK234" s="85">
        <f t="shared" si="67"/>
        <v>0</v>
      </c>
      <c r="AL234" s="113">
        <f t="shared" si="57"/>
        <v>2388</v>
      </c>
      <c r="AM234" s="23">
        <f t="shared" si="58"/>
        <v>87693.22</v>
      </c>
    </row>
    <row r="235" spans="1:39" x14ac:dyDescent="0.5">
      <c r="A235" s="16">
        <v>231</v>
      </c>
      <c r="B235" s="90" t="s">
        <v>1322</v>
      </c>
      <c r="C235" s="84" t="s">
        <v>1321</v>
      </c>
      <c r="D235" s="12"/>
      <c r="E235" s="85"/>
      <c r="F235" s="17"/>
      <c r="G235" s="85"/>
      <c r="H235" s="17"/>
      <c r="I235" s="85"/>
      <c r="J235" s="17"/>
      <c r="K235" s="86"/>
      <c r="L235" s="17"/>
      <c r="M235" s="86"/>
      <c r="N235" s="12"/>
      <c r="O235" s="86"/>
      <c r="P235" s="12"/>
      <c r="Q235" s="86"/>
      <c r="R235" s="85"/>
      <c r="S235" s="86"/>
      <c r="T235" s="12"/>
      <c r="U235" s="86"/>
      <c r="V235" s="12"/>
      <c r="W235" s="86"/>
      <c r="X235" s="12"/>
      <c r="Y235" s="86"/>
      <c r="Z235" s="12"/>
      <c r="AA235" s="85"/>
      <c r="AB235" s="88"/>
      <c r="AC235" s="85"/>
      <c r="AD235" s="13"/>
      <c r="AE235" s="85"/>
      <c r="AF235" s="12"/>
      <c r="AG235" s="89"/>
      <c r="AH235" s="13"/>
      <c r="AI235" s="85"/>
      <c r="AJ235" s="13">
        <v>123</v>
      </c>
      <c r="AK235" s="85">
        <f t="shared" si="67"/>
        <v>4510.41</v>
      </c>
      <c r="AL235" s="113">
        <f t="shared" si="57"/>
        <v>123</v>
      </c>
      <c r="AM235" s="23">
        <f t="shared" si="58"/>
        <v>4510.41</v>
      </c>
    </row>
    <row r="236" spans="1:39" s="114" customFormat="1" x14ac:dyDescent="0.5">
      <c r="A236" s="16">
        <v>232</v>
      </c>
      <c r="B236" s="90" t="s">
        <v>1053</v>
      </c>
      <c r="C236" s="84" t="s">
        <v>1291</v>
      </c>
      <c r="D236" s="12"/>
      <c r="E236" s="85">
        <f t="shared" si="68"/>
        <v>0</v>
      </c>
      <c r="F236" s="17"/>
      <c r="G236" s="85">
        <f t="shared" si="69"/>
        <v>0</v>
      </c>
      <c r="H236" s="17"/>
      <c r="I236" s="85">
        <f t="shared" si="70"/>
        <v>0</v>
      </c>
      <c r="J236" s="17"/>
      <c r="K236" s="86">
        <f t="shared" si="71"/>
        <v>0</v>
      </c>
      <c r="L236" s="17"/>
      <c r="M236" s="86">
        <f t="shared" si="72"/>
        <v>0</v>
      </c>
      <c r="N236" s="12"/>
      <c r="O236" s="86">
        <f t="shared" si="73"/>
        <v>0</v>
      </c>
      <c r="P236" s="12"/>
      <c r="Q236" s="86">
        <f t="shared" si="74"/>
        <v>0</v>
      </c>
      <c r="R236" s="85"/>
      <c r="S236" s="86">
        <f t="shared" si="75"/>
        <v>0</v>
      </c>
      <c r="T236" s="12"/>
      <c r="U236" s="86">
        <f t="shared" si="59"/>
        <v>0</v>
      </c>
      <c r="V236" s="12"/>
      <c r="W236" s="86">
        <f t="shared" si="60"/>
        <v>0</v>
      </c>
      <c r="X236" s="12">
        <v>122</v>
      </c>
      <c r="Y236" s="86">
        <f t="shared" si="61"/>
        <v>4228.5199999999995</v>
      </c>
      <c r="Z236" s="12"/>
      <c r="AA236" s="85">
        <f t="shared" si="62"/>
        <v>0</v>
      </c>
      <c r="AB236" s="88"/>
      <c r="AC236" s="85">
        <f t="shared" si="63"/>
        <v>0</v>
      </c>
      <c r="AD236" s="13"/>
      <c r="AE236" s="85">
        <f t="shared" si="64"/>
        <v>0</v>
      </c>
      <c r="AF236" s="12"/>
      <c r="AG236" s="89">
        <f t="shared" si="65"/>
        <v>0</v>
      </c>
      <c r="AH236" s="13"/>
      <c r="AI236" s="85">
        <f t="shared" si="66"/>
        <v>0</v>
      </c>
      <c r="AJ236" s="13"/>
      <c r="AK236" s="85">
        <f t="shared" si="67"/>
        <v>0</v>
      </c>
      <c r="AL236" s="113">
        <f t="shared" si="57"/>
        <v>122</v>
      </c>
      <c r="AM236" s="23">
        <f t="shared" si="58"/>
        <v>4228.5199999999995</v>
      </c>
    </row>
    <row r="237" spans="1:39" s="114" customFormat="1" x14ac:dyDescent="0.5">
      <c r="A237" s="16">
        <v>233</v>
      </c>
      <c r="B237" s="90" t="s">
        <v>1323</v>
      </c>
      <c r="C237" s="84" t="s">
        <v>1324</v>
      </c>
      <c r="D237" s="12"/>
      <c r="E237" s="85">
        <f t="shared" si="68"/>
        <v>0</v>
      </c>
      <c r="F237" s="17"/>
      <c r="G237" s="85">
        <f t="shared" si="69"/>
        <v>0</v>
      </c>
      <c r="H237" s="17"/>
      <c r="I237" s="85">
        <f t="shared" si="70"/>
        <v>0</v>
      </c>
      <c r="J237" s="17"/>
      <c r="K237" s="86">
        <f t="shared" si="71"/>
        <v>0</v>
      </c>
      <c r="L237" s="17"/>
      <c r="M237" s="86">
        <f t="shared" si="72"/>
        <v>0</v>
      </c>
      <c r="N237" s="12"/>
      <c r="O237" s="86">
        <f t="shared" si="73"/>
        <v>0</v>
      </c>
      <c r="P237" s="12">
        <v>223</v>
      </c>
      <c r="Q237" s="86">
        <f t="shared" si="74"/>
        <v>8630.1</v>
      </c>
      <c r="R237" s="85">
        <v>312</v>
      </c>
      <c r="S237" s="86">
        <f t="shared" si="75"/>
        <v>10514.400000000001</v>
      </c>
      <c r="T237" s="12">
        <v>173</v>
      </c>
      <c r="U237" s="86">
        <f t="shared" si="59"/>
        <v>5674.4</v>
      </c>
      <c r="V237" s="12">
        <v>330</v>
      </c>
      <c r="W237" s="86">
        <f t="shared" si="60"/>
        <v>11599.5</v>
      </c>
      <c r="X237" s="12"/>
      <c r="Y237" s="86">
        <f t="shared" si="61"/>
        <v>0</v>
      </c>
      <c r="Z237" s="12"/>
      <c r="AA237" s="85">
        <f t="shared" si="62"/>
        <v>0</v>
      </c>
      <c r="AB237" s="88"/>
      <c r="AC237" s="85">
        <f t="shared" si="63"/>
        <v>0</v>
      </c>
      <c r="AD237" s="13"/>
      <c r="AE237" s="85">
        <f t="shared" si="64"/>
        <v>0</v>
      </c>
      <c r="AF237" s="12"/>
      <c r="AG237" s="89">
        <f t="shared" si="65"/>
        <v>0</v>
      </c>
      <c r="AH237" s="13"/>
      <c r="AI237" s="85">
        <f t="shared" si="66"/>
        <v>0</v>
      </c>
      <c r="AJ237" s="13"/>
      <c r="AK237" s="85">
        <f t="shared" si="67"/>
        <v>0</v>
      </c>
      <c r="AL237" s="113">
        <f t="shared" si="57"/>
        <v>1038</v>
      </c>
      <c r="AM237" s="23">
        <f t="shared" si="58"/>
        <v>36418.400000000001</v>
      </c>
    </row>
    <row r="238" spans="1:39" s="114" customFormat="1" x14ac:dyDescent="0.5">
      <c r="A238" s="16">
        <v>234</v>
      </c>
      <c r="B238" s="115" t="s">
        <v>1325</v>
      </c>
      <c r="C238" s="116" t="s">
        <v>1326</v>
      </c>
      <c r="D238" s="17">
        <v>787</v>
      </c>
      <c r="E238" s="85">
        <f t="shared" si="68"/>
        <v>24491.440000000002</v>
      </c>
      <c r="F238" s="12"/>
      <c r="G238" s="85">
        <f t="shared" si="69"/>
        <v>0</v>
      </c>
      <c r="H238" s="117"/>
      <c r="I238" s="85">
        <f t="shared" si="70"/>
        <v>0</v>
      </c>
      <c r="J238" s="17"/>
      <c r="K238" s="86">
        <f t="shared" si="71"/>
        <v>0</v>
      </c>
      <c r="L238" s="17"/>
      <c r="M238" s="86">
        <f t="shared" si="72"/>
        <v>0</v>
      </c>
      <c r="N238" s="17"/>
      <c r="O238" s="86">
        <f t="shared" si="73"/>
        <v>0</v>
      </c>
      <c r="P238" s="17">
        <v>898</v>
      </c>
      <c r="Q238" s="86">
        <f t="shared" si="74"/>
        <v>34752.600000000006</v>
      </c>
      <c r="R238" s="118"/>
      <c r="S238" s="86">
        <f t="shared" si="75"/>
        <v>0</v>
      </c>
      <c r="T238" s="12">
        <v>1093</v>
      </c>
      <c r="U238" s="86">
        <f t="shared" si="59"/>
        <v>35850.399999999994</v>
      </c>
      <c r="V238" s="12"/>
      <c r="W238" s="86">
        <f t="shared" si="60"/>
        <v>0</v>
      </c>
      <c r="X238" s="12"/>
      <c r="Y238" s="86">
        <f t="shared" si="61"/>
        <v>0</v>
      </c>
      <c r="Z238" s="12">
        <v>702</v>
      </c>
      <c r="AA238" s="85">
        <f t="shared" si="62"/>
        <v>25307.1</v>
      </c>
      <c r="AB238" s="88">
        <v>1041</v>
      </c>
      <c r="AC238" s="85">
        <f t="shared" si="63"/>
        <v>36476.639999999999</v>
      </c>
      <c r="AD238" s="13"/>
      <c r="AE238" s="85">
        <f t="shared" si="64"/>
        <v>0</v>
      </c>
      <c r="AF238" s="12"/>
      <c r="AG238" s="89">
        <f t="shared" si="65"/>
        <v>0</v>
      </c>
      <c r="AH238" s="13"/>
      <c r="AI238" s="85">
        <f t="shared" si="66"/>
        <v>0</v>
      </c>
      <c r="AJ238" s="13"/>
      <c r="AK238" s="85">
        <f t="shared" si="67"/>
        <v>0</v>
      </c>
      <c r="AL238" s="113">
        <f t="shared" si="57"/>
        <v>4521</v>
      </c>
      <c r="AM238" s="23">
        <f t="shared" si="58"/>
        <v>156878.18</v>
      </c>
    </row>
    <row r="239" spans="1:39" x14ac:dyDescent="0.5">
      <c r="A239" s="16">
        <v>235</v>
      </c>
      <c r="B239" s="90" t="s">
        <v>1327</v>
      </c>
      <c r="C239" s="84" t="s">
        <v>222</v>
      </c>
      <c r="D239" s="12"/>
      <c r="E239" s="85">
        <f t="shared" si="68"/>
        <v>0</v>
      </c>
      <c r="F239" s="17"/>
      <c r="G239" s="85">
        <f t="shared" si="69"/>
        <v>0</v>
      </c>
      <c r="H239" s="17"/>
      <c r="I239" s="85">
        <f t="shared" si="70"/>
        <v>0</v>
      </c>
      <c r="J239" s="17"/>
      <c r="K239" s="86">
        <f t="shared" si="71"/>
        <v>0</v>
      </c>
      <c r="L239" s="17"/>
      <c r="M239" s="86">
        <f t="shared" si="72"/>
        <v>0</v>
      </c>
      <c r="N239" s="12"/>
      <c r="O239" s="86">
        <f t="shared" si="73"/>
        <v>0</v>
      </c>
      <c r="P239" s="12"/>
      <c r="Q239" s="86">
        <f t="shared" si="74"/>
        <v>0</v>
      </c>
      <c r="R239" s="85">
        <v>774</v>
      </c>
      <c r="S239" s="86">
        <f t="shared" si="75"/>
        <v>26083.800000000003</v>
      </c>
      <c r="T239" s="12"/>
      <c r="U239" s="86">
        <f t="shared" si="59"/>
        <v>0</v>
      </c>
      <c r="V239" s="12">
        <v>686</v>
      </c>
      <c r="W239" s="86">
        <f t="shared" si="60"/>
        <v>24112.899999999998</v>
      </c>
      <c r="X239" s="12"/>
      <c r="Y239" s="86">
        <f t="shared" si="61"/>
        <v>0</v>
      </c>
      <c r="Z239" s="12"/>
      <c r="AA239" s="85">
        <f t="shared" si="62"/>
        <v>0</v>
      </c>
      <c r="AB239" s="88"/>
      <c r="AC239" s="85">
        <f t="shared" si="63"/>
        <v>0</v>
      </c>
      <c r="AD239" s="13">
        <v>1319</v>
      </c>
      <c r="AE239" s="85">
        <f t="shared" si="64"/>
        <v>45083.42</v>
      </c>
      <c r="AF239" s="12">
        <v>1254</v>
      </c>
      <c r="AG239" s="89">
        <f t="shared" si="65"/>
        <v>41758.199999999997</v>
      </c>
      <c r="AH239" s="13">
        <v>1490</v>
      </c>
      <c r="AI239" s="85">
        <f t="shared" si="66"/>
        <v>53565.500000000007</v>
      </c>
      <c r="AJ239" s="13">
        <v>1490</v>
      </c>
      <c r="AK239" s="85">
        <f t="shared" si="67"/>
        <v>54638.3</v>
      </c>
      <c r="AL239" s="113">
        <f t="shared" si="57"/>
        <v>7013</v>
      </c>
      <c r="AM239" s="23">
        <f t="shared" si="58"/>
        <v>245242.12</v>
      </c>
    </row>
    <row r="240" spans="1:39" s="114" customFormat="1" x14ac:dyDescent="0.5">
      <c r="A240" s="16">
        <v>236</v>
      </c>
      <c r="B240" s="90" t="s">
        <v>1328</v>
      </c>
      <c r="C240" s="84" t="s">
        <v>1329</v>
      </c>
      <c r="D240" s="12"/>
      <c r="E240" s="85">
        <f t="shared" si="68"/>
        <v>0</v>
      </c>
      <c r="F240" s="17"/>
      <c r="G240" s="85">
        <f t="shared" si="69"/>
        <v>0</v>
      </c>
      <c r="H240" s="17"/>
      <c r="I240" s="85">
        <f t="shared" si="70"/>
        <v>0</v>
      </c>
      <c r="J240" s="17"/>
      <c r="K240" s="86">
        <f t="shared" si="71"/>
        <v>0</v>
      </c>
      <c r="L240" s="17"/>
      <c r="M240" s="86">
        <f t="shared" si="72"/>
        <v>0</v>
      </c>
      <c r="N240" s="12"/>
      <c r="O240" s="86">
        <f t="shared" si="73"/>
        <v>0</v>
      </c>
      <c r="P240" s="12"/>
      <c r="Q240" s="86">
        <f t="shared" si="74"/>
        <v>0</v>
      </c>
      <c r="R240" s="85"/>
      <c r="S240" s="86">
        <f t="shared" si="75"/>
        <v>0</v>
      </c>
      <c r="T240" s="12"/>
      <c r="U240" s="86">
        <f t="shared" si="59"/>
        <v>0</v>
      </c>
      <c r="V240" s="12"/>
      <c r="W240" s="86">
        <f t="shared" si="60"/>
        <v>0</v>
      </c>
      <c r="X240" s="12"/>
      <c r="Y240" s="86">
        <f t="shared" si="61"/>
        <v>0</v>
      </c>
      <c r="Z240" s="12"/>
      <c r="AA240" s="85">
        <f t="shared" si="62"/>
        <v>0</v>
      </c>
      <c r="AB240" s="88"/>
      <c r="AC240" s="85">
        <f t="shared" si="63"/>
        <v>0</v>
      </c>
      <c r="AD240" s="13"/>
      <c r="AE240" s="85">
        <f t="shared" si="64"/>
        <v>0</v>
      </c>
      <c r="AF240" s="12"/>
      <c r="AG240" s="89">
        <f t="shared" si="65"/>
        <v>0</v>
      </c>
      <c r="AH240" s="13"/>
      <c r="AI240" s="85">
        <f t="shared" si="66"/>
        <v>0</v>
      </c>
      <c r="AJ240" s="13"/>
      <c r="AK240" s="85">
        <f t="shared" si="67"/>
        <v>0</v>
      </c>
      <c r="AL240" s="113">
        <f t="shared" si="57"/>
        <v>0</v>
      </c>
      <c r="AM240" s="23">
        <f t="shared" si="58"/>
        <v>0</v>
      </c>
    </row>
    <row r="241" spans="1:39" s="114" customFormat="1" x14ac:dyDescent="0.5">
      <c r="A241" s="16">
        <v>237</v>
      </c>
      <c r="B241" s="90" t="s">
        <v>1330</v>
      </c>
      <c r="C241" s="84" t="s">
        <v>654</v>
      </c>
      <c r="D241" s="12">
        <v>1638</v>
      </c>
      <c r="E241" s="85">
        <f t="shared" si="68"/>
        <v>50974.560000000005</v>
      </c>
      <c r="F241" s="17">
        <v>538</v>
      </c>
      <c r="G241" s="85">
        <f t="shared" si="69"/>
        <v>17436.579999999998</v>
      </c>
      <c r="H241" s="17"/>
      <c r="I241" s="85">
        <f t="shared" si="70"/>
        <v>0</v>
      </c>
      <c r="J241" s="17"/>
      <c r="K241" s="86">
        <f t="shared" si="71"/>
        <v>0</v>
      </c>
      <c r="L241" s="17"/>
      <c r="M241" s="86">
        <f t="shared" si="72"/>
        <v>0</v>
      </c>
      <c r="N241" s="12">
        <v>960</v>
      </c>
      <c r="O241" s="86">
        <f t="shared" si="73"/>
        <v>40320</v>
      </c>
      <c r="P241" s="12">
        <v>1066</v>
      </c>
      <c r="Q241" s="86">
        <f t="shared" si="74"/>
        <v>41254.200000000004</v>
      </c>
      <c r="R241" s="85">
        <v>889</v>
      </c>
      <c r="S241" s="86">
        <f t="shared" si="75"/>
        <v>29959.300000000003</v>
      </c>
      <c r="T241" s="12">
        <v>518</v>
      </c>
      <c r="U241" s="86">
        <f t="shared" si="59"/>
        <v>16990.399999999998</v>
      </c>
      <c r="V241" s="12">
        <v>464</v>
      </c>
      <c r="W241" s="86">
        <f t="shared" si="60"/>
        <v>16309.599999999999</v>
      </c>
      <c r="X241" s="12"/>
      <c r="Y241" s="86">
        <f t="shared" si="61"/>
        <v>0</v>
      </c>
      <c r="Z241" s="12"/>
      <c r="AA241" s="85">
        <f t="shared" si="62"/>
        <v>0</v>
      </c>
      <c r="AB241" s="88"/>
      <c r="AC241" s="85">
        <f t="shared" si="63"/>
        <v>0</v>
      </c>
      <c r="AD241" s="13"/>
      <c r="AE241" s="85">
        <f t="shared" si="64"/>
        <v>0</v>
      </c>
      <c r="AF241" s="12"/>
      <c r="AG241" s="89">
        <f t="shared" si="65"/>
        <v>0</v>
      </c>
      <c r="AH241" s="13"/>
      <c r="AI241" s="85">
        <f t="shared" si="66"/>
        <v>0</v>
      </c>
      <c r="AJ241" s="13"/>
      <c r="AK241" s="85">
        <f t="shared" si="67"/>
        <v>0</v>
      </c>
      <c r="AL241" s="113">
        <f t="shared" si="57"/>
        <v>6073</v>
      </c>
      <c r="AM241" s="23">
        <f t="shared" si="58"/>
        <v>213244.64</v>
      </c>
    </row>
    <row r="242" spans="1:39" s="114" customFormat="1" x14ac:dyDescent="0.5">
      <c r="A242" s="16">
        <v>238</v>
      </c>
      <c r="B242" s="97" t="s">
        <v>1331</v>
      </c>
      <c r="C242" s="92" t="s">
        <v>212</v>
      </c>
      <c r="D242" s="93"/>
      <c r="E242" s="85">
        <f t="shared" si="68"/>
        <v>0</v>
      </c>
      <c r="F242" s="94"/>
      <c r="G242" s="85">
        <f t="shared" si="69"/>
        <v>0</v>
      </c>
      <c r="H242" s="94"/>
      <c r="I242" s="85">
        <f t="shared" si="70"/>
        <v>0</v>
      </c>
      <c r="J242" s="94"/>
      <c r="K242" s="86">
        <f t="shared" si="71"/>
        <v>0</v>
      </c>
      <c r="L242" s="94"/>
      <c r="M242" s="86">
        <f t="shared" si="72"/>
        <v>0</v>
      </c>
      <c r="N242" s="93"/>
      <c r="O242" s="86">
        <f t="shared" si="73"/>
        <v>0</v>
      </c>
      <c r="P242" s="93"/>
      <c r="Q242" s="86">
        <f t="shared" si="74"/>
        <v>0</v>
      </c>
      <c r="R242" s="95"/>
      <c r="S242" s="86">
        <f t="shared" si="75"/>
        <v>0</v>
      </c>
      <c r="T242" s="93"/>
      <c r="U242" s="86">
        <f t="shared" si="59"/>
        <v>0</v>
      </c>
      <c r="V242" s="93"/>
      <c r="W242" s="86">
        <f t="shared" si="60"/>
        <v>0</v>
      </c>
      <c r="X242" s="93"/>
      <c r="Y242" s="86">
        <f t="shared" si="61"/>
        <v>0</v>
      </c>
      <c r="Z242" s="93"/>
      <c r="AA242" s="85">
        <f t="shared" si="62"/>
        <v>0</v>
      </c>
      <c r="AB242" s="96"/>
      <c r="AC242" s="85">
        <f t="shared" si="63"/>
        <v>0</v>
      </c>
      <c r="AD242" s="91">
        <v>335</v>
      </c>
      <c r="AE242" s="85">
        <f t="shared" si="64"/>
        <v>11450.3</v>
      </c>
      <c r="AF242" s="93"/>
      <c r="AG242" s="89">
        <f t="shared" si="65"/>
        <v>0</v>
      </c>
      <c r="AH242" s="91"/>
      <c r="AI242" s="85">
        <f t="shared" si="66"/>
        <v>0</v>
      </c>
      <c r="AJ242" s="91"/>
      <c r="AK242" s="85">
        <f t="shared" si="67"/>
        <v>0</v>
      </c>
      <c r="AL242" s="113">
        <f t="shared" si="57"/>
        <v>335</v>
      </c>
      <c r="AM242" s="23">
        <f t="shared" si="58"/>
        <v>11450.3</v>
      </c>
    </row>
    <row r="243" spans="1:39" s="114" customFormat="1" x14ac:dyDescent="0.5">
      <c r="A243" s="16">
        <v>239</v>
      </c>
      <c r="B243" s="27" t="s">
        <v>1332</v>
      </c>
      <c r="C243" s="92" t="s">
        <v>1326</v>
      </c>
      <c r="D243" s="93">
        <v>1048</v>
      </c>
      <c r="E243" s="85">
        <f t="shared" si="68"/>
        <v>32613.760000000002</v>
      </c>
      <c r="F243" s="94">
        <v>1080</v>
      </c>
      <c r="G243" s="85">
        <f t="shared" si="69"/>
        <v>35002.799999999996</v>
      </c>
      <c r="H243" s="94">
        <v>1216</v>
      </c>
      <c r="I243" s="85">
        <f t="shared" si="70"/>
        <v>40140.159999999996</v>
      </c>
      <c r="J243" s="17"/>
      <c r="K243" s="86">
        <f t="shared" si="71"/>
        <v>0</v>
      </c>
      <c r="L243" s="94">
        <v>927</v>
      </c>
      <c r="M243" s="86">
        <f t="shared" si="72"/>
        <v>35457.75</v>
      </c>
      <c r="N243" s="93">
        <v>1223</v>
      </c>
      <c r="O243" s="86">
        <f t="shared" si="73"/>
        <v>51366</v>
      </c>
      <c r="P243" s="93">
        <v>1339</v>
      </c>
      <c r="Q243" s="86">
        <f t="shared" si="74"/>
        <v>51819.3</v>
      </c>
      <c r="R243" s="95">
        <v>908</v>
      </c>
      <c r="S243" s="86">
        <f t="shared" si="75"/>
        <v>30599.600000000002</v>
      </c>
      <c r="T243" s="93">
        <v>1606</v>
      </c>
      <c r="U243" s="86">
        <f t="shared" si="59"/>
        <v>52676.799999999996</v>
      </c>
      <c r="V243" s="93">
        <v>737</v>
      </c>
      <c r="W243" s="86">
        <f t="shared" si="60"/>
        <v>25905.55</v>
      </c>
      <c r="X243" s="93">
        <v>697</v>
      </c>
      <c r="Y243" s="86">
        <f t="shared" si="61"/>
        <v>24158.019999999997</v>
      </c>
      <c r="Z243" s="93">
        <v>869</v>
      </c>
      <c r="AA243" s="85">
        <f t="shared" si="62"/>
        <v>31327.449999999997</v>
      </c>
      <c r="AB243" s="96">
        <v>284</v>
      </c>
      <c r="AC243" s="85">
        <f t="shared" si="63"/>
        <v>9951.36</v>
      </c>
      <c r="AD243" s="91">
        <v>320</v>
      </c>
      <c r="AE243" s="85">
        <f t="shared" si="64"/>
        <v>10937.6</v>
      </c>
      <c r="AF243" s="93">
        <v>278</v>
      </c>
      <c r="AG243" s="89">
        <f t="shared" si="65"/>
        <v>9257.4</v>
      </c>
      <c r="AH243" s="91"/>
      <c r="AI243" s="85">
        <f t="shared" si="66"/>
        <v>0</v>
      </c>
      <c r="AJ243" s="91"/>
      <c r="AK243" s="85">
        <f t="shared" si="67"/>
        <v>0</v>
      </c>
      <c r="AL243" s="113">
        <f t="shared" si="57"/>
        <v>12532</v>
      </c>
      <c r="AM243" s="23">
        <f t="shared" si="58"/>
        <v>441213.55</v>
      </c>
    </row>
    <row r="244" spans="1:39" s="114" customFormat="1" x14ac:dyDescent="0.5">
      <c r="A244" s="16">
        <v>240</v>
      </c>
      <c r="B244" s="27" t="s">
        <v>733</v>
      </c>
      <c r="C244" s="92" t="s">
        <v>1333</v>
      </c>
      <c r="D244" s="93"/>
      <c r="E244" s="85">
        <f t="shared" si="68"/>
        <v>0</v>
      </c>
      <c r="F244" s="94"/>
      <c r="G244" s="85">
        <f t="shared" si="69"/>
        <v>0</v>
      </c>
      <c r="H244" s="94"/>
      <c r="I244" s="85">
        <f t="shared" si="70"/>
        <v>0</v>
      </c>
      <c r="J244" s="94"/>
      <c r="K244" s="86">
        <f t="shared" si="71"/>
        <v>0</v>
      </c>
      <c r="L244" s="94">
        <v>450</v>
      </c>
      <c r="M244" s="86">
        <f t="shared" si="72"/>
        <v>17212.5</v>
      </c>
      <c r="N244" s="93">
        <v>931</v>
      </c>
      <c r="O244" s="86">
        <f t="shared" si="73"/>
        <v>39102</v>
      </c>
      <c r="P244" s="93">
        <v>709</v>
      </c>
      <c r="Q244" s="86">
        <f t="shared" si="74"/>
        <v>27438.300000000003</v>
      </c>
      <c r="R244" s="95">
        <v>863</v>
      </c>
      <c r="S244" s="86">
        <f t="shared" si="75"/>
        <v>29083.100000000002</v>
      </c>
      <c r="T244" s="93">
        <v>814</v>
      </c>
      <c r="U244" s="86">
        <f t="shared" si="59"/>
        <v>26699.199999999997</v>
      </c>
      <c r="V244" s="93">
        <v>1073</v>
      </c>
      <c r="W244" s="86">
        <f t="shared" si="60"/>
        <v>37715.949999999997</v>
      </c>
      <c r="X244" s="93">
        <v>797</v>
      </c>
      <c r="Y244" s="86">
        <f t="shared" si="61"/>
        <v>27624.019999999997</v>
      </c>
      <c r="Z244" s="93"/>
      <c r="AA244" s="85">
        <f t="shared" si="62"/>
        <v>0</v>
      </c>
      <c r="AB244" s="96">
        <v>1004</v>
      </c>
      <c r="AC244" s="85">
        <f t="shared" si="63"/>
        <v>35180.159999999996</v>
      </c>
      <c r="AD244" s="91">
        <v>991</v>
      </c>
      <c r="AE244" s="85">
        <f t="shared" si="64"/>
        <v>33872.379999999997</v>
      </c>
      <c r="AF244" s="93">
        <v>864</v>
      </c>
      <c r="AG244" s="89">
        <f t="shared" si="65"/>
        <v>28771.199999999997</v>
      </c>
      <c r="AH244" s="91"/>
      <c r="AI244" s="85">
        <f t="shared" si="66"/>
        <v>0</v>
      </c>
      <c r="AJ244" s="91"/>
      <c r="AK244" s="85">
        <f t="shared" si="67"/>
        <v>0</v>
      </c>
      <c r="AL244" s="113">
        <f t="shared" si="57"/>
        <v>8496</v>
      </c>
      <c r="AM244" s="23">
        <f t="shared" si="58"/>
        <v>302698.81</v>
      </c>
    </row>
    <row r="245" spans="1:39" x14ac:dyDescent="0.5">
      <c r="A245" s="16">
        <v>241</v>
      </c>
      <c r="B245" s="27" t="s">
        <v>1334</v>
      </c>
      <c r="C245" s="92" t="s">
        <v>1335</v>
      </c>
      <c r="D245" s="93"/>
      <c r="E245" s="85">
        <f t="shared" si="68"/>
        <v>0</v>
      </c>
      <c r="F245" s="94"/>
      <c r="G245" s="85">
        <f t="shared" si="69"/>
        <v>0</v>
      </c>
      <c r="H245" s="94"/>
      <c r="I245" s="85">
        <f t="shared" si="70"/>
        <v>0</v>
      </c>
      <c r="J245" s="94"/>
      <c r="K245" s="86">
        <f t="shared" si="71"/>
        <v>0</v>
      </c>
      <c r="L245" s="94"/>
      <c r="M245" s="86">
        <f t="shared" si="72"/>
        <v>0</v>
      </c>
      <c r="N245" s="93">
        <v>284</v>
      </c>
      <c r="O245" s="86">
        <f t="shared" si="73"/>
        <v>11928</v>
      </c>
      <c r="P245" s="93">
        <v>222</v>
      </c>
      <c r="Q245" s="86">
        <f t="shared" si="74"/>
        <v>8591.4000000000015</v>
      </c>
      <c r="R245" s="95">
        <v>225</v>
      </c>
      <c r="S245" s="86">
        <f t="shared" si="75"/>
        <v>7582.5000000000009</v>
      </c>
      <c r="T245" s="93"/>
      <c r="U245" s="86">
        <f t="shared" si="59"/>
        <v>0</v>
      </c>
      <c r="V245" s="93">
        <v>226</v>
      </c>
      <c r="W245" s="86">
        <f t="shared" si="60"/>
        <v>7943.9</v>
      </c>
      <c r="X245" s="93">
        <v>242</v>
      </c>
      <c r="Y245" s="86">
        <f t="shared" si="61"/>
        <v>8387.7199999999993</v>
      </c>
      <c r="Z245" s="93">
        <v>262</v>
      </c>
      <c r="AA245" s="85">
        <f t="shared" si="62"/>
        <v>9445.0999999999985</v>
      </c>
      <c r="AB245" s="96">
        <v>241</v>
      </c>
      <c r="AC245" s="85">
        <f t="shared" si="63"/>
        <v>8444.64</v>
      </c>
      <c r="AD245" s="91">
        <v>272</v>
      </c>
      <c r="AE245" s="85">
        <f t="shared" si="64"/>
        <v>9296.9599999999991</v>
      </c>
      <c r="AF245" s="93">
        <v>366</v>
      </c>
      <c r="AG245" s="89">
        <f t="shared" si="65"/>
        <v>12187.8</v>
      </c>
      <c r="AH245" s="91">
        <v>300</v>
      </c>
      <c r="AI245" s="85">
        <f t="shared" si="66"/>
        <v>10785</v>
      </c>
      <c r="AJ245" s="91">
        <v>360</v>
      </c>
      <c r="AK245" s="85">
        <f t="shared" si="67"/>
        <v>13201.2</v>
      </c>
      <c r="AL245" s="113">
        <f t="shared" si="57"/>
        <v>3000</v>
      </c>
      <c r="AM245" s="23">
        <f t="shared" si="58"/>
        <v>107794.22</v>
      </c>
    </row>
    <row r="246" spans="1:39" x14ac:dyDescent="0.5">
      <c r="A246" s="16">
        <v>242</v>
      </c>
      <c r="B246" s="27" t="s">
        <v>1336</v>
      </c>
      <c r="C246" s="92" t="s">
        <v>857</v>
      </c>
      <c r="D246" s="93"/>
      <c r="E246" s="85">
        <f t="shared" si="68"/>
        <v>0</v>
      </c>
      <c r="F246" s="94"/>
      <c r="G246" s="85">
        <f t="shared" si="69"/>
        <v>0</v>
      </c>
      <c r="H246" s="94"/>
      <c r="I246" s="85">
        <f t="shared" si="70"/>
        <v>0</v>
      </c>
      <c r="J246" s="94"/>
      <c r="K246" s="86">
        <f t="shared" si="71"/>
        <v>0</v>
      </c>
      <c r="L246" s="94"/>
      <c r="M246" s="86">
        <f t="shared" si="72"/>
        <v>0</v>
      </c>
      <c r="N246" s="93"/>
      <c r="O246" s="86">
        <f t="shared" si="73"/>
        <v>0</v>
      </c>
      <c r="P246" s="93"/>
      <c r="Q246" s="86">
        <f t="shared" si="74"/>
        <v>0</v>
      </c>
      <c r="R246" s="95"/>
      <c r="S246" s="86">
        <f t="shared" si="75"/>
        <v>0</v>
      </c>
      <c r="T246" s="93"/>
      <c r="U246" s="86">
        <f t="shared" si="59"/>
        <v>0</v>
      </c>
      <c r="V246" s="93"/>
      <c r="W246" s="86">
        <f t="shared" si="60"/>
        <v>0</v>
      </c>
      <c r="X246" s="93"/>
      <c r="Y246" s="86">
        <f t="shared" si="61"/>
        <v>0</v>
      </c>
      <c r="Z246" s="93"/>
      <c r="AA246" s="85">
        <f t="shared" si="62"/>
        <v>0</v>
      </c>
      <c r="AB246" s="96"/>
      <c r="AC246" s="85">
        <f t="shared" si="63"/>
        <v>0</v>
      </c>
      <c r="AD246" s="91"/>
      <c r="AE246" s="85">
        <f t="shared" si="64"/>
        <v>0</v>
      </c>
      <c r="AF246" s="93"/>
      <c r="AG246" s="89">
        <f t="shared" si="65"/>
        <v>0</v>
      </c>
      <c r="AH246" s="91"/>
      <c r="AI246" s="85">
        <f t="shared" si="66"/>
        <v>0</v>
      </c>
      <c r="AJ246" s="91">
        <v>358</v>
      </c>
      <c r="AK246" s="85">
        <f t="shared" si="67"/>
        <v>13127.86</v>
      </c>
      <c r="AL246" s="113">
        <f t="shared" si="57"/>
        <v>358</v>
      </c>
      <c r="AM246" s="23">
        <f t="shared" si="58"/>
        <v>13127.86</v>
      </c>
    </row>
    <row r="247" spans="1:39" x14ac:dyDescent="0.5">
      <c r="A247" s="16">
        <v>243</v>
      </c>
      <c r="B247" s="27" t="s">
        <v>1337</v>
      </c>
      <c r="C247" s="92" t="s">
        <v>1338</v>
      </c>
      <c r="D247" s="93"/>
      <c r="E247" s="85">
        <f t="shared" si="68"/>
        <v>0</v>
      </c>
      <c r="F247" s="94"/>
      <c r="G247" s="85">
        <f t="shared" si="69"/>
        <v>0</v>
      </c>
      <c r="H247" s="94"/>
      <c r="I247" s="85">
        <f t="shared" si="70"/>
        <v>0</v>
      </c>
      <c r="J247" s="94"/>
      <c r="K247" s="86">
        <f t="shared" si="71"/>
        <v>0</v>
      </c>
      <c r="L247" s="94"/>
      <c r="M247" s="86">
        <f t="shared" si="72"/>
        <v>0</v>
      </c>
      <c r="N247" s="93"/>
      <c r="O247" s="86">
        <f t="shared" si="73"/>
        <v>0</v>
      </c>
      <c r="P247" s="93">
        <v>834</v>
      </c>
      <c r="Q247" s="86">
        <f t="shared" si="74"/>
        <v>32275.800000000003</v>
      </c>
      <c r="R247" s="95">
        <v>780</v>
      </c>
      <c r="S247" s="86">
        <f t="shared" si="75"/>
        <v>26286.000000000004</v>
      </c>
      <c r="T247" s="93">
        <v>759</v>
      </c>
      <c r="U247" s="86">
        <f t="shared" si="59"/>
        <v>24895.199999999997</v>
      </c>
      <c r="V247" s="93">
        <v>749</v>
      </c>
      <c r="W247" s="86">
        <f t="shared" si="60"/>
        <v>26327.35</v>
      </c>
      <c r="X247" s="93">
        <v>360</v>
      </c>
      <c r="Y247" s="86">
        <f t="shared" si="61"/>
        <v>12477.599999999999</v>
      </c>
      <c r="Z247" s="93">
        <v>520</v>
      </c>
      <c r="AA247" s="85">
        <f t="shared" si="62"/>
        <v>18746</v>
      </c>
      <c r="AB247" s="96">
        <v>724</v>
      </c>
      <c r="AC247" s="85">
        <f t="shared" si="63"/>
        <v>25368.959999999999</v>
      </c>
      <c r="AD247" s="91">
        <v>827</v>
      </c>
      <c r="AE247" s="85">
        <f t="shared" si="64"/>
        <v>28266.86</v>
      </c>
      <c r="AF247" s="93">
        <v>682</v>
      </c>
      <c r="AG247" s="89">
        <f t="shared" si="65"/>
        <v>22710.6</v>
      </c>
      <c r="AH247" s="91">
        <v>776</v>
      </c>
      <c r="AI247" s="85">
        <f t="shared" si="66"/>
        <v>27897.200000000001</v>
      </c>
      <c r="AJ247" s="91">
        <v>364</v>
      </c>
      <c r="AK247" s="85">
        <f t="shared" si="67"/>
        <v>13347.880000000001</v>
      </c>
      <c r="AL247" s="113">
        <f t="shared" si="57"/>
        <v>7375</v>
      </c>
      <c r="AM247" s="23">
        <f t="shared" si="58"/>
        <v>258599.45000000004</v>
      </c>
    </row>
    <row r="248" spans="1:39" s="114" customFormat="1" x14ac:dyDescent="0.5">
      <c r="A248" s="16">
        <v>244</v>
      </c>
      <c r="B248" s="27" t="s">
        <v>1339</v>
      </c>
      <c r="C248" s="92" t="s">
        <v>1340</v>
      </c>
      <c r="D248" s="93"/>
      <c r="E248" s="85">
        <f t="shared" si="68"/>
        <v>0</v>
      </c>
      <c r="F248" s="94">
        <v>518</v>
      </c>
      <c r="G248" s="85">
        <f t="shared" si="69"/>
        <v>16788.379999999997</v>
      </c>
      <c r="H248" s="94">
        <v>613</v>
      </c>
      <c r="I248" s="85">
        <f t="shared" si="70"/>
        <v>20235.129999999997</v>
      </c>
      <c r="J248" s="94">
        <v>601</v>
      </c>
      <c r="K248" s="86">
        <f t="shared" si="71"/>
        <v>21107.119999999999</v>
      </c>
      <c r="L248" s="94">
        <v>419</v>
      </c>
      <c r="M248" s="86">
        <f t="shared" si="72"/>
        <v>16026.75</v>
      </c>
      <c r="N248" s="93">
        <v>438</v>
      </c>
      <c r="O248" s="86">
        <f t="shared" si="73"/>
        <v>18396</v>
      </c>
      <c r="P248" s="93">
        <v>617</v>
      </c>
      <c r="Q248" s="86">
        <f t="shared" si="74"/>
        <v>23877.9</v>
      </c>
      <c r="R248" s="95">
        <v>708</v>
      </c>
      <c r="S248" s="86">
        <f t="shared" si="75"/>
        <v>23859.600000000002</v>
      </c>
      <c r="T248" s="93">
        <v>732</v>
      </c>
      <c r="U248" s="86">
        <f t="shared" si="59"/>
        <v>24009.599999999999</v>
      </c>
      <c r="V248" s="93">
        <v>916</v>
      </c>
      <c r="W248" s="86">
        <f t="shared" si="60"/>
        <v>32197.399999999998</v>
      </c>
      <c r="X248" s="93"/>
      <c r="Y248" s="86">
        <f t="shared" si="61"/>
        <v>0</v>
      </c>
      <c r="Z248" s="93"/>
      <c r="AA248" s="85">
        <f t="shared" si="62"/>
        <v>0</v>
      </c>
      <c r="AB248" s="96"/>
      <c r="AC248" s="85">
        <f t="shared" si="63"/>
        <v>0</v>
      </c>
      <c r="AD248" s="91"/>
      <c r="AE248" s="85">
        <f t="shared" si="64"/>
        <v>0</v>
      </c>
      <c r="AF248" s="93"/>
      <c r="AG248" s="89">
        <f t="shared" si="65"/>
        <v>0</v>
      </c>
      <c r="AH248" s="91"/>
      <c r="AI248" s="85">
        <f t="shared" si="66"/>
        <v>0</v>
      </c>
      <c r="AJ248" s="91"/>
      <c r="AK248" s="85">
        <f t="shared" si="67"/>
        <v>0</v>
      </c>
      <c r="AL248" s="113">
        <f t="shared" si="57"/>
        <v>5562</v>
      </c>
      <c r="AM248" s="23">
        <f t="shared" si="58"/>
        <v>196497.88</v>
      </c>
    </row>
    <row r="249" spans="1:39" x14ac:dyDescent="0.5">
      <c r="A249" s="16">
        <v>245</v>
      </c>
      <c r="B249" s="27" t="s">
        <v>1341</v>
      </c>
      <c r="C249" s="92" t="s">
        <v>1342</v>
      </c>
      <c r="D249" s="93"/>
      <c r="E249" s="85">
        <f t="shared" si="68"/>
        <v>0</v>
      </c>
      <c r="F249" s="94"/>
      <c r="G249" s="85">
        <f t="shared" si="69"/>
        <v>0</v>
      </c>
      <c r="H249" s="94"/>
      <c r="I249" s="85">
        <f t="shared" si="70"/>
        <v>0</v>
      </c>
      <c r="J249" s="94"/>
      <c r="K249" s="86">
        <f t="shared" si="71"/>
        <v>0</v>
      </c>
      <c r="L249" s="94">
        <v>234</v>
      </c>
      <c r="M249" s="86">
        <f t="shared" si="72"/>
        <v>8950.5</v>
      </c>
      <c r="N249" s="93">
        <v>209</v>
      </c>
      <c r="O249" s="86">
        <f t="shared" si="73"/>
        <v>8778</v>
      </c>
      <c r="P249" s="93"/>
      <c r="Q249" s="86">
        <f t="shared" si="74"/>
        <v>0</v>
      </c>
      <c r="R249" s="95"/>
      <c r="S249" s="86">
        <f t="shared" si="75"/>
        <v>0</v>
      </c>
      <c r="T249" s="93"/>
      <c r="U249" s="86">
        <f t="shared" si="59"/>
        <v>0</v>
      </c>
      <c r="V249" s="93"/>
      <c r="W249" s="86">
        <f t="shared" si="60"/>
        <v>0</v>
      </c>
      <c r="X249" s="93"/>
      <c r="Y249" s="86">
        <f t="shared" si="61"/>
        <v>0</v>
      </c>
      <c r="Z249" s="93"/>
      <c r="AA249" s="85">
        <f t="shared" si="62"/>
        <v>0</v>
      </c>
      <c r="AB249" s="96"/>
      <c r="AC249" s="85">
        <f t="shared" si="63"/>
        <v>0</v>
      </c>
      <c r="AD249" s="91"/>
      <c r="AE249" s="85">
        <f t="shared" si="64"/>
        <v>0</v>
      </c>
      <c r="AF249" s="93">
        <v>1010</v>
      </c>
      <c r="AG249" s="89">
        <f t="shared" si="65"/>
        <v>33633</v>
      </c>
      <c r="AH249" s="91">
        <v>422</v>
      </c>
      <c r="AI249" s="85">
        <f t="shared" si="66"/>
        <v>15170.900000000001</v>
      </c>
      <c r="AJ249" s="91">
        <v>420</v>
      </c>
      <c r="AK249" s="85">
        <f t="shared" si="67"/>
        <v>15401.400000000001</v>
      </c>
      <c r="AL249" s="113">
        <f t="shared" si="57"/>
        <v>2295</v>
      </c>
      <c r="AM249" s="23">
        <f t="shared" si="58"/>
        <v>81933.799999999988</v>
      </c>
    </row>
    <row r="250" spans="1:39" s="114" customFormat="1" x14ac:dyDescent="0.5">
      <c r="A250" s="16">
        <v>246</v>
      </c>
      <c r="B250" s="27" t="s">
        <v>1343</v>
      </c>
      <c r="C250" s="92" t="s">
        <v>1344</v>
      </c>
      <c r="D250" s="93"/>
      <c r="E250" s="85">
        <f t="shared" si="68"/>
        <v>0</v>
      </c>
      <c r="F250" s="94"/>
      <c r="G250" s="85">
        <f t="shared" si="69"/>
        <v>0</v>
      </c>
      <c r="H250" s="94"/>
      <c r="I250" s="85">
        <f t="shared" si="70"/>
        <v>0</v>
      </c>
      <c r="J250" s="94"/>
      <c r="K250" s="86">
        <f t="shared" si="71"/>
        <v>0</v>
      </c>
      <c r="L250" s="94"/>
      <c r="M250" s="86">
        <f t="shared" si="72"/>
        <v>0</v>
      </c>
      <c r="N250" s="93"/>
      <c r="O250" s="86">
        <f t="shared" si="73"/>
        <v>0</v>
      </c>
      <c r="P250" s="93"/>
      <c r="Q250" s="86">
        <f t="shared" si="74"/>
        <v>0</v>
      </c>
      <c r="R250" s="95"/>
      <c r="S250" s="86">
        <f t="shared" si="75"/>
        <v>0</v>
      </c>
      <c r="T250" s="93"/>
      <c r="U250" s="86">
        <f t="shared" si="59"/>
        <v>0</v>
      </c>
      <c r="V250" s="93"/>
      <c r="W250" s="86">
        <f t="shared" si="60"/>
        <v>0</v>
      </c>
      <c r="X250" s="93"/>
      <c r="Y250" s="86">
        <f t="shared" si="61"/>
        <v>0</v>
      </c>
      <c r="Z250" s="93"/>
      <c r="AA250" s="85">
        <f t="shared" si="62"/>
        <v>0</v>
      </c>
      <c r="AB250" s="96"/>
      <c r="AC250" s="85">
        <f t="shared" si="63"/>
        <v>0</v>
      </c>
      <c r="AD250" s="91"/>
      <c r="AE250" s="85">
        <f t="shared" si="64"/>
        <v>0</v>
      </c>
      <c r="AF250" s="93"/>
      <c r="AG250" s="89">
        <f t="shared" si="65"/>
        <v>0</v>
      </c>
      <c r="AH250" s="91"/>
      <c r="AI250" s="85">
        <f t="shared" si="66"/>
        <v>0</v>
      </c>
      <c r="AJ250" s="91"/>
      <c r="AK250" s="85">
        <f t="shared" si="67"/>
        <v>0</v>
      </c>
      <c r="AL250" s="113">
        <f t="shared" si="57"/>
        <v>0</v>
      </c>
      <c r="AM250" s="23">
        <f t="shared" si="58"/>
        <v>0</v>
      </c>
    </row>
    <row r="251" spans="1:39" x14ac:dyDescent="0.5">
      <c r="A251" s="16">
        <v>247</v>
      </c>
      <c r="B251" s="27" t="s">
        <v>1345</v>
      </c>
      <c r="C251" s="92" t="s">
        <v>1346</v>
      </c>
      <c r="D251" s="93">
        <v>442</v>
      </c>
      <c r="E251" s="85">
        <f t="shared" si="68"/>
        <v>13755.04</v>
      </c>
      <c r="F251" s="94">
        <v>178</v>
      </c>
      <c r="G251" s="85">
        <f t="shared" si="69"/>
        <v>5768.98</v>
      </c>
      <c r="H251" s="94">
        <v>257</v>
      </c>
      <c r="I251" s="85">
        <f t="shared" si="70"/>
        <v>8483.57</v>
      </c>
      <c r="J251" s="94"/>
      <c r="K251" s="86">
        <f t="shared" si="71"/>
        <v>0</v>
      </c>
      <c r="L251" s="94">
        <v>185</v>
      </c>
      <c r="M251" s="86">
        <f t="shared" si="72"/>
        <v>7076.25</v>
      </c>
      <c r="N251" s="93">
        <v>181</v>
      </c>
      <c r="O251" s="86">
        <f t="shared" si="73"/>
        <v>7602</v>
      </c>
      <c r="P251" s="93">
        <v>367</v>
      </c>
      <c r="Q251" s="86">
        <f t="shared" si="74"/>
        <v>14202.900000000001</v>
      </c>
      <c r="R251" s="95">
        <v>611</v>
      </c>
      <c r="S251" s="86">
        <f t="shared" si="75"/>
        <v>20590.7</v>
      </c>
      <c r="T251" s="93">
        <v>494</v>
      </c>
      <c r="U251" s="86">
        <f t="shared" si="59"/>
        <v>16203.199999999999</v>
      </c>
      <c r="V251" s="93">
        <v>475</v>
      </c>
      <c r="W251" s="86">
        <f t="shared" si="60"/>
        <v>16696.25</v>
      </c>
      <c r="X251" s="93">
        <v>431</v>
      </c>
      <c r="Y251" s="86">
        <f t="shared" si="61"/>
        <v>14938.46</v>
      </c>
      <c r="Z251" s="93">
        <v>398</v>
      </c>
      <c r="AA251" s="85">
        <f t="shared" si="62"/>
        <v>14347.9</v>
      </c>
      <c r="AB251" s="96">
        <v>141</v>
      </c>
      <c r="AC251" s="85">
        <f t="shared" si="63"/>
        <v>4940.6400000000003</v>
      </c>
      <c r="AD251" s="91"/>
      <c r="AE251" s="85">
        <f t="shared" si="64"/>
        <v>0</v>
      </c>
      <c r="AF251" s="93">
        <v>247</v>
      </c>
      <c r="AG251" s="89">
        <f t="shared" si="65"/>
        <v>8225.0999999999985</v>
      </c>
      <c r="AH251" s="91">
        <v>582</v>
      </c>
      <c r="AI251" s="85">
        <f t="shared" si="66"/>
        <v>20922.900000000001</v>
      </c>
      <c r="AJ251" s="91"/>
      <c r="AK251" s="85">
        <f t="shared" si="67"/>
        <v>0</v>
      </c>
      <c r="AL251" s="113">
        <f t="shared" si="57"/>
        <v>4989</v>
      </c>
      <c r="AM251" s="23">
        <f t="shared" si="58"/>
        <v>173753.89</v>
      </c>
    </row>
    <row r="252" spans="1:39" s="114" customFormat="1" x14ac:dyDescent="0.5">
      <c r="A252" s="16">
        <v>248</v>
      </c>
      <c r="B252" s="97" t="s">
        <v>1347</v>
      </c>
      <c r="C252" s="92" t="s">
        <v>1348</v>
      </c>
      <c r="D252" s="93"/>
      <c r="E252" s="85">
        <f t="shared" si="68"/>
        <v>0</v>
      </c>
      <c r="F252" s="94"/>
      <c r="G252" s="85">
        <f t="shared" si="69"/>
        <v>0</v>
      </c>
      <c r="H252" s="94"/>
      <c r="I252" s="85">
        <f t="shared" si="70"/>
        <v>0</v>
      </c>
      <c r="J252" s="17"/>
      <c r="K252" s="86">
        <f t="shared" si="71"/>
        <v>0</v>
      </c>
      <c r="L252" s="94"/>
      <c r="M252" s="86">
        <f t="shared" si="72"/>
        <v>0</v>
      </c>
      <c r="N252" s="93">
        <v>146</v>
      </c>
      <c r="O252" s="86">
        <f t="shared" si="73"/>
        <v>6132</v>
      </c>
      <c r="P252" s="93"/>
      <c r="Q252" s="86">
        <f t="shared" si="74"/>
        <v>0</v>
      </c>
      <c r="R252" s="95"/>
      <c r="S252" s="86">
        <f t="shared" si="75"/>
        <v>0</v>
      </c>
      <c r="T252" s="93"/>
      <c r="U252" s="86">
        <f t="shared" si="59"/>
        <v>0</v>
      </c>
      <c r="V252" s="93"/>
      <c r="W252" s="86">
        <f t="shared" si="60"/>
        <v>0</v>
      </c>
      <c r="X252" s="93"/>
      <c r="Y252" s="86">
        <f t="shared" si="61"/>
        <v>0</v>
      </c>
      <c r="Z252" s="93"/>
      <c r="AA252" s="85">
        <f t="shared" si="62"/>
        <v>0</v>
      </c>
      <c r="AB252" s="96"/>
      <c r="AC252" s="85">
        <f t="shared" si="63"/>
        <v>0</v>
      </c>
      <c r="AD252" s="91"/>
      <c r="AE252" s="85">
        <f t="shared" si="64"/>
        <v>0</v>
      </c>
      <c r="AF252" s="93"/>
      <c r="AG252" s="89">
        <f t="shared" si="65"/>
        <v>0</v>
      </c>
      <c r="AH252" s="91"/>
      <c r="AI252" s="85">
        <f t="shared" si="66"/>
        <v>0</v>
      </c>
      <c r="AJ252" s="91"/>
      <c r="AK252" s="85">
        <f t="shared" si="67"/>
        <v>0</v>
      </c>
      <c r="AL252" s="113">
        <f t="shared" si="57"/>
        <v>146</v>
      </c>
      <c r="AM252" s="23">
        <f t="shared" si="58"/>
        <v>6132</v>
      </c>
    </row>
    <row r="253" spans="1:39" s="114" customFormat="1" x14ac:dyDescent="0.5">
      <c r="A253" s="16">
        <v>249</v>
      </c>
      <c r="B253" s="97" t="s">
        <v>1349</v>
      </c>
      <c r="C253" s="92" t="s">
        <v>1350</v>
      </c>
      <c r="D253" s="93">
        <v>390</v>
      </c>
      <c r="E253" s="85">
        <f t="shared" si="68"/>
        <v>12136.800000000001</v>
      </c>
      <c r="F253" s="94">
        <v>289</v>
      </c>
      <c r="G253" s="85">
        <f t="shared" si="69"/>
        <v>9366.49</v>
      </c>
      <c r="H253" s="94">
        <v>296</v>
      </c>
      <c r="I253" s="85">
        <f t="shared" si="70"/>
        <v>9770.9599999999991</v>
      </c>
      <c r="J253" s="17"/>
      <c r="K253" s="86">
        <f t="shared" si="71"/>
        <v>0</v>
      </c>
      <c r="L253" s="94"/>
      <c r="M253" s="86">
        <f t="shared" si="72"/>
        <v>0</v>
      </c>
      <c r="N253" s="93">
        <v>285</v>
      </c>
      <c r="O253" s="86">
        <f t="shared" si="73"/>
        <v>11970</v>
      </c>
      <c r="P253" s="93">
        <v>270</v>
      </c>
      <c r="Q253" s="86">
        <f t="shared" si="74"/>
        <v>10449</v>
      </c>
      <c r="R253" s="95"/>
      <c r="S253" s="86">
        <f t="shared" si="75"/>
        <v>0</v>
      </c>
      <c r="T253" s="93">
        <v>267</v>
      </c>
      <c r="U253" s="86">
        <f t="shared" si="59"/>
        <v>8757.5999999999985</v>
      </c>
      <c r="V253" s="93"/>
      <c r="W253" s="86">
        <f t="shared" si="60"/>
        <v>0</v>
      </c>
      <c r="X253" s="93"/>
      <c r="Y253" s="86">
        <f t="shared" si="61"/>
        <v>0</v>
      </c>
      <c r="Z253" s="93"/>
      <c r="AA253" s="85">
        <f t="shared" si="62"/>
        <v>0</v>
      </c>
      <c r="AB253" s="96"/>
      <c r="AC253" s="85">
        <f t="shared" si="63"/>
        <v>0</v>
      </c>
      <c r="AD253" s="91"/>
      <c r="AE253" s="85">
        <f t="shared" si="64"/>
        <v>0</v>
      </c>
      <c r="AF253" s="93"/>
      <c r="AG253" s="89">
        <f t="shared" si="65"/>
        <v>0</v>
      </c>
      <c r="AH253" s="91"/>
      <c r="AI253" s="85">
        <f t="shared" si="66"/>
        <v>0</v>
      </c>
      <c r="AJ253" s="91"/>
      <c r="AK253" s="85">
        <f t="shared" si="67"/>
        <v>0</v>
      </c>
      <c r="AL253" s="113">
        <f t="shared" si="57"/>
        <v>1797</v>
      </c>
      <c r="AM253" s="23">
        <f t="shared" si="58"/>
        <v>62450.85</v>
      </c>
    </row>
    <row r="254" spans="1:39" s="114" customFormat="1" x14ac:dyDescent="0.5">
      <c r="A254" s="16">
        <v>250</v>
      </c>
      <c r="B254" s="97" t="s">
        <v>807</v>
      </c>
      <c r="C254" s="92" t="s">
        <v>1351</v>
      </c>
      <c r="D254" s="93"/>
      <c r="E254" s="85">
        <f t="shared" si="68"/>
        <v>0</v>
      </c>
      <c r="F254" s="94"/>
      <c r="G254" s="85">
        <f t="shared" si="69"/>
        <v>0</v>
      </c>
      <c r="H254" s="94"/>
      <c r="I254" s="85">
        <f t="shared" si="70"/>
        <v>0</v>
      </c>
      <c r="J254" s="17"/>
      <c r="K254" s="86">
        <f t="shared" si="71"/>
        <v>0</v>
      </c>
      <c r="L254" s="94"/>
      <c r="M254" s="86">
        <f t="shared" si="72"/>
        <v>0</v>
      </c>
      <c r="N254" s="93"/>
      <c r="O254" s="86">
        <f t="shared" si="73"/>
        <v>0</v>
      </c>
      <c r="P254" s="93"/>
      <c r="Q254" s="86">
        <f t="shared" si="74"/>
        <v>0</v>
      </c>
      <c r="R254" s="95"/>
      <c r="S254" s="86">
        <f t="shared" si="75"/>
        <v>0</v>
      </c>
      <c r="T254" s="93"/>
      <c r="U254" s="86">
        <f t="shared" si="59"/>
        <v>0</v>
      </c>
      <c r="V254" s="93"/>
      <c r="W254" s="86">
        <f t="shared" si="60"/>
        <v>0</v>
      </c>
      <c r="X254" s="93"/>
      <c r="Y254" s="86">
        <f t="shared" si="61"/>
        <v>0</v>
      </c>
      <c r="Z254" s="93"/>
      <c r="AA254" s="85">
        <f t="shared" si="62"/>
        <v>0</v>
      </c>
      <c r="AB254" s="96"/>
      <c r="AC254" s="85">
        <f t="shared" si="63"/>
        <v>0</v>
      </c>
      <c r="AD254" s="91"/>
      <c r="AE254" s="85">
        <f t="shared" si="64"/>
        <v>0</v>
      </c>
      <c r="AF254" s="93"/>
      <c r="AG254" s="89">
        <f t="shared" si="65"/>
        <v>0</v>
      </c>
      <c r="AH254" s="91"/>
      <c r="AI254" s="85">
        <f t="shared" si="66"/>
        <v>0</v>
      </c>
      <c r="AJ254" s="91"/>
      <c r="AK254" s="85">
        <f t="shared" si="67"/>
        <v>0</v>
      </c>
      <c r="AL254" s="113">
        <f t="shared" si="57"/>
        <v>0</v>
      </c>
      <c r="AM254" s="23">
        <f t="shared" si="58"/>
        <v>0</v>
      </c>
    </row>
    <row r="255" spans="1:39" s="114" customFormat="1" x14ac:dyDescent="0.5">
      <c r="A255" s="16">
        <v>251</v>
      </c>
      <c r="B255" s="97" t="s">
        <v>1352</v>
      </c>
      <c r="C255" s="92" t="s">
        <v>1353</v>
      </c>
      <c r="D255" s="93"/>
      <c r="E255" s="85">
        <f t="shared" si="68"/>
        <v>0</v>
      </c>
      <c r="F255" s="94">
        <v>517</v>
      </c>
      <c r="G255" s="85">
        <f t="shared" si="69"/>
        <v>16755.969999999998</v>
      </c>
      <c r="H255" s="94">
        <v>216</v>
      </c>
      <c r="I255" s="85">
        <f t="shared" si="70"/>
        <v>7130.16</v>
      </c>
      <c r="J255" s="17"/>
      <c r="K255" s="86">
        <f t="shared" si="71"/>
        <v>0</v>
      </c>
      <c r="L255" s="94"/>
      <c r="M255" s="86">
        <f t="shared" si="72"/>
        <v>0</v>
      </c>
      <c r="N255" s="93"/>
      <c r="O255" s="86">
        <f t="shared" si="73"/>
        <v>0</v>
      </c>
      <c r="P255" s="93"/>
      <c r="Q255" s="86">
        <f t="shared" si="74"/>
        <v>0</v>
      </c>
      <c r="R255" s="95"/>
      <c r="S255" s="86">
        <f t="shared" si="75"/>
        <v>0</v>
      </c>
      <c r="T255" s="93"/>
      <c r="U255" s="86">
        <f t="shared" si="59"/>
        <v>0</v>
      </c>
      <c r="V255" s="93"/>
      <c r="W255" s="86">
        <f t="shared" si="60"/>
        <v>0</v>
      </c>
      <c r="X255" s="93"/>
      <c r="Y255" s="86">
        <f t="shared" si="61"/>
        <v>0</v>
      </c>
      <c r="Z255" s="93"/>
      <c r="AA255" s="85">
        <f t="shared" si="62"/>
        <v>0</v>
      </c>
      <c r="AB255" s="96"/>
      <c r="AC255" s="85">
        <f t="shared" si="63"/>
        <v>0</v>
      </c>
      <c r="AD255" s="91"/>
      <c r="AE255" s="85">
        <f t="shared" si="64"/>
        <v>0</v>
      </c>
      <c r="AF255" s="93"/>
      <c r="AG255" s="89">
        <f t="shared" si="65"/>
        <v>0</v>
      </c>
      <c r="AH255" s="91"/>
      <c r="AI255" s="85">
        <f t="shared" si="66"/>
        <v>0</v>
      </c>
      <c r="AJ255" s="91"/>
      <c r="AK255" s="85">
        <f t="shared" si="67"/>
        <v>0</v>
      </c>
      <c r="AL255" s="113">
        <f t="shared" si="57"/>
        <v>733</v>
      </c>
      <c r="AM255" s="23">
        <f t="shared" si="58"/>
        <v>23886.129999999997</v>
      </c>
    </row>
    <row r="256" spans="1:39" s="114" customFormat="1" x14ac:dyDescent="0.5">
      <c r="A256" s="16">
        <v>252</v>
      </c>
      <c r="B256" s="97" t="s">
        <v>1354</v>
      </c>
      <c r="C256" s="92" t="s">
        <v>1355</v>
      </c>
      <c r="D256" s="93">
        <v>363</v>
      </c>
      <c r="E256" s="85">
        <f t="shared" si="68"/>
        <v>11296.56</v>
      </c>
      <c r="F256" s="94">
        <v>110</v>
      </c>
      <c r="G256" s="85">
        <f t="shared" si="69"/>
        <v>3565.0999999999995</v>
      </c>
      <c r="H256" s="94"/>
      <c r="I256" s="85">
        <f t="shared" si="70"/>
        <v>0</v>
      </c>
      <c r="J256" s="17"/>
      <c r="K256" s="86">
        <f t="shared" si="71"/>
        <v>0</v>
      </c>
      <c r="L256" s="94"/>
      <c r="M256" s="86">
        <f t="shared" si="72"/>
        <v>0</v>
      </c>
      <c r="N256" s="93">
        <v>167</v>
      </c>
      <c r="O256" s="86">
        <f t="shared" si="73"/>
        <v>7014</v>
      </c>
      <c r="P256" s="93"/>
      <c r="Q256" s="86">
        <f t="shared" si="74"/>
        <v>0</v>
      </c>
      <c r="R256" s="95"/>
      <c r="S256" s="86">
        <f t="shared" si="75"/>
        <v>0</v>
      </c>
      <c r="T256" s="93"/>
      <c r="U256" s="86">
        <f t="shared" si="59"/>
        <v>0</v>
      </c>
      <c r="V256" s="93"/>
      <c r="W256" s="86">
        <f t="shared" si="60"/>
        <v>0</v>
      </c>
      <c r="X256" s="93"/>
      <c r="Y256" s="86">
        <f t="shared" si="61"/>
        <v>0</v>
      </c>
      <c r="Z256" s="93"/>
      <c r="AA256" s="85">
        <f t="shared" si="62"/>
        <v>0</v>
      </c>
      <c r="AB256" s="96"/>
      <c r="AC256" s="85">
        <f t="shared" si="63"/>
        <v>0</v>
      </c>
      <c r="AD256" s="91"/>
      <c r="AE256" s="85">
        <f t="shared" si="64"/>
        <v>0</v>
      </c>
      <c r="AF256" s="93"/>
      <c r="AG256" s="89">
        <f t="shared" si="65"/>
        <v>0</v>
      </c>
      <c r="AH256" s="91"/>
      <c r="AI256" s="85">
        <f t="shared" si="66"/>
        <v>0</v>
      </c>
      <c r="AJ256" s="91"/>
      <c r="AK256" s="85">
        <f t="shared" si="67"/>
        <v>0</v>
      </c>
      <c r="AL256" s="113">
        <f t="shared" si="57"/>
        <v>640</v>
      </c>
      <c r="AM256" s="23">
        <f t="shared" si="58"/>
        <v>21875.66</v>
      </c>
    </row>
    <row r="257" spans="1:39" x14ac:dyDescent="0.5">
      <c r="A257" s="16">
        <v>253</v>
      </c>
      <c r="B257" s="97" t="s">
        <v>1356</v>
      </c>
      <c r="C257" s="92" t="s">
        <v>1357</v>
      </c>
      <c r="D257" s="93"/>
      <c r="E257" s="85">
        <f t="shared" si="68"/>
        <v>0</v>
      </c>
      <c r="F257" s="94"/>
      <c r="G257" s="85">
        <f t="shared" si="69"/>
        <v>0</v>
      </c>
      <c r="H257" s="94"/>
      <c r="I257" s="85">
        <f t="shared" si="70"/>
        <v>0</v>
      </c>
      <c r="J257" s="17"/>
      <c r="K257" s="86">
        <f t="shared" si="71"/>
        <v>0</v>
      </c>
      <c r="L257" s="94"/>
      <c r="M257" s="86">
        <f t="shared" si="72"/>
        <v>0</v>
      </c>
      <c r="N257" s="93"/>
      <c r="O257" s="86">
        <f t="shared" si="73"/>
        <v>0</v>
      </c>
      <c r="P257" s="93"/>
      <c r="Q257" s="86">
        <f t="shared" si="74"/>
        <v>0</v>
      </c>
      <c r="R257" s="95"/>
      <c r="S257" s="86">
        <f t="shared" si="75"/>
        <v>0</v>
      </c>
      <c r="T257" s="93"/>
      <c r="U257" s="86">
        <f t="shared" si="59"/>
        <v>0</v>
      </c>
      <c r="V257" s="93"/>
      <c r="W257" s="86">
        <f t="shared" si="60"/>
        <v>0</v>
      </c>
      <c r="X257" s="93"/>
      <c r="Y257" s="86">
        <f t="shared" si="61"/>
        <v>0</v>
      </c>
      <c r="Z257" s="93"/>
      <c r="AA257" s="85">
        <f t="shared" si="62"/>
        <v>0</v>
      </c>
      <c r="AB257" s="96"/>
      <c r="AC257" s="85">
        <f t="shared" si="63"/>
        <v>0</v>
      </c>
      <c r="AD257" s="91"/>
      <c r="AE257" s="85">
        <f t="shared" si="64"/>
        <v>0</v>
      </c>
      <c r="AF257" s="93"/>
      <c r="AG257" s="89">
        <f t="shared" si="65"/>
        <v>0</v>
      </c>
      <c r="AH257" s="91"/>
      <c r="AI257" s="85">
        <f t="shared" si="66"/>
        <v>0</v>
      </c>
      <c r="AJ257" s="91">
        <v>503</v>
      </c>
      <c r="AK257" s="85">
        <f t="shared" si="67"/>
        <v>18445.010000000002</v>
      </c>
      <c r="AL257" s="113">
        <f t="shared" si="57"/>
        <v>503</v>
      </c>
      <c r="AM257" s="23">
        <f t="shared" si="58"/>
        <v>18445.010000000002</v>
      </c>
    </row>
    <row r="258" spans="1:39" s="114" customFormat="1" x14ac:dyDescent="0.5">
      <c r="A258" s="16">
        <v>254</v>
      </c>
      <c r="B258" s="97" t="s">
        <v>807</v>
      </c>
      <c r="C258" s="92" t="s">
        <v>1358</v>
      </c>
      <c r="D258" s="93"/>
      <c r="E258" s="85">
        <f t="shared" si="68"/>
        <v>0</v>
      </c>
      <c r="F258" s="94"/>
      <c r="G258" s="85">
        <f t="shared" si="69"/>
        <v>0</v>
      </c>
      <c r="H258" s="94"/>
      <c r="I258" s="85">
        <f t="shared" si="70"/>
        <v>0</v>
      </c>
      <c r="J258" s="17"/>
      <c r="K258" s="86">
        <f t="shared" si="71"/>
        <v>0</v>
      </c>
      <c r="L258" s="94"/>
      <c r="M258" s="86">
        <f t="shared" si="72"/>
        <v>0</v>
      </c>
      <c r="N258" s="93"/>
      <c r="O258" s="86">
        <f t="shared" si="73"/>
        <v>0</v>
      </c>
      <c r="P258" s="93">
        <v>249</v>
      </c>
      <c r="Q258" s="86">
        <f t="shared" si="74"/>
        <v>9636.3000000000011</v>
      </c>
      <c r="R258" s="95"/>
      <c r="S258" s="86">
        <f t="shared" si="75"/>
        <v>0</v>
      </c>
      <c r="T258" s="93">
        <v>412</v>
      </c>
      <c r="U258" s="86">
        <f t="shared" si="59"/>
        <v>13513.599999999999</v>
      </c>
      <c r="V258" s="93">
        <v>502</v>
      </c>
      <c r="W258" s="86">
        <f t="shared" si="60"/>
        <v>17645.3</v>
      </c>
      <c r="X258" s="93">
        <v>415</v>
      </c>
      <c r="Y258" s="86">
        <f t="shared" si="61"/>
        <v>14383.899999999998</v>
      </c>
      <c r="Z258" s="93">
        <v>464</v>
      </c>
      <c r="AA258" s="85">
        <f t="shared" si="62"/>
        <v>16727.199999999997</v>
      </c>
      <c r="AB258" s="96">
        <v>478</v>
      </c>
      <c r="AC258" s="85">
        <f t="shared" si="63"/>
        <v>16749.12</v>
      </c>
      <c r="AD258" s="91">
        <v>947</v>
      </c>
      <c r="AE258" s="85">
        <f t="shared" si="64"/>
        <v>32368.46</v>
      </c>
      <c r="AF258" s="93"/>
      <c r="AG258" s="89">
        <f t="shared" si="65"/>
        <v>0</v>
      </c>
      <c r="AH258" s="91"/>
      <c r="AI258" s="85">
        <f t="shared" si="66"/>
        <v>0</v>
      </c>
      <c r="AJ258" s="91"/>
      <c r="AK258" s="85">
        <f t="shared" si="67"/>
        <v>0</v>
      </c>
      <c r="AL258" s="113">
        <f t="shared" si="57"/>
        <v>3467</v>
      </c>
      <c r="AM258" s="23">
        <f t="shared" si="58"/>
        <v>121023.87999999998</v>
      </c>
    </row>
    <row r="259" spans="1:39" x14ac:dyDescent="0.5">
      <c r="A259" s="16">
        <v>255</v>
      </c>
      <c r="B259" s="97" t="s">
        <v>1359</v>
      </c>
      <c r="C259" s="92" t="s">
        <v>1360</v>
      </c>
      <c r="D259" s="93">
        <v>220</v>
      </c>
      <c r="E259" s="85">
        <f t="shared" si="68"/>
        <v>6846.4000000000005</v>
      </c>
      <c r="F259" s="94">
        <v>98</v>
      </c>
      <c r="G259" s="85">
        <f t="shared" si="69"/>
        <v>3176.18</v>
      </c>
      <c r="H259" s="94">
        <v>326</v>
      </c>
      <c r="I259" s="85">
        <f t="shared" si="70"/>
        <v>10761.26</v>
      </c>
      <c r="J259" s="17"/>
      <c r="K259" s="86">
        <f t="shared" si="71"/>
        <v>0</v>
      </c>
      <c r="L259" s="94"/>
      <c r="M259" s="86">
        <f t="shared" si="72"/>
        <v>0</v>
      </c>
      <c r="N259" s="93">
        <v>600</v>
      </c>
      <c r="O259" s="86">
        <f t="shared" si="73"/>
        <v>25200</v>
      </c>
      <c r="P259" s="93">
        <v>350</v>
      </c>
      <c r="Q259" s="86">
        <f t="shared" si="74"/>
        <v>13545.000000000002</v>
      </c>
      <c r="R259" s="95"/>
      <c r="S259" s="86">
        <f t="shared" si="75"/>
        <v>0</v>
      </c>
      <c r="T259" s="93"/>
      <c r="U259" s="86">
        <f t="shared" si="59"/>
        <v>0</v>
      </c>
      <c r="V259" s="93">
        <v>155</v>
      </c>
      <c r="W259" s="86">
        <f t="shared" si="60"/>
        <v>5448.25</v>
      </c>
      <c r="X259" s="93"/>
      <c r="Y259" s="86">
        <f t="shared" si="61"/>
        <v>0</v>
      </c>
      <c r="Z259" s="93"/>
      <c r="AA259" s="85">
        <f t="shared" si="62"/>
        <v>0</v>
      </c>
      <c r="AB259" s="96">
        <v>552</v>
      </c>
      <c r="AC259" s="85">
        <f t="shared" si="63"/>
        <v>19342.079999999998</v>
      </c>
      <c r="AD259" s="91"/>
      <c r="AE259" s="85">
        <f t="shared" si="64"/>
        <v>0</v>
      </c>
      <c r="AF259" s="93"/>
      <c r="AG259" s="89">
        <f t="shared" si="65"/>
        <v>0</v>
      </c>
      <c r="AH259" s="91">
        <v>1278</v>
      </c>
      <c r="AI259" s="85">
        <f t="shared" si="66"/>
        <v>45944.100000000006</v>
      </c>
      <c r="AJ259" s="91">
        <v>666</v>
      </c>
      <c r="AK259" s="85">
        <f t="shared" si="67"/>
        <v>24422.22</v>
      </c>
      <c r="AL259" s="113">
        <f t="shared" si="57"/>
        <v>4245</v>
      </c>
      <c r="AM259" s="23">
        <f t="shared" si="58"/>
        <v>154685.49</v>
      </c>
    </row>
    <row r="260" spans="1:39" x14ac:dyDescent="0.5">
      <c r="A260" s="16">
        <v>256</v>
      </c>
      <c r="B260" s="97" t="s">
        <v>1361</v>
      </c>
      <c r="C260" s="92" t="s">
        <v>1362</v>
      </c>
      <c r="D260" s="93"/>
      <c r="E260" s="85">
        <f t="shared" si="68"/>
        <v>0</v>
      </c>
      <c r="F260" s="94"/>
      <c r="G260" s="85">
        <f t="shared" si="69"/>
        <v>0</v>
      </c>
      <c r="H260" s="94">
        <v>588</v>
      </c>
      <c r="I260" s="85">
        <f t="shared" si="70"/>
        <v>19409.879999999997</v>
      </c>
      <c r="J260" s="17"/>
      <c r="K260" s="86">
        <f t="shared" si="71"/>
        <v>0</v>
      </c>
      <c r="L260" s="94"/>
      <c r="M260" s="86">
        <f t="shared" si="72"/>
        <v>0</v>
      </c>
      <c r="N260" s="93">
        <v>887</v>
      </c>
      <c r="O260" s="86">
        <f t="shared" si="73"/>
        <v>37254</v>
      </c>
      <c r="P260" s="93">
        <v>563</v>
      </c>
      <c r="Q260" s="86">
        <f t="shared" si="74"/>
        <v>21788.100000000002</v>
      </c>
      <c r="R260" s="95">
        <v>699</v>
      </c>
      <c r="S260" s="86">
        <f t="shared" si="75"/>
        <v>23556.300000000003</v>
      </c>
      <c r="T260" s="93">
        <v>649</v>
      </c>
      <c r="U260" s="86">
        <f t="shared" si="59"/>
        <v>21287.199999999997</v>
      </c>
      <c r="V260" s="93">
        <v>677</v>
      </c>
      <c r="W260" s="86">
        <f t="shared" si="60"/>
        <v>23796.55</v>
      </c>
      <c r="X260" s="93"/>
      <c r="Y260" s="86">
        <f t="shared" si="61"/>
        <v>0</v>
      </c>
      <c r="Z260" s="93"/>
      <c r="AA260" s="85">
        <f t="shared" si="62"/>
        <v>0</v>
      </c>
      <c r="AB260" s="96"/>
      <c r="AC260" s="85">
        <f t="shared" si="63"/>
        <v>0</v>
      </c>
      <c r="AD260" s="91"/>
      <c r="AE260" s="85">
        <f t="shared" si="64"/>
        <v>0</v>
      </c>
      <c r="AF260" s="93"/>
      <c r="AG260" s="89">
        <f t="shared" si="65"/>
        <v>0</v>
      </c>
      <c r="AH260" s="91"/>
      <c r="AI260" s="85">
        <f t="shared" si="66"/>
        <v>0</v>
      </c>
      <c r="AJ260" s="91">
        <v>1058</v>
      </c>
      <c r="AK260" s="85">
        <f t="shared" si="67"/>
        <v>38796.86</v>
      </c>
      <c r="AL260" s="113">
        <f t="shared" si="57"/>
        <v>5121</v>
      </c>
      <c r="AM260" s="23">
        <f t="shared" si="58"/>
        <v>185888.89</v>
      </c>
    </row>
    <row r="261" spans="1:39" s="114" customFormat="1" x14ac:dyDescent="0.5">
      <c r="A261" s="16">
        <v>257</v>
      </c>
      <c r="B261" s="97" t="s">
        <v>1363</v>
      </c>
      <c r="C261" s="92" t="s">
        <v>1364</v>
      </c>
      <c r="D261" s="93"/>
      <c r="E261" s="85">
        <f t="shared" si="68"/>
        <v>0</v>
      </c>
      <c r="F261" s="94"/>
      <c r="G261" s="85">
        <f t="shared" si="69"/>
        <v>0</v>
      </c>
      <c r="H261" s="94"/>
      <c r="I261" s="85">
        <f t="shared" si="70"/>
        <v>0</v>
      </c>
      <c r="J261" s="17"/>
      <c r="K261" s="86">
        <f t="shared" si="71"/>
        <v>0</v>
      </c>
      <c r="L261" s="94"/>
      <c r="M261" s="86">
        <f t="shared" si="72"/>
        <v>0</v>
      </c>
      <c r="N261" s="93"/>
      <c r="O261" s="86">
        <f t="shared" si="73"/>
        <v>0</v>
      </c>
      <c r="P261" s="93">
        <v>372</v>
      </c>
      <c r="Q261" s="86">
        <f t="shared" si="74"/>
        <v>14396.400000000001</v>
      </c>
      <c r="R261" s="95"/>
      <c r="S261" s="86">
        <f t="shared" si="75"/>
        <v>0</v>
      </c>
      <c r="T261" s="93"/>
      <c r="U261" s="86">
        <f t="shared" si="59"/>
        <v>0</v>
      </c>
      <c r="V261" s="93"/>
      <c r="W261" s="86">
        <f t="shared" si="60"/>
        <v>0</v>
      </c>
      <c r="X261" s="93"/>
      <c r="Y261" s="86">
        <f t="shared" si="61"/>
        <v>0</v>
      </c>
      <c r="Z261" s="93"/>
      <c r="AA261" s="85">
        <f t="shared" si="62"/>
        <v>0</v>
      </c>
      <c r="AB261" s="96"/>
      <c r="AC261" s="85">
        <f t="shared" si="63"/>
        <v>0</v>
      </c>
      <c r="AD261" s="91"/>
      <c r="AE261" s="85">
        <f t="shared" si="64"/>
        <v>0</v>
      </c>
      <c r="AF261" s="93"/>
      <c r="AG261" s="89">
        <f t="shared" si="65"/>
        <v>0</v>
      </c>
      <c r="AH261" s="91"/>
      <c r="AI261" s="85">
        <f t="shared" si="66"/>
        <v>0</v>
      </c>
      <c r="AJ261" s="91"/>
      <c r="AK261" s="85">
        <f t="shared" si="67"/>
        <v>0</v>
      </c>
      <c r="AL261" s="113">
        <f t="shared" ref="AL261:AL324" si="76">D261+F261+H261+J261+L261+N261+P261+R261+T261+V261+X261+Z261+AB261+AD261+AF261+AH261+AJ261</f>
        <v>372</v>
      </c>
      <c r="AM261" s="23">
        <f t="shared" ref="AM261:AM324" si="77">E261+G261+I261+K261+M261+O261+Q261+S261+U261+W261+Y261+AA261+AC261+AE261+AG261+AI261+AK261</f>
        <v>14396.400000000001</v>
      </c>
    </row>
    <row r="262" spans="1:39" x14ac:dyDescent="0.5">
      <c r="A262" s="16">
        <v>258</v>
      </c>
      <c r="B262" s="97" t="s">
        <v>1365</v>
      </c>
      <c r="C262" s="92" t="s">
        <v>1366</v>
      </c>
      <c r="D262" s="93"/>
      <c r="E262" s="85">
        <f t="shared" si="68"/>
        <v>0</v>
      </c>
      <c r="F262" s="94"/>
      <c r="G262" s="85">
        <f t="shared" si="69"/>
        <v>0</v>
      </c>
      <c r="H262" s="94"/>
      <c r="I262" s="85">
        <f t="shared" si="70"/>
        <v>0</v>
      </c>
      <c r="J262" s="17"/>
      <c r="K262" s="86">
        <f t="shared" si="71"/>
        <v>0</v>
      </c>
      <c r="L262" s="94"/>
      <c r="M262" s="86">
        <f t="shared" si="72"/>
        <v>0</v>
      </c>
      <c r="N262" s="93"/>
      <c r="O262" s="86">
        <f t="shared" si="73"/>
        <v>0</v>
      </c>
      <c r="P262" s="93">
        <v>643</v>
      </c>
      <c r="Q262" s="86">
        <f t="shared" si="74"/>
        <v>24884.100000000002</v>
      </c>
      <c r="R262" s="95">
        <v>632</v>
      </c>
      <c r="S262" s="86">
        <f t="shared" si="75"/>
        <v>21298.400000000001</v>
      </c>
      <c r="T262" s="93">
        <v>574</v>
      </c>
      <c r="U262" s="86">
        <f t="shared" si="59"/>
        <v>18827.199999999997</v>
      </c>
      <c r="V262" s="93">
        <v>643</v>
      </c>
      <c r="W262" s="86">
        <f t="shared" si="60"/>
        <v>22601.45</v>
      </c>
      <c r="X262" s="93">
        <v>392</v>
      </c>
      <c r="Y262" s="86">
        <f t="shared" si="61"/>
        <v>13586.72</v>
      </c>
      <c r="Z262" s="93">
        <v>617</v>
      </c>
      <c r="AA262" s="85">
        <f t="shared" si="62"/>
        <v>22242.85</v>
      </c>
      <c r="AB262" s="96">
        <v>634</v>
      </c>
      <c r="AC262" s="85">
        <f t="shared" si="63"/>
        <v>22215.360000000001</v>
      </c>
      <c r="AD262" s="91">
        <v>604</v>
      </c>
      <c r="AE262" s="85">
        <f t="shared" si="64"/>
        <v>20644.72</v>
      </c>
      <c r="AF262" s="93">
        <v>593</v>
      </c>
      <c r="AG262" s="89">
        <f t="shared" si="65"/>
        <v>19746.899999999998</v>
      </c>
      <c r="AH262" s="91">
        <v>620</v>
      </c>
      <c r="AI262" s="85">
        <f t="shared" si="66"/>
        <v>22289</v>
      </c>
      <c r="AJ262" s="91">
        <v>657</v>
      </c>
      <c r="AK262" s="85">
        <f t="shared" si="67"/>
        <v>24092.190000000002</v>
      </c>
      <c r="AL262" s="113">
        <f t="shared" si="76"/>
        <v>6609</v>
      </c>
      <c r="AM262" s="23">
        <f t="shared" si="77"/>
        <v>232428.89</v>
      </c>
    </row>
    <row r="263" spans="1:39" s="114" customFormat="1" x14ac:dyDescent="0.5">
      <c r="A263" s="16">
        <v>259</v>
      </c>
      <c r="B263" s="97" t="s">
        <v>1367</v>
      </c>
      <c r="C263" s="92" t="s">
        <v>1368</v>
      </c>
      <c r="D263" s="93"/>
      <c r="E263" s="85">
        <f t="shared" si="68"/>
        <v>0</v>
      </c>
      <c r="F263" s="94">
        <v>640</v>
      </c>
      <c r="G263" s="85">
        <f t="shared" si="69"/>
        <v>20742.399999999998</v>
      </c>
      <c r="H263" s="94">
        <v>473</v>
      </c>
      <c r="I263" s="85">
        <f t="shared" si="70"/>
        <v>15613.73</v>
      </c>
      <c r="J263" s="17"/>
      <c r="K263" s="86">
        <f t="shared" si="71"/>
        <v>0</v>
      </c>
      <c r="L263" s="94">
        <v>466</v>
      </c>
      <c r="M263" s="86">
        <f t="shared" si="72"/>
        <v>17824.5</v>
      </c>
      <c r="N263" s="93">
        <v>253</v>
      </c>
      <c r="O263" s="86">
        <f t="shared" si="73"/>
        <v>10626</v>
      </c>
      <c r="P263" s="93"/>
      <c r="Q263" s="86">
        <f t="shared" si="74"/>
        <v>0</v>
      </c>
      <c r="R263" s="95">
        <v>358</v>
      </c>
      <c r="S263" s="86">
        <f t="shared" si="75"/>
        <v>12064.6</v>
      </c>
      <c r="T263" s="93"/>
      <c r="U263" s="86">
        <f t="shared" si="59"/>
        <v>0</v>
      </c>
      <c r="V263" s="93"/>
      <c r="W263" s="86">
        <f t="shared" si="60"/>
        <v>0</v>
      </c>
      <c r="X263" s="93"/>
      <c r="Y263" s="86">
        <f t="shared" si="61"/>
        <v>0</v>
      </c>
      <c r="Z263" s="93"/>
      <c r="AA263" s="85">
        <f t="shared" si="62"/>
        <v>0</v>
      </c>
      <c r="AB263" s="96"/>
      <c r="AC263" s="85">
        <f t="shared" si="63"/>
        <v>0</v>
      </c>
      <c r="AD263" s="91"/>
      <c r="AE263" s="85">
        <f t="shared" si="64"/>
        <v>0</v>
      </c>
      <c r="AF263" s="93"/>
      <c r="AG263" s="89">
        <f t="shared" si="65"/>
        <v>0</v>
      </c>
      <c r="AH263" s="91"/>
      <c r="AI263" s="85">
        <f t="shared" si="66"/>
        <v>0</v>
      </c>
      <c r="AJ263" s="91"/>
      <c r="AK263" s="85">
        <f t="shared" si="67"/>
        <v>0</v>
      </c>
      <c r="AL263" s="113">
        <f t="shared" si="76"/>
        <v>2190</v>
      </c>
      <c r="AM263" s="23">
        <f t="shared" si="77"/>
        <v>76871.23</v>
      </c>
    </row>
    <row r="264" spans="1:39" s="114" customFormat="1" x14ac:dyDescent="0.5">
      <c r="A264" s="16">
        <v>260</v>
      </c>
      <c r="B264" s="97" t="s">
        <v>828</v>
      </c>
      <c r="C264" s="92" t="s">
        <v>1368</v>
      </c>
      <c r="D264" s="93"/>
      <c r="E264" s="85">
        <f t="shared" si="68"/>
        <v>0</v>
      </c>
      <c r="F264" s="94">
        <v>170</v>
      </c>
      <c r="G264" s="85">
        <f t="shared" si="69"/>
        <v>5509.7</v>
      </c>
      <c r="H264" s="94"/>
      <c r="I264" s="85">
        <f t="shared" si="70"/>
        <v>0</v>
      </c>
      <c r="J264" s="17"/>
      <c r="K264" s="86">
        <f t="shared" si="71"/>
        <v>0</v>
      </c>
      <c r="L264" s="94"/>
      <c r="M264" s="86">
        <f t="shared" si="72"/>
        <v>0</v>
      </c>
      <c r="N264" s="93"/>
      <c r="O264" s="86">
        <f t="shared" si="73"/>
        <v>0</v>
      </c>
      <c r="P264" s="93"/>
      <c r="Q264" s="86">
        <f t="shared" si="74"/>
        <v>0</v>
      </c>
      <c r="R264" s="95"/>
      <c r="S264" s="86">
        <f t="shared" si="75"/>
        <v>0</v>
      </c>
      <c r="T264" s="93"/>
      <c r="U264" s="86">
        <f t="shared" si="59"/>
        <v>0</v>
      </c>
      <c r="V264" s="93"/>
      <c r="W264" s="86">
        <f t="shared" si="60"/>
        <v>0</v>
      </c>
      <c r="X264" s="93"/>
      <c r="Y264" s="86">
        <f t="shared" si="61"/>
        <v>0</v>
      </c>
      <c r="Z264" s="93"/>
      <c r="AA264" s="85">
        <f t="shared" si="62"/>
        <v>0</v>
      </c>
      <c r="AB264" s="96"/>
      <c r="AC264" s="85">
        <f t="shared" si="63"/>
        <v>0</v>
      </c>
      <c r="AD264" s="91"/>
      <c r="AE264" s="85">
        <f t="shared" si="64"/>
        <v>0</v>
      </c>
      <c r="AF264" s="93"/>
      <c r="AG264" s="89">
        <f t="shared" si="65"/>
        <v>0</v>
      </c>
      <c r="AH264" s="91"/>
      <c r="AI264" s="85">
        <f t="shared" si="66"/>
        <v>0</v>
      </c>
      <c r="AJ264" s="91"/>
      <c r="AK264" s="85">
        <f t="shared" si="67"/>
        <v>0</v>
      </c>
      <c r="AL264" s="113">
        <f t="shared" si="76"/>
        <v>170</v>
      </c>
      <c r="AM264" s="23">
        <f t="shared" si="77"/>
        <v>5509.7</v>
      </c>
    </row>
    <row r="265" spans="1:39" s="114" customFormat="1" x14ac:dyDescent="0.5">
      <c r="A265" s="16">
        <v>261</v>
      </c>
      <c r="B265" s="97" t="s">
        <v>1369</v>
      </c>
      <c r="C265" s="92" t="s">
        <v>1370</v>
      </c>
      <c r="D265" s="93">
        <v>55</v>
      </c>
      <c r="E265" s="85">
        <f t="shared" si="68"/>
        <v>1711.6000000000001</v>
      </c>
      <c r="F265" s="94"/>
      <c r="G265" s="85">
        <f t="shared" si="69"/>
        <v>0</v>
      </c>
      <c r="H265" s="94"/>
      <c r="I265" s="85">
        <f t="shared" si="70"/>
        <v>0</v>
      </c>
      <c r="J265" s="17"/>
      <c r="K265" s="86">
        <f t="shared" si="71"/>
        <v>0</v>
      </c>
      <c r="L265" s="94"/>
      <c r="M265" s="86">
        <f t="shared" si="72"/>
        <v>0</v>
      </c>
      <c r="N265" s="93"/>
      <c r="O265" s="86">
        <f t="shared" si="73"/>
        <v>0</v>
      </c>
      <c r="P265" s="93"/>
      <c r="Q265" s="86">
        <f t="shared" si="74"/>
        <v>0</v>
      </c>
      <c r="R265" s="95"/>
      <c r="S265" s="86">
        <f t="shared" si="75"/>
        <v>0</v>
      </c>
      <c r="T265" s="93"/>
      <c r="U265" s="86">
        <f t="shared" si="59"/>
        <v>0</v>
      </c>
      <c r="V265" s="93"/>
      <c r="W265" s="86">
        <f t="shared" si="60"/>
        <v>0</v>
      </c>
      <c r="X265" s="93"/>
      <c r="Y265" s="86">
        <f t="shared" si="61"/>
        <v>0</v>
      </c>
      <c r="Z265" s="93"/>
      <c r="AA265" s="85">
        <f t="shared" si="62"/>
        <v>0</v>
      </c>
      <c r="AB265" s="96"/>
      <c r="AC265" s="85">
        <f t="shared" si="63"/>
        <v>0</v>
      </c>
      <c r="AD265" s="91"/>
      <c r="AE265" s="85">
        <f t="shared" si="64"/>
        <v>0</v>
      </c>
      <c r="AF265" s="93"/>
      <c r="AG265" s="89">
        <f t="shared" si="65"/>
        <v>0</v>
      </c>
      <c r="AH265" s="91"/>
      <c r="AI265" s="85">
        <f t="shared" si="66"/>
        <v>0</v>
      </c>
      <c r="AJ265" s="91"/>
      <c r="AK265" s="85">
        <f t="shared" si="67"/>
        <v>0</v>
      </c>
      <c r="AL265" s="113">
        <f t="shared" si="76"/>
        <v>55</v>
      </c>
      <c r="AM265" s="23">
        <f t="shared" si="77"/>
        <v>1711.6000000000001</v>
      </c>
    </row>
    <row r="266" spans="1:39" s="114" customFormat="1" x14ac:dyDescent="0.5">
      <c r="A266" s="16">
        <v>262</v>
      </c>
      <c r="B266" s="97" t="s">
        <v>1371</v>
      </c>
      <c r="C266" s="92" t="s">
        <v>1370</v>
      </c>
      <c r="D266" s="93">
        <v>357</v>
      </c>
      <c r="E266" s="85">
        <f t="shared" si="68"/>
        <v>11109.84</v>
      </c>
      <c r="F266" s="94">
        <v>230</v>
      </c>
      <c r="G266" s="85">
        <f t="shared" si="69"/>
        <v>7454.2999999999993</v>
      </c>
      <c r="H266" s="94"/>
      <c r="I266" s="85">
        <f t="shared" si="70"/>
        <v>0</v>
      </c>
      <c r="J266" s="17"/>
      <c r="K266" s="86">
        <f t="shared" si="71"/>
        <v>0</v>
      </c>
      <c r="L266" s="94"/>
      <c r="M266" s="86">
        <f t="shared" si="72"/>
        <v>0</v>
      </c>
      <c r="N266" s="93">
        <v>178</v>
      </c>
      <c r="O266" s="86">
        <f t="shared" si="73"/>
        <v>7476</v>
      </c>
      <c r="P266" s="93"/>
      <c r="Q266" s="86">
        <f t="shared" si="74"/>
        <v>0</v>
      </c>
      <c r="R266" s="95"/>
      <c r="S266" s="86">
        <f t="shared" si="75"/>
        <v>0</v>
      </c>
      <c r="T266" s="93">
        <v>207</v>
      </c>
      <c r="U266" s="86">
        <f t="shared" si="59"/>
        <v>6789.5999999999995</v>
      </c>
      <c r="V266" s="93"/>
      <c r="W266" s="86">
        <f t="shared" si="60"/>
        <v>0</v>
      </c>
      <c r="X266" s="93"/>
      <c r="Y266" s="86">
        <f t="shared" si="61"/>
        <v>0</v>
      </c>
      <c r="Z266" s="93"/>
      <c r="AA266" s="85">
        <f t="shared" si="62"/>
        <v>0</v>
      </c>
      <c r="AB266" s="96"/>
      <c r="AC266" s="85">
        <f t="shared" si="63"/>
        <v>0</v>
      </c>
      <c r="AD266" s="91"/>
      <c r="AE266" s="85">
        <f t="shared" si="64"/>
        <v>0</v>
      </c>
      <c r="AF266" s="93"/>
      <c r="AG266" s="89">
        <f t="shared" si="65"/>
        <v>0</v>
      </c>
      <c r="AH266" s="91"/>
      <c r="AI266" s="85">
        <f t="shared" ref="AI266:AI329" si="78">AH266*35.95</f>
        <v>0</v>
      </c>
      <c r="AJ266" s="91"/>
      <c r="AK266" s="85">
        <f t="shared" ref="AK266:AK329" si="79">AJ266*36.67</f>
        <v>0</v>
      </c>
      <c r="AL266" s="113">
        <f t="shared" si="76"/>
        <v>972</v>
      </c>
      <c r="AM266" s="23">
        <f t="shared" si="77"/>
        <v>32829.74</v>
      </c>
    </row>
    <row r="267" spans="1:39" s="114" customFormat="1" x14ac:dyDescent="0.5">
      <c r="A267" s="16">
        <v>263</v>
      </c>
      <c r="B267" s="97" t="s">
        <v>1372</v>
      </c>
      <c r="C267" s="92" t="s">
        <v>1373</v>
      </c>
      <c r="D267" s="93"/>
      <c r="E267" s="85">
        <f t="shared" si="68"/>
        <v>0</v>
      </c>
      <c r="F267" s="94"/>
      <c r="G267" s="85">
        <f t="shared" si="69"/>
        <v>0</v>
      </c>
      <c r="H267" s="94"/>
      <c r="I267" s="85">
        <f t="shared" si="70"/>
        <v>0</v>
      </c>
      <c r="J267" s="17"/>
      <c r="K267" s="86">
        <f t="shared" si="71"/>
        <v>0</v>
      </c>
      <c r="L267" s="94"/>
      <c r="M267" s="86">
        <f t="shared" si="72"/>
        <v>0</v>
      </c>
      <c r="N267" s="93">
        <v>624</v>
      </c>
      <c r="O267" s="86">
        <f t="shared" si="73"/>
        <v>26208</v>
      </c>
      <c r="P267" s="93"/>
      <c r="Q267" s="86">
        <f t="shared" si="74"/>
        <v>0</v>
      </c>
      <c r="R267" s="95"/>
      <c r="S267" s="86">
        <f t="shared" si="75"/>
        <v>0</v>
      </c>
      <c r="T267" s="93"/>
      <c r="U267" s="86">
        <f t="shared" si="59"/>
        <v>0</v>
      </c>
      <c r="V267" s="93"/>
      <c r="W267" s="86">
        <f t="shared" si="60"/>
        <v>0</v>
      </c>
      <c r="X267" s="93"/>
      <c r="Y267" s="86">
        <f t="shared" si="61"/>
        <v>0</v>
      </c>
      <c r="Z267" s="93"/>
      <c r="AA267" s="85">
        <f t="shared" si="62"/>
        <v>0</v>
      </c>
      <c r="AB267" s="96"/>
      <c r="AC267" s="85">
        <f t="shared" ref="AC267:AC330" si="80">AB267*35.04</f>
        <v>0</v>
      </c>
      <c r="AD267" s="91"/>
      <c r="AE267" s="85">
        <f t="shared" ref="AE267:AE330" si="81">AD267*34.18</f>
        <v>0</v>
      </c>
      <c r="AF267" s="93"/>
      <c r="AG267" s="89">
        <f t="shared" ref="AG267:AG330" si="82">AF267*33.3</f>
        <v>0</v>
      </c>
      <c r="AH267" s="91"/>
      <c r="AI267" s="85">
        <f t="shared" si="78"/>
        <v>0</v>
      </c>
      <c r="AJ267" s="91"/>
      <c r="AK267" s="85">
        <f t="shared" si="79"/>
        <v>0</v>
      </c>
      <c r="AL267" s="113">
        <f t="shared" si="76"/>
        <v>624</v>
      </c>
      <c r="AM267" s="23">
        <f t="shared" si="77"/>
        <v>26208</v>
      </c>
    </row>
    <row r="268" spans="1:39" x14ac:dyDescent="0.5">
      <c r="A268" s="16">
        <v>264</v>
      </c>
      <c r="B268" s="97" t="s">
        <v>1374</v>
      </c>
      <c r="C268" s="92" t="s">
        <v>1375</v>
      </c>
      <c r="D268" s="93">
        <v>224</v>
      </c>
      <c r="E268" s="85">
        <f t="shared" si="68"/>
        <v>6970.88</v>
      </c>
      <c r="F268" s="94"/>
      <c r="G268" s="85">
        <f t="shared" si="69"/>
        <v>0</v>
      </c>
      <c r="H268" s="94"/>
      <c r="I268" s="85">
        <f t="shared" si="70"/>
        <v>0</v>
      </c>
      <c r="J268" s="17"/>
      <c r="K268" s="86">
        <f t="shared" si="71"/>
        <v>0</v>
      </c>
      <c r="L268" s="94"/>
      <c r="M268" s="86">
        <f t="shared" si="72"/>
        <v>0</v>
      </c>
      <c r="N268" s="93">
        <v>649</v>
      </c>
      <c r="O268" s="86">
        <f t="shared" si="73"/>
        <v>27258</v>
      </c>
      <c r="P268" s="93">
        <v>362</v>
      </c>
      <c r="Q268" s="86">
        <f t="shared" si="74"/>
        <v>14009.400000000001</v>
      </c>
      <c r="R268" s="95">
        <v>564</v>
      </c>
      <c r="S268" s="86">
        <f t="shared" si="75"/>
        <v>19006.800000000003</v>
      </c>
      <c r="T268" s="93">
        <v>614</v>
      </c>
      <c r="U268" s="86">
        <f t="shared" ref="U268:U332" si="83">T268*32.8</f>
        <v>20139.199999999997</v>
      </c>
      <c r="V268" s="93">
        <v>587</v>
      </c>
      <c r="W268" s="86">
        <f t="shared" ref="W268:W331" si="84">V268*35.15</f>
        <v>20633.05</v>
      </c>
      <c r="X268" s="93">
        <v>505</v>
      </c>
      <c r="Y268" s="86">
        <f t="shared" ref="Y268:Y331" si="85">X268*34.66</f>
        <v>17503.3</v>
      </c>
      <c r="Z268" s="93">
        <v>477</v>
      </c>
      <c r="AA268" s="85">
        <f t="shared" ref="AA268:AA331" si="86">Z268*36.05</f>
        <v>17195.849999999999</v>
      </c>
      <c r="AB268" s="96">
        <v>595</v>
      </c>
      <c r="AC268" s="85">
        <f t="shared" si="80"/>
        <v>20848.8</v>
      </c>
      <c r="AD268" s="91">
        <v>618</v>
      </c>
      <c r="AE268" s="85">
        <f t="shared" si="81"/>
        <v>21123.24</v>
      </c>
      <c r="AF268" s="93">
        <v>489</v>
      </c>
      <c r="AG268" s="89">
        <f t="shared" si="82"/>
        <v>16283.699999999999</v>
      </c>
      <c r="AH268" s="91">
        <v>566</v>
      </c>
      <c r="AI268" s="85">
        <f t="shared" si="78"/>
        <v>20347.7</v>
      </c>
      <c r="AJ268" s="91">
        <v>542</v>
      </c>
      <c r="AK268" s="85">
        <f t="shared" si="79"/>
        <v>19875.14</v>
      </c>
      <c r="AL268" s="113">
        <f t="shared" si="76"/>
        <v>6792</v>
      </c>
      <c r="AM268" s="23">
        <f t="shared" si="77"/>
        <v>241195.06</v>
      </c>
    </row>
    <row r="269" spans="1:39" s="114" customFormat="1" x14ac:dyDescent="0.5">
      <c r="A269" s="16">
        <v>265</v>
      </c>
      <c r="B269" s="97" t="s">
        <v>1376</v>
      </c>
      <c r="C269" s="92" t="s">
        <v>1375</v>
      </c>
      <c r="D269" s="93"/>
      <c r="E269" s="85">
        <f t="shared" ref="E269:E333" si="87">D269*31.12</f>
        <v>0</v>
      </c>
      <c r="F269" s="94"/>
      <c r="G269" s="85">
        <f t="shared" ref="G269:G333" si="88">F269*32.41</f>
        <v>0</v>
      </c>
      <c r="H269" s="94"/>
      <c r="I269" s="85">
        <f t="shared" ref="I269:I333" si="89">H269*33.01</f>
        <v>0</v>
      </c>
      <c r="J269" s="17"/>
      <c r="K269" s="86">
        <f t="shared" ref="K269:K333" si="90">J269*35.12</f>
        <v>0</v>
      </c>
      <c r="L269" s="94"/>
      <c r="M269" s="86">
        <f t="shared" ref="M269:M333" si="91">L269*38.25</f>
        <v>0</v>
      </c>
      <c r="N269" s="93"/>
      <c r="O269" s="86">
        <f t="shared" ref="O269:O333" si="92">N269*42</f>
        <v>0</v>
      </c>
      <c r="P269" s="93">
        <v>198</v>
      </c>
      <c r="Q269" s="86">
        <f t="shared" ref="Q269:Q333" si="93">P269*38.7</f>
        <v>7662.6</v>
      </c>
      <c r="R269" s="95"/>
      <c r="S269" s="86">
        <f t="shared" ref="S269:S333" si="94">R269*33.7</f>
        <v>0</v>
      </c>
      <c r="T269" s="93"/>
      <c r="U269" s="86">
        <f t="shared" si="83"/>
        <v>0</v>
      </c>
      <c r="V269" s="93"/>
      <c r="W269" s="86">
        <f t="shared" si="84"/>
        <v>0</v>
      </c>
      <c r="X269" s="93"/>
      <c r="Y269" s="86">
        <f t="shared" si="85"/>
        <v>0</v>
      </c>
      <c r="Z269" s="93"/>
      <c r="AA269" s="85">
        <f t="shared" si="86"/>
        <v>0</v>
      </c>
      <c r="AB269" s="96"/>
      <c r="AC269" s="85">
        <f t="shared" si="80"/>
        <v>0</v>
      </c>
      <c r="AD269" s="91"/>
      <c r="AE269" s="85">
        <f t="shared" si="81"/>
        <v>0</v>
      </c>
      <c r="AF269" s="93"/>
      <c r="AG269" s="89">
        <f t="shared" si="82"/>
        <v>0</v>
      </c>
      <c r="AH269" s="91"/>
      <c r="AI269" s="85">
        <f t="shared" si="78"/>
        <v>0</v>
      </c>
      <c r="AJ269" s="91"/>
      <c r="AK269" s="85">
        <f t="shared" si="79"/>
        <v>0</v>
      </c>
      <c r="AL269" s="113">
        <f t="shared" si="76"/>
        <v>198</v>
      </c>
      <c r="AM269" s="23">
        <f t="shared" si="77"/>
        <v>7662.6</v>
      </c>
    </row>
    <row r="270" spans="1:39" x14ac:dyDescent="0.5">
      <c r="A270" s="16">
        <v>266</v>
      </c>
      <c r="B270" s="97" t="s">
        <v>1377</v>
      </c>
      <c r="C270" s="92" t="s">
        <v>1378</v>
      </c>
      <c r="D270" s="93">
        <v>87</v>
      </c>
      <c r="E270" s="85">
        <f t="shared" si="87"/>
        <v>2707.44</v>
      </c>
      <c r="F270" s="94"/>
      <c r="G270" s="85">
        <f t="shared" si="88"/>
        <v>0</v>
      </c>
      <c r="H270" s="94"/>
      <c r="I270" s="85">
        <f t="shared" si="89"/>
        <v>0</v>
      </c>
      <c r="J270" s="17"/>
      <c r="K270" s="86">
        <f t="shared" si="90"/>
        <v>0</v>
      </c>
      <c r="L270" s="94"/>
      <c r="M270" s="86">
        <f t="shared" si="91"/>
        <v>0</v>
      </c>
      <c r="N270" s="93"/>
      <c r="O270" s="86">
        <f t="shared" si="92"/>
        <v>0</v>
      </c>
      <c r="P270" s="93">
        <v>173</v>
      </c>
      <c r="Q270" s="86">
        <f t="shared" si="93"/>
        <v>6695.1</v>
      </c>
      <c r="R270" s="95">
        <v>531</v>
      </c>
      <c r="S270" s="86">
        <f t="shared" si="94"/>
        <v>17894.7</v>
      </c>
      <c r="T270" s="93">
        <v>344</v>
      </c>
      <c r="U270" s="86">
        <f t="shared" si="83"/>
        <v>11283.199999999999</v>
      </c>
      <c r="V270" s="93">
        <v>374</v>
      </c>
      <c r="W270" s="86">
        <f t="shared" si="84"/>
        <v>13146.1</v>
      </c>
      <c r="X270" s="93">
        <v>279</v>
      </c>
      <c r="Y270" s="86">
        <f t="shared" si="85"/>
        <v>9670.14</v>
      </c>
      <c r="Z270" s="93">
        <v>277</v>
      </c>
      <c r="AA270" s="85">
        <f t="shared" si="86"/>
        <v>9985.8499999999985</v>
      </c>
      <c r="AB270" s="96">
        <v>226</v>
      </c>
      <c r="AC270" s="85">
        <f t="shared" si="80"/>
        <v>7919.04</v>
      </c>
      <c r="AD270" s="91">
        <v>344</v>
      </c>
      <c r="AE270" s="85">
        <f t="shared" si="81"/>
        <v>11757.92</v>
      </c>
      <c r="AF270" s="93">
        <v>250</v>
      </c>
      <c r="AG270" s="89">
        <f t="shared" si="82"/>
        <v>8325</v>
      </c>
      <c r="AH270" s="91">
        <v>262</v>
      </c>
      <c r="AI270" s="85">
        <f t="shared" si="78"/>
        <v>9418.9000000000015</v>
      </c>
      <c r="AJ270" s="91">
        <v>268</v>
      </c>
      <c r="AK270" s="85">
        <f t="shared" si="79"/>
        <v>9827.5600000000013</v>
      </c>
      <c r="AL270" s="113">
        <f t="shared" si="76"/>
        <v>3415</v>
      </c>
      <c r="AM270" s="23">
        <f t="shared" si="77"/>
        <v>118630.94999999998</v>
      </c>
    </row>
    <row r="271" spans="1:39" x14ac:dyDescent="0.5">
      <c r="A271" s="16">
        <v>267</v>
      </c>
      <c r="B271" s="97" t="s">
        <v>483</v>
      </c>
      <c r="C271" s="92" t="s">
        <v>1378</v>
      </c>
      <c r="D271" s="93"/>
      <c r="E271" s="85"/>
      <c r="F271" s="94"/>
      <c r="G271" s="85"/>
      <c r="H271" s="94"/>
      <c r="I271" s="85"/>
      <c r="J271" s="17"/>
      <c r="K271" s="86"/>
      <c r="L271" s="94"/>
      <c r="M271" s="86"/>
      <c r="N271" s="93"/>
      <c r="O271" s="86"/>
      <c r="P271" s="93"/>
      <c r="Q271" s="86"/>
      <c r="R271" s="95"/>
      <c r="S271" s="86"/>
      <c r="T271" s="93">
        <v>344</v>
      </c>
      <c r="U271" s="86">
        <f t="shared" si="83"/>
        <v>11283.199999999999</v>
      </c>
      <c r="V271" s="93">
        <v>270</v>
      </c>
      <c r="W271" s="86">
        <f t="shared" si="84"/>
        <v>9490.5</v>
      </c>
      <c r="X271" s="93">
        <v>278</v>
      </c>
      <c r="Y271" s="86">
        <f t="shared" si="85"/>
        <v>9635.48</v>
      </c>
      <c r="Z271" s="93"/>
      <c r="AA271" s="85">
        <f t="shared" si="86"/>
        <v>0</v>
      </c>
      <c r="AB271" s="96">
        <v>400</v>
      </c>
      <c r="AC271" s="85">
        <f t="shared" si="80"/>
        <v>14016</v>
      </c>
      <c r="AD271" s="91"/>
      <c r="AE271" s="85">
        <f t="shared" si="81"/>
        <v>0</v>
      </c>
      <c r="AF271" s="93"/>
      <c r="AG271" s="89">
        <f t="shared" si="82"/>
        <v>0</v>
      </c>
      <c r="AH271" s="91">
        <v>360</v>
      </c>
      <c r="AI271" s="85">
        <f t="shared" si="78"/>
        <v>12942.000000000002</v>
      </c>
      <c r="AJ271" s="91">
        <v>378</v>
      </c>
      <c r="AK271" s="85">
        <f t="shared" si="79"/>
        <v>13861.26</v>
      </c>
      <c r="AL271" s="113">
        <f t="shared" si="76"/>
        <v>2030</v>
      </c>
      <c r="AM271" s="23">
        <f t="shared" si="77"/>
        <v>71228.439999999988</v>
      </c>
    </row>
    <row r="272" spans="1:39" x14ac:dyDescent="0.5">
      <c r="A272" s="16">
        <v>268</v>
      </c>
      <c r="B272" s="97" t="s">
        <v>1379</v>
      </c>
      <c r="C272" s="92" t="s">
        <v>1380</v>
      </c>
      <c r="D272" s="93">
        <v>837</v>
      </c>
      <c r="E272" s="85">
        <f t="shared" si="87"/>
        <v>26047.440000000002</v>
      </c>
      <c r="F272" s="94">
        <v>662</v>
      </c>
      <c r="G272" s="85">
        <f t="shared" si="88"/>
        <v>21455.42</v>
      </c>
      <c r="H272" s="94">
        <v>650</v>
      </c>
      <c r="I272" s="85">
        <f t="shared" si="89"/>
        <v>21456.5</v>
      </c>
      <c r="J272" s="17">
        <v>442</v>
      </c>
      <c r="K272" s="86">
        <f t="shared" si="90"/>
        <v>15523.039999999999</v>
      </c>
      <c r="L272" s="94">
        <v>296</v>
      </c>
      <c r="M272" s="86">
        <f t="shared" si="91"/>
        <v>11322</v>
      </c>
      <c r="N272" s="93"/>
      <c r="O272" s="86">
        <f t="shared" si="92"/>
        <v>0</v>
      </c>
      <c r="P272" s="93"/>
      <c r="Q272" s="86">
        <f t="shared" si="93"/>
        <v>0</v>
      </c>
      <c r="R272" s="95">
        <v>662</v>
      </c>
      <c r="S272" s="86">
        <f t="shared" si="94"/>
        <v>22309.4</v>
      </c>
      <c r="T272" s="93">
        <v>639</v>
      </c>
      <c r="U272" s="86">
        <f t="shared" si="83"/>
        <v>20959.199999999997</v>
      </c>
      <c r="V272" s="93">
        <v>720</v>
      </c>
      <c r="W272" s="86">
        <f t="shared" si="84"/>
        <v>25308</v>
      </c>
      <c r="X272" s="93">
        <v>694</v>
      </c>
      <c r="Y272" s="86">
        <f t="shared" si="85"/>
        <v>24054.039999999997</v>
      </c>
      <c r="Z272" s="93"/>
      <c r="AA272" s="85">
        <f t="shared" si="86"/>
        <v>0</v>
      </c>
      <c r="AB272" s="96">
        <v>727</v>
      </c>
      <c r="AC272" s="85">
        <f t="shared" si="80"/>
        <v>25474.079999999998</v>
      </c>
      <c r="AD272" s="91">
        <v>802</v>
      </c>
      <c r="AE272" s="85">
        <f t="shared" si="81"/>
        <v>27412.36</v>
      </c>
      <c r="AF272" s="93">
        <v>782</v>
      </c>
      <c r="AG272" s="89">
        <f t="shared" si="82"/>
        <v>26040.6</v>
      </c>
      <c r="AH272" s="91">
        <v>810</v>
      </c>
      <c r="AI272" s="85">
        <f t="shared" si="78"/>
        <v>29119.500000000004</v>
      </c>
      <c r="AJ272" s="91">
        <v>791</v>
      </c>
      <c r="AK272" s="85">
        <f t="shared" si="79"/>
        <v>29005.97</v>
      </c>
      <c r="AL272" s="113">
        <f t="shared" si="76"/>
        <v>9514</v>
      </c>
      <c r="AM272" s="23">
        <f t="shared" si="77"/>
        <v>325487.54999999993</v>
      </c>
    </row>
    <row r="273" spans="1:39" s="114" customFormat="1" x14ac:dyDescent="0.5">
      <c r="A273" s="16">
        <v>269</v>
      </c>
      <c r="B273" s="97" t="s">
        <v>1381</v>
      </c>
      <c r="C273" s="92" t="s">
        <v>1382</v>
      </c>
      <c r="D273" s="93">
        <v>708</v>
      </c>
      <c r="E273" s="85">
        <f t="shared" si="87"/>
        <v>22032.959999999999</v>
      </c>
      <c r="F273" s="94">
        <v>483</v>
      </c>
      <c r="G273" s="85">
        <f t="shared" si="88"/>
        <v>15654.029999999999</v>
      </c>
      <c r="H273" s="94"/>
      <c r="I273" s="85">
        <f t="shared" si="89"/>
        <v>0</v>
      </c>
      <c r="J273" s="17"/>
      <c r="K273" s="86">
        <f t="shared" si="90"/>
        <v>0</v>
      </c>
      <c r="L273" s="94"/>
      <c r="M273" s="86">
        <f t="shared" si="91"/>
        <v>0</v>
      </c>
      <c r="N273" s="93"/>
      <c r="O273" s="86">
        <f t="shared" si="92"/>
        <v>0</v>
      </c>
      <c r="P273" s="93"/>
      <c r="Q273" s="86">
        <f t="shared" si="93"/>
        <v>0</v>
      </c>
      <c r="R273" s="95">
        <v>879</v>
      </c>
      <c r="S273" s="86">
        <f t="shared" si="94"/>
        <v>29622.300000000003</v>
      </c>
      <c r="T273" s="93">
        <v>467</v>
      </c>
      <c r="U273" s="86">
        <f t="shared" si="83"/>
        <v>15317.599999999999</v>
      </c>
      <c r="V273" s="93"/>
      <c r="W273" s="86">
        <f t="shared" si="84"/>
        <v>0</v>
      </c>
      <c r="X273" s="93">
        <v>430</v>
      </c>
      <c r="Y273" s="86">
        <f t="shared" si="85"/>
        <v>14903.8</v>
      </c>
      <c r="Z273" s="93">
        <v>306</v>
      </c>
      <c r="AA273" s="85">
        <f t="shared" si="86"/>
        <v>11031.3</v>
      </c>
      <c r="AB273" s="96"/>
      <c r="AC273" s="85">
        <f t="shared" si="80"/>
        <v>0</v>
      </c>
      <c r="AD273" s="91"/>
      <c r="AE273" s="85">
        <f t="shared" si="81"/>
        <v>0</v>
      </c>
      <c r="AF273" s="93"/>
      <c r="AG273" s="89">
        <f t="shared" si="82"/>
        <v>0</v>
      </c>
      <c r="AH273" s="91"/>
      <c r="AI273" s="85">
        <f t="shared" si="78"/>
        <v>0</v>
      </c>
      <c r="AJ273" s="91"/>
      <c r="AK273" s="85">
        <f t="shared" si="79"/>
        <v>0</v>
      </c>
      <c r="AL273" s="113">
        <f t="shared" si="76"/>
        <v>3273</v>
      </c>
      <c r="AM273" s="23">
        <f t="shared" si="77"/>
        <v>108561.99000000002</v>
      </c>
    </row>
    <row r="274" spans="1:39" x14ac:dyDescent="0.5">
      <c r="A274" s="16">
        <v>270</v>
      </c>
      <c r="B274" s="97" t="s">
        <v>1383</v>
      </c>
      <c r="C274" s="92" t="s">
        <v>1384</v>
      </c>
      <c r="D274" s="93"/>
      <c r="E274" s="85">
        <f t="shared" si="87"/>
        <v>0</v>
      </c>
      <c r="F274" s="94"/>
      <c r="G274" s="85">
        <f t="shared" si="88"/>
        <v>0</v>
      </c>
      <c r="H274" s="94"/>
      <c r="I274" s="85">
        <f t="shared" si="89"/>
        <v>0</v>
      </c>
      <c r="J274" s="17"/>
      <c r="K274" s="86">
        <f t="shared" si="90"/>
        <v>0</v>
      </c>
      <c r="L274" s="94"/>
      <c r="M274" s="86">
        <f t="shared" si="91"/>
        <v>0</v>
      </c>
      <c r="N274" s="93"/>
      <c r="O274" s="86">
        <f t="shared" si="92"/>
        <v>0</v>
      </c>
      <c r="P274" s="93"/>
      <c r="Q274" s="86">
        <f t="shared" si="93"/>
        <v>0</v>
      </c>
      <c r="R274" s="95"/>
      <c r="S274" s="86">
        <f t="shared" si="94"/>
        <v>0</v>
      </c>
      <c r="T274" s="93">
        <v>1281</v>
      </c>
      <c r="U274" s="86">
        <f t="shared" si="83"/>
        <v>42016.799999999996</v>
      </c>
      <c r="V274" s="93">
        <v>674</v>
      </c>
      <c r="W274" s="86">
        <f t="shared" si="84"/>
        <v>23691.1</v>
      </c>
      <c r="X274" s="93">
        <v>1648</v>
      </c>
      <c r="Y274" s="86">
        <f t="shared" si="85"/>
        <v>57119.679999999993</v>
      </c>
      <c r="Z274" s="93">
        <v>1690</v>
      </c>
      <c r="AA274" s="85">
        <f t="shared" si="86"/>
        <v>60924.499999999993</v>
      </c>
      <c r="AB274" s="96">
        <v>1795</v>
      </c>
      <c r="AC274" s="85">
        <f t="shared" si="80"/>
        <v>62896.799999999996</v>
      </c>
      <c r="AD274" s="91">
        <v>1997</v>
      </c>
      <c r="AE274" s="85">
        <f t="shared" si="81"/>
        <v>68257.460000000006</v>
      </c>
      <c r="AF274" s="93">
        <v>1775</v>
      </c>
      <c r="AG274" s="89">
        <f t="shared" si="82"/>
        <v>59107.499999999993</v>
      </c>
      <c r="AH274" s="91">
        <v>1882</v>
      </c>
      <c r="AI274" s="85">
        <f t="shared" si="78"/>
        <v>67657.900000000009</v>
      </c>
      <c r="AJ274" s="91">
        <v>1911</v>
      </c>
      <c r="AK274" s="85">
        <f t="shared" si="79"/>
        <v>70076.37000000001</v>
      </c>
      <c r="AL274" s="113">
        <f t="shared" si="76"/>
        <v>14653</v>
      </c>
      <c r="AM274" s="23">
        <f t="shared" si="77"/>
        <v>511748.11</v>
      </c>
    </row>
    <row r="275" spans="1:39" x14ac:dyDescent="0.5">
      <c r="A275" s="16">
        <v>271</v>
      </c>
      <c r="B275" s="97" t="s">
        <v>1385</v>
      </c>
      <c r="C275" s="92" t="s">
        <v>1386</v>
      </c>
      <c r="D275" s="93">
        <v>576</v>
      </c>
      <c r="E275" s="85">
        <f t="shared" si="87"/>
        <v>17925.12</v>
      </c>
      <c r="F275" s="94">
        <v>316</v>
      </c>
      <c r="G275" s="85">
        <f t="shared" si="88"/>
        <v>10241.56</v>
      </c>
      <c r="H275" s="94">
        <v>251</v>
      </c>
      <c r="I275" s="85">
        <f t="shared" si="89"/>
        <v>8285.51</v>
      </c>
      <c r="J275" s="17">
        <v>408</v>
      </c>
      <c r="K275" s="86">
        <f t="shared" si="90"/>
        <v>14328.96</v>
      </c>
      <c r="L275" s="94">
        <v>347</v>
      </c>
      <c r="M275" s="86">
        <f t="shared" si="91"/>
        <v>13272.75</v>
      </c>
      <c r="N275" s="93"/>
      <c r="O275" s="86">
        <f t="shared" si="92"/>
        <v>0</v>
      </c>
      <c r="P275" s="93">
        <v>412</v>
      </c>
      <c r="Q275" s="86">
        <f t="shared" si="93"/>
        <v>15944.400000000001</v>
      </c>
      <c r="R275" s="95">
        <v>360</v>
      </c>
      <c r="S275" s="86">
        <f t="shared" si="94"/>
        <v>12132.000000000002</v>
      </c>
      <c r="T275" s="93"/>
      <c r="U275" s="86">
        <f t="shared" si="83"/>
        <v>0</v>
      </c>
      <c r="V275" s="93">
        <v>402</v>
      </c>
      <c r="W275" s="86">
        <f t="shared" si="84"/>
        <v>14130.3</v>
      </c>
      <c r="X275" s="93">
        <v>350</v>
      </c>
      <c r="Y275" s="86">
        <f t="shared" si="85"/>
        <v>12130.999999999998</v>
      </c>
      <c r="Z275" s="93"/>
      <c r="AA275" s="85">
        <f t="shared" si="86"/>
        <v>0</v>
      </c>
      <c r="AB275" s="96">
        <v>458</v>
      </c>
      <c r="AC275" s="85">
        <f t="shared" si="80"/>
        <v>16048.32</v>
      </c>
      <c r="AD275" s="91">
        <v>695</v>
      </c>
      <c r="AE275" s="85">
        <f t="shared" si="81"/>
        <v>23755.1</v>
      </c>
      <c r="AF275" s="93">
        <v>500</v>
      </c>
      <c r="AG275" s="89">
        <f t="shared" si="82"/>
        <v>16650</v>
      </c>
      <c r="AH275" s="91">
        <v>559</v>
      </c>
      <c r="AI275" s="85">
        <f t="shared" si="78"/>
        <v>20096.050000000003</v>
      </c>
      <c r="AJ275" s="91">
        <v>559</v>
      </c>
      <c r="AK275" s="85">
        <f t="shared" si="79"/>
        <v>20498.530000000002</v>
      </c>
      <c r="AL275" s="113">
        <f t="shared" si="76"/>
        <v>6193</v>
      </c>
      <c r="AM275" s="23">
        <f t="shared" si="77"/>
        <v>215439.6</v>
      </c>
    </row>
    <row r="276" spans="1:39" s="114" customFormat="1" x14ac:dyDescent="0.5">
      <c r="A276" s="16">
        <v>272</v>
      </c>
      <c r="B276" s="97" t="s">
        <v>1387</v>
      </c>
      <c r="C276" s="92" t="s">
        <v>1388</v>
      </c>
      <c r="D276" s="93">
        <v>520</v>
      </c>
      <c r="E276" s="85">
        <f t="shared" si="87"/>
        <v>16182.4</v>
      </c>
      <c r="F276" s="94">
        <v>426</v>
      </c>
      <c r="G276" s="85">
        <f t="shared" si="88"/>
        <v>13806.659999999998</v>
      </c>
      <c r="H276" s="94"/>
      <c r="I276" s="85">
        <f t="shared" si="89"/>
        <v>0</v>
      </c>
      <c r="J276" s="17"/>
      <c r="K276" s="86">
        <f t="shared" si="90"/>
        <v>0</v>
      </c>
      <c r="L276" s="94"/>
      <c r="M276" s="86">
        <f t="shared" si="91"/>
        <v>0</v>
      </c>
      <c r="N276" s="93">
        <v>412</v>
      </c>
      <c r="O276" s="86">
        <f t="shared" si="92"/>
        <v>17304</v>
      </c>
      <c r="P276" s="93">
        <v>316</v>
      </c>
      <c r="Q276" s="86">
        <f t="shared" si="93"/>
        <v>12229.2</v>
      </c>
      <c r="R276" s="95"/>
      <c r="S276" s="86">
        <f t="shared" si="94"/>
        <v>0</v>
      </c>
      <c r="T276" s="93"/>
      <c r="U276" s="86">
        <f t="shared" si="83"/>
        <v>0</v>
      </c>
      <c r="V276" s="93"/>
      <c r="W276" s="86">
        <f t="shared" si="84"/>
        <v>0</v>
      </c>
      <c r="X276" s="93"/>
      <c r="Y276" s="86">
        <f t="shared" si="85"/>
        <v>0</v>
      </c>
      <c r="Z276" s="93"/>
      <c r="AA276" s="85">
        <f t="shared" si="86"/>
        <v>0</v>
      </c>
      <c r="AB276" s="96"/>
      <c r="AC276" s="85">
        <f t="shared" si="80"/>
        <v>0</v>
      </c>
      <c r="AD276" s="91"/>
      <c r="AE276" s="85">
        <f t="shared" si="81"/>
        <v>0</v>
      </c>
      <c r="AF276" s="93"/>
      <c r="AG276" s="89">
        <f t="shared" si="82"/>
        <v>0</v>
      </c>
      <c r="AH276" s="91"/>
      <c r="AI276" s="85">
        <f t="shared" si="78"/>
        <v>0</v>
      </c>
      <c r="AJ276" s="91"/>
      <c r="AK276" s="85">
        <f t="shared" si="79"/>
        <v>0</v>
      </c>
      <c r="AL276" s="113">
        <f t="shared" si="76"/>
        <v>1674</v>
      </c>
      <c r="AM276" s="23">
        <f t="shared" si="77"/>
        <v>59522.259999999995</v>
      </c>
    </row>
    <row r="277" spans="1:39" s="114" customFormat="1" x14ac:dyDescent="0.5">
      <c r="A277" s="16">
        <v>273</v>
      </c>
      <c r="B277" s="97" t="s">
        <v>1389</v>
      </c>
      <c r="C277" s="92" t="s">
        <v>1390</v>
      </c>
      <c r="D277" s="93">
        <v>412</v>
      </c>
      <c r="E277" s="85">
        <f t="shared" si="87"/>
        <v>12821.44</v>
      </c>
      <c r="F277" s="94"/>
      <c r="G277" s="85">
        <f t="shared" si="88"/>
        <v>0</v>
      </c>
      <c r="H277" s="94"/>
      <c r="I277" s="85">
        <f t="shared" si="89"/>
        <v>0</v>
      </c>
      <c r="J277" s="17"/>
      <c r="K277" s="86">
        <f t="shared" si="90"/>
        <v>0</v>
      </c>
      <c r="L277" s="94"/>
      <c r="M277" s="86">
        <f t="shared" si="91"/>
        <v>0</v>
      </c>
      <c r="N277" s="93"/>
      <c r="O277" s="86">
        <f t="shared" si="92"/>
        <v>0</v>
      </c>
      <c r="P277" s="93"/>
      <c r="Q277" s="86">
        <f t="shared" si="93"/>
        <v>0</v>
      </c>
      <c r="R277" s="95"/>
      <c r="S277" s="86">
        <f t="shared" si="94"/>
        <v>0</v>
      </c>
      <c r="T277" s="93"/>
      <c r="U277" s="86">
        <f t="shared" si="83"/>
        <v>0</v>
      </c>
      <c r="V277" s="93"/>
      <c r="W277" s="86">
        <f t="shared" si="84"/>
        <v>0</v>
      </c>
      <c r="X277" s="93"/>
      <c r="Y277" s="86">
        <f t="shared" si="85"/>
        <v>0</v>
      </c>
      <c r="Z277" s="93"/>
      <c r="AA277" s="85">
        <f t="shared" si="86"/>
        <v>0</v>
      </c>
      <c r="AB277" s="96"/>
      <c r="AC277" s="85">
        <f t="shared" si="80"/>
        <v>0</v>
      </c>
      <c r="AD277" s="91"/>
      <c r="AE277" s="85">
        <f t="shared" si="81"/>
        <v>0</v>
      </c>
      <c r="AF277" s="93"/>
      <c r="AG277" s="89">
        <f t="shared" si="82"/>
        <v>0</v>
      </c>
      <c r="AH277" s="91"/>
      <c r="AI277" s="85">
        <f t="shared" si="78"/>
        <v>0</v>
      </c>
      <c r="AJ277" s="91"/>
      <c r="AK277" s="85">
        <f t="shared" si="79"/>
        <v>0</v>
      </c>
      <c r="AL277" s="113">
        <f t="shared" si="76"/>
        <v>412</v>
      </c>
      <c r="AM277" s="23">
        <f t="shared" si="77"/>
        <v>12821.44</v>
      </c>
    </row>
    <row r="278" spans="1:39" s="114" customFormat="1" x14ac:dyDescent="0.5">
      <c r="A278" s="16">
        <v>274</v>
      </c>
      <c r="B278" s="97" t="s">
        <v>1391</v>
      </c>
      <c r="C278" s="92" t="s">
        <v>1392</v>
      </c>
      <c r="D278" s="93"/>
      <c r="E278" s="85">
        <f t="shared" si="87"/>
        <v>0</v>
      </c>
      <c r="F278" s="94"/>
      <c r="G278" s="85">
        <f t="shared" si="88"/>
        <v>0</v>
      </c>
      <c r="H278" s="94"/>
      <c r="I278" s="85">
        <f t="shared" si="89"/>
        <v>0</v>
      </c>
      <c r="J278" s="17"/>
      <c r="K278" s="86">
        <f t="shared" si="90"/>
        <v>0</v>
      </c>
      <c r="L278" s="94"/>
      <c r="M278" s="86">
        <f t="shared" si="91"/>
        <v>0</v>
      </c>
      <c r="N278" s="93"/>
      <c r="O278" s="86">
        <f t="shared" si="92"/>
        <v>0</v>
      </c>
      <c r="P278" s="93">
        <v>160</v>
      </c>
      <c r="Q278" s="86">
        <f t="shared" si="93"/>
        <v>6192</v>
      </c>
      <c r="R278" s="95">
        <v>166</v>
      </c>
      <c r="S278" s="86">
        <f t="shared" si="94"/>
        <v>5594.2000000000007</v>
      </c>
      <c r="T278" s="93"/>
      <c r="U278" s="86">
        <f t="shared" si="83"/>
        <v>0</v>
      </c>
      <c r="V278" s="93"/>
      <c r="W278" s="86">
        <f t="shared" si="84"/>
        <v>0</v>
      </c>
      <c r="X278" s="93"/>
      <c r="Y278" s="86">
        <f t="shared" si="85"/>
        <v>0</v>
      </c>
      <c r="Z278" s="93"/>
      <c r="AA278" s="85">
        <f t="shared" si="86"/>
        <v>0</v>
      </c>
      <c r="AB278" s="96"/>
      <c r="AC278" s="85">
        <f t="shared" si="80"/>
        <v>0</v>
      </c>
      <c r="AD278" s="91"/>
      <c r="AE278" s="85">
        <f t="shared" si="81"/>
        <v>0</v>
      </c>
      <c r="AF278" s="93"/>
      <c r="AG278" s="89">
        <f t="shared" si="82"/>
        <v>0</v>
      </c>
      <c r="AH278" s="91"/>
      <c r="AI278" s="85">
        <f t="shared" si="78"/>
        <v>0</v>
      </c>
      <c r="AJ278" s="91"/>
      <c r="AK278" s="85">
        <f t="shared" si="79"/>
        <v>0</v>
      </c>
      <c r="AL278" s="113">
        <f t="shared" si="76"/>
        <v>326</v>
      </c>
      <c r="AM278" s="23">
        <f t="shared" si="77"/>
        <v>11786.2</v>
      </c>
    </row>
    <row r="279" spans="1:39" x14ac:dyDescent="0.5">
      <c r="A279" s="16">
        <v>275</v>
      </c>
      <c r="B279" s="97" t="s">
        <v>1393</v>
      </c>
      <c r="C279" s="92" t="s">
        <v>1394</v>
      </c>
      <c r="D279" s="93"/>
      <c r="E279" s="85">
        <f t="shared" si="87"/>
        <v>0</v>
      </c>
      <c r="F279" s="94"/>
      <c r="G279" s="85">
        <f t="shared" si="88"/>
        <v>0</v>
      </c>
      <c r="H279" s="94"/>
      <c r="I279" s="85">
        <f t="shared" si="89"/>
        <v>0</v>
      </c>
      <c r="J279" s="17"/>
      <c r="K279" s="86">
        <f t="shared" si="90"/>
        <v>0</v>
      </c>
      <c r="L279" s="94"/>
      <c r="M279" s="86">
        <f t="shared" si="91"/>
        <v>0</v>
      </c>
      <c r="N279" s="93"/>
      <c r="O279" s="86">
        <f t="shared" si="92"/>
        <v>0</v>
      </c>
      <c r="P279" s="93"/>
      <c r="Q279" s="86">
        <f t="shared" si="93"/>
        <v>0</v>
      </c>
      <c r="R279" s="95">
        <v>735</v>
      </c>
      <c r="S279" s="86">
        <f t="shared" si="94"/>
        <v>24769.500000000004</v>
      </c>
      <c r="T279" s="93">
        <v>808</v>
      </c>
      <c r="U279" s="86">
        <f t="shared" si="83"/>
        <v>26502.399999999998</v>
      </c>
      <c r="V279" s="93">
        <v>977</v>
      </c>
      <c r="W279" s="86">
        <f t="shared" si="84"/>
        <v>34341.549999999996</v>
      </c>
      <c r="X279" s="93">
        <v>705</v>
      </c>
      <c r="Y279" s="86">
        <f t="shared" si="85"/>
        <v>24435.3</v>
      </c>
      <c r="Z279" s="93">
        <v>574</v>
      </c>
      <c r="AA279" s="85">
        <f t="shared" si="86"/>
        <v>20692.699999999997</v>
      </c>
      <c r="AB279" s="96"/>
      <c r="AC279" s="85">
        <f t="shared" si="80"/>
        <v>0</v>
      </c>
      <c r="AD279" s="91">
        <v>955</v>
      </c>
      <c r="AE279" s="85">
        <f t="shared" si="81"/>
        <v>32641.9</v>
      </c>
      <c r="AF279" s="93">
        <v>1045</v>
      </c>
      <c r="AG279" s="89">
        <f t="shared" si="82"/>
        <v>34798.5</v>
      </c>
      <c r="AH279" s="91">
        <v>993</v>
      </c>
      <c r="AI279" s="85">
        <f t="shared" si="78"/>
        <v>35698.350000000006</v>
      </c>
      <c r="AJ279" s="91"/>
      <c r="AK279" s="85">
        <f t="shared" si="79"/>
        <v>0</v>
      </c>
      <c r="AL279" s="113">
        <f t="shared" si="76"/>
        <v>6792</v>
      </c>
      <c r="AM279" s="23">
        <f t="shared" si="77"/>
        <v>233880.2</v>
      </c>
    </row>
    <row r="280" spans="1:39" s="114" customFormat="1" x14ac:dyDescent="0.5">
      <c r="A280" s="16">
        <v>276</v>
      </c>
      <c r="B280" s="97" t="s">
        <v>1395</v>
      </c>
      <c r="C280" s="92" t="s">
        <v>1257</v>
      </c>
      <c r="D280" s="93"/>
      <c r="E280" s="85">
        <f t="shared" si="87"/>
        <v>0</v>
      </c>
      <c r="F280" s="94">
        <v>257</v>
      </c>
      <c r="G280" s="85">
        <f t="shared" si="88"/>
        <v>8329.369999999999</v>
      </c>
      <c r="H280" s="94"/>
      <c r="I280" s="85">
        <f t="shared" si="89"/>
        <v>0</v>
      </c>
      <c r="J280" s="17"/>
      <c r="K280" s="86">
        <f t="shared" si="90"/>
        <v>0</v>
      </c>
      <c r="L280" s="94"/>
      <c r="M280" s="86">
        <f t="shared" si="91"/>
        <v>0</v>
      </c>
      <c r="N280" s="93"/>
      <c r="O280" s="86">
        <f t="shared" si="92"/>
        <v>0</v>
      </c>
      <c r="P280" s="93"/>
      <c r="Q280" s="86">
        <f t="shared" si="93"/>
        <v>0</v>
      </c>
      <c r="R280" s="95"/>
      <c r="S280" s="86">
        <f t="shared" si="94"/>
        <v>0</v>
      </c>
      <c r="T280" s="93"/>
      <c r="U280" s="86">
        <f t="shared" si="83"/>
        <v>0</v>
      </c>
      <c r="V280" s="93"/>
      <c r="W280" s="86">
        <f t="shared" si="84"/>
        <v>0</v>
      </c>
      <c r="X280" s="93"/>
      <c r="Y280" s="86">
        <f t="shared" si="85"/>
        <v>0</v>
      </c>
      <c r="Z280" s="93"/>
      <c r="AA280" s="85">
        <f t="shared" si="86"/>
        <v>0</v>
      </c>
      <c r="AB280" s="96"/>
      <c r="AC280" s="85">
        <f t="shared" si="80"/>
        <v>0</v>
      </c>
      <c r="AD280" s="91"/>
      <c r="AE280" s="85">
        <f t="shared" si="81"/>
        <v>0</v>
      </c>
      <c r="AF280" s="93"/>
      <c r="AG280" s="89">
        <f t="shared" si="82"/>
        <v>0</v>
      </c>
      <c r="AH280" s="91"/>
      <c r="AI280" s="85">
        <f t="shared" si="78"/>
        <v>0</v>
      </c>
      <c r="AJ280" s="91"/>
      <c r="AK280" s="85">
        <f t="shared" si="79"/>
        <v>0</v>
      </c>
      <c r="AL280" s="113">
        <f t="shared" si="76"/>
        <v>257</v>
      </c>
      <c r="AM280" s="23">
        <f t="shared" si="77"/>
        <v>8329.369999999999</v>
      </c>
    </row>
    <row r="281" spans="1:39" s="114" customFormat="1" x14ac:dyDescent="0.5">
      <c r="A281" s="16">
        <v>277</v>
      </c>
      <c r="B281" s="97" t="s">
        <v>1396</v>
      </c>
      <c r="C281" s="92" t="s">
        <v>1397</v>
      </c>
      <c r="D281" s="93"/>
      <c r="E281" s="85">
        <f t="shared" si="87"/>
        <v>0</v>
      </c>
      <c r="F281" s="94"/>
      <c r="G281" s="85">
        <f t="shared" si="88"/>
        <v>0</v>
      </c>
      <c r="H281" s="94"/>
      <c r="I281" s="85">
        <f t="shared" si="89"/>
        <v>0</v>
      </c>
      <c r="J281" s="17"/>
      <c r="K281" s="86">
        <f t="shared" si="90"/>
        <v>0</v>
      </c>
      <c r="L281" s="94"/>
      <c r="M281" s="86">
        <f t="shared" si="91"/>
        <v>0</v>
      </c>
      <c r="N281" s="93"/>
      <c r="O281" s="86">
        <f t="shared" si="92"/>
        <v>0</v>
      </c>
      <c r="P281" s="93">
        <v>97</v>
      </c>
      <c r="Q281" s="86">
        <f t="shared" si="93"/>
        <v>3753.9</v>
      </c>
      <c r="R281" s="95">
        <v>323</v>
      </c>
      <c r="S281" s="86">
        <f t="shared" si="94"/>
        <v>10885.1</v>
      </c>
      <c r="T281" s="93"/>
      <c r="U281" s="86">
        <f t="shared" si="83"/>
        <v>0</v>
      </c>
      <c r="V281" s="93"/>
      <c r="W281" s="86">
        <f t="shared" si="84"/>
        <v>0</v>
      </c>
      <c r="X281" s="93"/>
      <c r="Y281" s="86">
        <f t="shared" si="85"/>
        <v>0</v>
      </c>
      <c r="Z281" s="93"/>
      <c r="AA281" s="85">
        <f t="shared" si="86"/>
        <v>0</v>
      </c>
      <c r="AB281" s="96"/>
      <c r="AC281" s="85">
        <f t="shared" si="80"/>
        <v>0</v>
      </c>
      <c r="AD281" s="91"/>
      <c r="AE281" s="85">
        <f t="shared" si="81"/>
        <v>0</v>
      </c>
      <c r="AF281" s="93"/>
      <c r="AG281" s="89">
        <f t="shared" si="82"/>
        <v>0</v>
      </c>
      <c r="AH281" s="91"/>
      <c r="AI281" s="85">
        <f t="shared" si="78"/>
        <v>0</v>
      </c>
      <c r="AJ281" s="91"/>
      <c r="AK281" s="85">
        <f t="shared" si="79"/>
        <v>0</v>
      </c>
      <c r="AL281" s="113">
        <f t="shared" si="76"/>
        <v>420</v>
      </c>
      <c r="AM281" s="23">
        <f t="shared" si="77"/>
        <v>14639</v>
      </c>
    </row>
    <row r="282" spans="1:39" s="114" customFormat="1" x14ac:dyDescent="0.5">
      <c r="A282" s="16">
        <v>278</v>
      </c>
      <c r="B282" s="97" t="s">
        <v>1398</v>
      </c>
      <c r="C282" s="92" t="s">
        <v>1399</v>
      </c>
      <c r="D282" s="93"/>
      <c r="E282" s="85">
        <f t="shared" si="87"/>
        <v>0</v>
      </c>
      <c r="F282" s="94">
        <v>160</v>
      </c>
      <c r="G282" s="85">
        <f t="shared" si="88"/>
        <v>5185.5999999999995</v>
      </c>
      <c r="H282" s="94"/>
      <c r="I282" s="85">
        <f t="shared" si="89"/>
        <v>0</v>
      </c>
      <c r="J282" s="17"/>
      <c r="K282" s="86">
        <f t="shared" si="90"/>
        <v>0</v>
      </c>
      <c r="L282" s="94"/>
      <c r="M282" s="86">
        <f t="shared" si="91"/>
        <v>0</v>
      </c>
      <c r="N282" s="93"/>
      <c r="O282" s="86">
        <f t="shared" si="92"/>
        <v>0</v>
      </c>
      <c r="P282" s="93"/>
      <c r="Q282" s="86">
        <f t="shared" si="93"/>
        <v>0</v>
      </c>
      <c r="R282" s="95"/>
      <c r="S282" s="86">
        <f t="shared" si="94"/>
        <v>0</v>
      </c>
      <c r="T282" s="93"/>
      <c r="U282" s="86">
        <f t="shared" si="83"/>
        <v>0</v>
      </c>
      <c r="V282" s="93"/>
      <c r="W282" s="86">
        <f t="shared" si="84"/>
        <v>0</v>
      </c>
      <c r="X282" s="93"/>
      <c r="Y282" s="86">
        <f t="shared" si="85"/>
        <v>0</v>
      </c>
      <c r="Z282" s="93"/>
      <c r="AA282" s="85">
        <f t="shared" si="86"/>
        <v>0</v>
      </c>
      <c r="AB282" s="96"/>
      <c r="AC282" s="85">
        <f t="shared" si="80"/>
        <v>0</v>
      </c>
      <c r="AD282" s="91"/>
      <c r="AE282" s="85">
        <f t="shared" si="81"/>
        <v>0</v>
      </c>
      <c r="AF282" s="93"/>
      <c r="AG282" s="89">
        <f t="shared" si="82"/>
        <v>0</v>
      </c>
      <c r="AH282" s="91"/>
      <c r="AI282" s="85">
        <f t="shared" si="78"/>
        <v>0</v>
      </c>
      <c r="AJ282" s="91"/>
      <c r="AK282" s="85">
        <f t="shared" si="79"/>
        <v>0</v>
      </c>
      <c r="AL282" s="113">
        <f t="shared" si="76"/>
        <v>160</v>
      </c>
      <c r="AM282" s="23">
        <f t="shared" si="77"/>
        <v>5185.5999999999995</v>
      </c>
    </row>
    <row r="283" spans="1:39" s="114" customFormat="1" x14ac:dyDescent="0.5">
      <c r="A283" s="16">
        <v>279</v>
      </c>
      <c r="B283" s="97" t="s">
        <v>1400</v>
      </c>
      <c r="C283" s="92" t="s">
        <v>1401</v>
      </c>
      <c r="D283" s="93">
        <v>1640</v>
      </c>
      <c r="E283" s="85">
        <f t="shared" si="87"/>
        <v>51036.800000000003</v>
      </c>
      <c r="F283" s="94">
        <v>1005</v>
      </c>
      <c r="G283" s="85">
        <f t="shared" si="88"/>
        <v>32572.049999999996</v>
      </c>
      <c r="H283" s="94">
        <v>857</v>
      </c>
      <c r="I283" s="85">
        <f t="shared" si="89"/>
        <v>28289.57</v>
      </c>
      <c r="J283" s="17">
        <v>505</v>
      </c>
      <c r="K283" s="86">
        <f t="shared" si="90"/>
        <v>17735.599999999999</v>
      </c>
      <c r="L283" s="94">
        <v>675</v>
      </c>
      <c r="M283" s="86">
        <f t="shared" si="91"/>
        <v>25818.75</v>
      </c>
      <c r="N283" s="93">
        <v>1315</v>
      </c>
      <c r="O283" s="86">
        <f t="shared" si="92"/>
        <v>55230</v>
      </c>
      <c r="P283" s="93">
        <v>1139</v>
      </c>
      <c r="Q283" s="86">
        <f t="shared" si="93"/>
        <v>44079.3</v>
      </c>
      <c r="R283" s="95">
        <v>1358</v>
      </c>
      <c r="S283" s="86">
        <f t="shared" si="94"/>
        <v>45764.600000000006</v>
      </c>
      <c r="T283" s="93">
        <v>1214</v>
      </c>
      <c r="U283" s="86">
        <f t="shared" si="83"/>
        <v>39819.199999999997</v>
      </c>
      <c r="V283" s="93">
        <v>1462</v>
      </c>
      <c r="W283" s="86">
        <f t="shared" si="84"/>
        <v>51389.299999999996</v>
      </c>
      <c r="X283" s="93">
        <v>904</v>
      </c>
      <c r="Y283" s="86">
        <f t="shared" si="85"/>
        <v>31332.639999999996</v>
      </c>
      <c r="Z283" s="93"/>
      <c r="AA283" s="85">
        <f t="shared" si="86"/>
        <v>0</v>
      </c>
      <c r="AB283" s="96">
        <v>1541</v>
      </c>
      <c r="AC283" s="85">
        <f t="shared" si="80"/>
        <v>53996.639999999999</v>
      </c>
      <c r="AD283" s="91">
        <v>1400</v>
      </c>
      <c r="AE283" s="85">
        <f t="shared" si="81"/>
        <v>47852</v>
      </c>
      <c r="AF283" s="93"/>
      <c r="AG283" s="89">
        <f t="shared" si="82"/>
        <v>0</v>
      </c>
      <c r="AH283" s="91"/>
      <c r="AI283" s="85">
        <f t="shared" si="78"/>
        <v>0</v>
      </c>
      <c r="AJ283" s="91"/>
      <c r="AK283" s="85">
        <f t="shared" si="79"/>
        <v>0</v>
      </c>
      <c r="AL283" s="113">
        <f t="shared" si="76"/>
        <v>15015</v>
      </c>
      <c r="AM283" s="23">
        <f t="shared" si="77"/>
        <v>524916.45000000007</v>
      </c>
    </row>
    <row r="284" spans="1:39" s="114" customFormat="1" x14ac:dyDescent="0.5">
      <c r="A284" s="16">
        <v>280</v>
      </c>
      <c r="B284" s="97" t="s">
        <v>1402</v>
      </c>
      <c r="C284" s="92" t="s">
        <v>1403</v>
      </c>
      <c r="D284" s="93"/>
      <c r="E284" s="85">
        <f t="shared" si="87"/>
        <v>0</v>
      </c>
      <c r="F284" s="94"/>
      <c r="G284" s="85">
        <f t="shared" si="88"/>
        <v>0</v>
      </c>
      <c r="H284" s="94"/>
      <c r="I284" s="85">
        <f t="shared" si="89"/>
        <v>0</v>
      </c>
      <c r="J284" s="17"/>
      <c r="K284" s="86">
        <f t="shared" si="90"/>
        <v>0</v>
      </c>
      <c r="L284" s="94"/>
      <c r="M284" s="86">
        <f t="shared" si="91"/>
        <v>0</v>
      </c>
      <c r="N284" s="93"/>
      <c r="O284" s="86">
        <f t="shared" si="92"/>
        <v>0</v>
      </c>
      <c r="P284" s="93"/>
      <c r="Q284" s="86">
        <f t="shared" si="93"/>
        <v>0</v>
      </c>
      <c r="R284" s="95">
        <v>625</v>
      </c>
      <c r="S284" s="86">
        <f t="shared" si="94"/>
        <v>21062.5</v>
      </c>
      <c r="T284" s="93">
        <v>607</v>
      </c>
      <c r="U284" s="86">
        <f t="shared" si="83"/>
        <v>19909.599999999999</v>
      </c>
      <c r="V284" s="93"/>
      <c r="W284" s="86">
        <f t="shared" si="84"/>
        <v>0</v>
      </c>
      <c r="X284" s="93"/>
      <c r="Y284" s="86">
        <f t="shared" si="85"/>
        <v>0</v>
      </c>
      <c r="Z284" s="93"/>
      <c r="AA284" s="85">
        <f t="shared" si="86"/>
        <v>0</v>
      </c>
      <c r="AB284" s="96"/>
      <c r="AC284" s="85">
        <f t="shared" si="80"/>
        <v>0</v>
      </c>
      <c r="AD284" s="91"/>
      <c r="AE284" s="85">
        <f t="shared" si="81"/>
        <v>0</v>
      </c>
      <c r="AF284" s="93"/>
      <c r="AG284" s="89">
        <f t="shared" si="82"/>
        <v>0</v>
      </c>
      <c r="AH284" s="91"/>
      <c r="AI284" s="85">
        <f t="shared" si="78"/>
        <v>0</v>
      </c>
      <c r="AJ284" s="91"/>
      <c r="AK284" s="85">
        <f t="shared" si="79"/>
        <v>0</v>
      </c>
      <c r="AL284" s="113">
        <f t="shared" si="76"/>
        <v>1232</v>
      </c>
      <c r="AM284" s="23">
        <f t="shared" si="77"/>
        <v>40972.1</v>
      </c>
    </row>
    <row r="285" spans="1:39" s="114" customFormat="1" x14ac:dyDescent="0.5">
      <c r="A285" s="16">
        <v>281</v>
      </c>
      <c r="B285" s="97" t="s">
        <v>621</v>
      </c>
      <c r="C285" s="92" t="s">
        <v>1404</v>
      </c>
      <c r="D285" s="93"/>
      <c r="E285" s="85">
        <f t="shared" si="87"/>
        <v>0</v>
      </c>
      <c r="F285" s="94"/>
      <c r="G285" s="85">
        <f t="shared" si="88"/>
        <v>0</v>
      </c>
      <c r="H285" s="94"/>
      <c r="I285" s="85">
        <f t="shared" si="89"/>
        <v>0</v>
      </c>
      <c r="J285" s="17"/>
      <c r="K285" s="86">
        <f t="shared" si="90"/>
        <v>0</v>
      </c>
      <c r="L285" s="94">
        <v>505</v>
      </c>
      <c r="M285" s="86">
        <f t="shared" si="91"/>
        <v>19316.25</v>
      </c>
      <c r="N285" s="93">
        <v>636</v>
      </c>
      <c r="O285" s="86">
        <f t="shared" si="92"/>
        <v>26712</v>
      </c>
      <c r="P285" s="93">
        <v>565</v>
      </c>
      <c r="Q285" s="86">
        <f t="shared" si="93"/>
        <v>21865.5</v>
      </c>
      <c r="R285" s="95">
        <v>1408</v>
      </c>
      <c r="S285" s="86">
        <f t="shared" si="94"/>
        <v>47449.600000000006</v>
      </c>
      <c r="T285" s="93">
        <v>1024</v>
      </c>
      <c r="U285" s="86">
        <f t="shared" si="83"/>
        <v>33587.199999999997</v>
      </c>
      <c r="V285" s="93">
        <v>1110</v>
      </c>
      <c r="W285" s="86">
        <f t="shared" si="84"/>
        <v>39016.5</v>
      </c>
      <c r="X285" s="93">
        <v>1098</v>
      </c>
      <c r="Y285" s="86">
        <f t="shared" si="85"/>
        <v>38056.679999999993</v>
      </c>
      <c r="Z285" s="93"/>
      <c r="AA285" s="85">
        <f t="shared" si="86"/>
        <v>0</v>
      </c>
      <c r="AB285" s="96"/>
      <c r="AC285" s="85">
        <f t="shared" si="80"/>
        <v>0</v>
      </c>
      <c r="AD285" s="91"/>
      <c r="AE285" s="85">
        <f t="shared" si="81"/>
        <v>0</v>
      </c>
      <c r="AF285" s="93"/>
      <c r="AG285" s="89">
        <f t="shared" si="82"/>
        <v>0</v>
      </c>
      <c r="AH285" s="91"/>
      <c r="AI285" s="85">
        <f t="shared" si="78"/>
        <v>0</v>
      </c>
      <c r="AJ285" s="91"/>
      <c r="AK285" s="85">
        <f t="shared" si="79"/>
        <v>0</v>
      </c>
      <c r="AL285" s="113">
        <f t="shared" si="76"/>
        <v>6346</v>
      </c>
      <c r="AM285" s="23">
        <f t="shared" si="77"/>
        <v>226003.72999999998</v>
      </c>
    </row>
    <row r="286" spans="1:39" x14ac:dyDescent="0.5">
      <c r="A286" s="16">
        <v>282</v>
      </c>
      <c r="B286" s="97" t="s">
        <v>1405</v>
      </c>
      <c r="C286" s="92" t="s">
        <v>1406</v>
      </c>
      <c r="D286" s="93"/>
      <c r="E286" s="85">
        <f t="shared" si="87"/>
        <v>0</v>
      </c>
      <c r="F286" s="94"/>
      <c r="G286" s="85">
        <f t="shared" si="88"/>
        <v>0</v>
      </c>
      <c r="H286" s="94"/>
      <c r="I286" s="85">
        <f t="shared" si="89"/>
        <v>0</v>
      </c>
      <c r="J286" s="17"/>
      <c r="K286" s="86">
        <f t="shared" si="90"/>
        <v>0</v>
      </c>
      <c r="L286" s="94"/>
      <c r="M286" s="86">
        <f t="shared" si="91"/>
        <v>0</v>
      </c>
      <c r="N286" s="93"/>
      <c r="O286" s="86">
        <f t="shared" si="92"/>
        <v>0</v>
      </c>
      <c r="P286" s="93"/>
      <c r="Q286" s="86">
        <f t="shared" si="93"/>
        <v>0</v>
      </c>
      <c r="R286" s="95">
        <v>1183</v>
      </c>
      <c r="S286" s="86">
        <f t="shared" si="94"/>
        <v>39867.100000000006</v>
      </c>
      <c r="T286" s="93">
        <v>744</v>
      </c>
      <c r="U286" s="86">
        <f t="shared" si="83"/>
        <v>24403.199999999997</v>
      </c>
      <c r="V286" s="93">
        <v>734</v>
      </c>
      <c r="W286" s="86">
        <f t="shared" si="84"/>
        <v>25800.1</v>
      </c>
      <c r="X286" s="93">
        <v>824</v>
      </c>
      <c r="Y286" s="86">
        <f t="shared" si="85"/>
        <v>28559.839999999997</v>
      </c>
      <c r="Z286" s="93">
        <v>508</v>
      </c>
      <c r="AA286" s="85">
        <f t="shared" si="86"/>
        <v>18313.399999999998</v>
      </c>
      <c r="AB286" s="96">
        <v>769</v>
      </c>
      <c r="AC286" s="85">
        <f t="shared" si="80"/>
        <v>26945.759999999998</v>
      </c>
      <c r="AD286" s="91">
        <v>879</v>
      </c>
      <c r="AE286" s="85">
        <f t="shared" si="81"/>
        <v>30044.22</v>
      </c>
      <c r="AF286" s="93">
        <v>655</v>
      </c>
      <c r="AG286" s="89">
        <f t="shared" si="82"/>
        <v>21811.499999999996</v>
      </c>
      <c r="AH286" s="91">
        <v>638</v>
      </c>
      <c r="AI286" s="85">
        <f t="shared" si="78"/>
        <v>22936.100000000002</v>
      </c>
      <c r="AJ286" s="91">
        <v>829</v>
      </c>
      <c r="AK286" s="85">
        <f t="shared" si="79"/>
        <v>30399.43</v>
      </c>
      <c r="AL286" s="113">
        <f t="shared" si="76"/>
        <v>7763</v>
      </c>
      <c r="AM286" s="23">
        <f t="shared" si="77"/>
        <v>269080.65000000002</v>
      </c>
    </row>
    <row r="287" spans="1:39" s="114" customFormat="1" x14ac:dyDescent="0.5">
      <c r="A287" s="16">
        <v>283</v>
      </c>
      <c r="B287" s="97" t="s">
        <v>1407</v>
      </c>
      <c r="C287" s="92" t="s">
        <v>1408</v>
      </c>
      <c r="D287" s="93"/>
      <c r="E287" s="85">
        <f t="shared" si="87"/>
        <v>0</v>
      </c>
      <c r="F287" s="94"/>
      <c r="G287" s="85">
        <f t="shared" si="88"/>
        <v>0</v>
      </c>
      <c r="H287" s="94"/>
      <c r="I287" s="85">
        <f t="shared" si="89"/>
        <v>0</v>
      </c>
      <c r="J287" s="17"/>
      <c r="K287" s="86">
        <f t="shared" si="90"/>
        <v>0</v>
      </c>
      <c r="L287" s="94"/>
      <c r="M287" s="86">
        <f t="shared" si="91"/>
        <v>0</v>
      </c>
      <c r="N287" s="93"/>
      <c r="O287" s="86">
        <f t="shared" si="92"/>
        <v>0</v>
      </c>
      <c r="P287" s="93">
        <v>423</v>
      </c>
      <c r="Q287" s="86">
        <f t="shared" si="93"/>
        <v>16370.1</v>
      </c>
      <c r="R287" s="95"/>
      <c r="S287" s="86">
        <f t="shared" si="94"/>
        <v>0</v>
      </c>
      <c r="T287" s="93"/>
      <c r="U287" s="86">
        <f t="shared" si="83"/>
        <v>0</v>
      </c>
      <c r="V287" s="93"/>
      <c r="W287" s="86">
        <f t="shared" si="84"/>
        <v>0</v>
      </c>
      <c r="X287" s="93"/>
      <c r="Y287" s="86">
        <f t="shared" si="85"/>
        <v>0</v>
      </c>
      <c r="Z287" s="93"/>
      <c r="AA287" s="85">
        <f t="shared" si="86"/>
        <v>0</v>
      </c>
      <c r="AB287" s="96"/>
      <c r="AC287" s="85">
        <f t="shared" si="80"/>
        <v>0</v>
      </c>
      <c r="AD287" s="91"/>
      <c r="AE287" s="85">
        <f t="shared" si="81"/>
        <v>0</v>
      </c>
      <c r="AF287" s="93"/>
      <c r="AG287" s="89">
        <f t="shared" si="82"/>
        <v>0</v>
      </c>
      <c r="AH287" s="91"/>
      <c r="AI287" s="85">
        <f t="shared" si="78"/>
        <v>0</v>
      </c>
      <c r="AJ287" s="91"/>
      <c r="AK287" s="85">
        <f t="shared" si="79"/>
        <v>0</v>
      </c>
      <c r="AL287" s="113">
        <f t="shared" si="76"/>
        <v>423</v>
      </c>
      <c r="AM287" s="23">
        <f t="shared" si="77"/>
        <v>16370.1</v>
      </c>
    </row>
    <row r="288" spans="1:39" x14ac:dyDescent="0.5">
      <c r="A288" s="16">
        <v>284</v>
      </c>
      <c r="B288" s="97" t="s">
        <v>1409</v>
      </c>
      <c r="C288" s="92" t="s">
        <v>1410</v>
      </c>
      <c r="D288" s="93">
        <v>504</v>
      </c>
      <c r="E288" s="85">
        <f t="shared" si="87"/>
        <v>15684.480000000001</v>
      </c>
      <c r="F288" s="94"/>
      <c r="G288" s="85">
        <f t="shared" si="88"/>
        <v>0</v>
      </c>
      <c r="H288" s="94">
        <v>222</v>
      </c>
      <c r="I288" s="85">
        <f t="shared" si="89"/>
        <v>7328.2199999999993</v>
      </c>
      <c r="J288" s="17"/>
      <c r="K288" s="86">
        <f t="shared" si="90"/>
        <v>0</v>
      </c>
      <c r="L288" s="94"/>
      <c r="M288" s="86">
        <f t="shared" si="91"/>
        <v>0</v>
      </c>
      <c r="N288" s="93">
        <v>308</v>
      </c>
      <c r="O288" s="86">
        <f t="shared" si="92"/>
        <v>12936</v>
      </c>
      <c r="P288" s="93">
        <v>414</v>
      </c>
      <c r="Q288" s="86">
        <f t="shared" si="93"/>
        <v>16021.800000000001</v>
      </c>
      <c r="R288" s="95">
        <v>364</v>
      </c>
      <c r="S288" s="86">
        <f t="shared" si="94"/>
        <v>12266.800000000001</v>
      </c>
      <c r="T288" s="93">
        <v>294</v>
      </c>
      <c r="U288" s="86">
        <f t="shared" si="83"/>
        <v>9643.1999999999989</v>
      </c>
      <c r="V288" s="93">
        <v>402</v>
      </c>
      <c r="W288" s="86">
        <f t="shared" si="84"/>
        <v>14130.3</v>
      </c>
      <c r="X288" s="93">
        <v>324</v>
      </c>
      <c r="Y288" s="86">
        <f t="shared" si="85"/>
        <v>11229.839999999998</v>
      </c>
      <c r="Z288" s="93">
        <v>277</v>
      </c>
      <c r="AA288" s="85">
        <f t="shared" si="86"/>
        <v>9985.8499999999985</v>
      </c>
      <c r="AB288" s="96">
        <v>353</v>
      </c>
      <c r="AC288" s="85">
        <f t="shared" si="80"/>
        <v>12369.119999999999</v>
      </c>
      <c r="AD288" s="91">
        <v>408</v>
      </c>
      <c r="AE288" s="85">
        <f t="shared" si="81"/>
        <v>13945.44</v>
      </c>
      <c r="AF288" s="93">
        <v>238</v>
      </c>
      <c r="AG288" s="89">
        <f t="shared" si="82"/>
        <v>7925.4</v>
      </c>
      <c r="AH288" s="91">
        <v>375</v>
      </c>
      <c r="AI288" s="85">
        <f t="shared" si="78"/>
        <v>13481.250000000002</v>
      </c>
      <c r="AJ288" s="91">
        <v>357</v>
      </c>
      <c r="AK288" s="85">
        <f t="shared" si="79"/>
        <v>13091.19</v>
      </c>
      <c r="AL288" s="113">
        <f t="shared" si="76"/>
        <v>4840</v>
      </c>
      <c r="AM288" s="23">
        <f t="shared" si="77"/>
        <v>170038.88999999998</v>
      </c>
    </row>
    <row r="289" spans="1:39" x14ac:dyDescent="0.5">
      <c r="A289" s="16">
        <v>285</v>
      </c>
      <c r="B289" s="97" t="s">
        <v>1411</v>
      </c>
      <c r="C289" s="92" t="s">
        <v>1412</v>
      </c>
      <c r="D289" s="93"/>
      <c r="E289" s="85">
        <f t="shared" si="87"/>
        <v>0</v>
      </c>
      <c r="F289" s="94"/>
      <c r="G289" s="85">
        <f t="shared" si="88"/>
        <v>0</v>
      </c>
      <c r="H289" s="94"/>
      <c r="I289" s="85">
        <f t="shared" si="89"/>
        <v>0</v>
      </c>
      <c r="J289" s="17"/>
      <c r="K289" s="86">
        <f t="shared" si="90"/>
        <v>0</v>
      </c>
      <c r="L289" s="94"/>
      <c r="M289" s="86">
        <f t="shared" si="91"/>
        <v>0</v>
      </c>
      <c r="N289" s="93"/>
      <c r="O289" s="86">
        <f t="shared" si="92"/>
        <v>0</v>
      </c>
      <c r="P289" s="93"/>
      <c r="Q289" s="86">
        <f t="shared" si="93"/>
        <v>0</v>
      </c>
      <c r="R289" s="95"/>
      <c r="S289" s="86">
        <f t="shared" si="94"/>
        <v>0</v>
      </c>
      <c r="T289" s="93"/>
      <c r="U289" s="86">
        <f t="shared" si="83"/>
        <v>0</v>
      </c>
      <c r="V289" s="93"/>
      <c r="W289" s="86">
        <f t="shared" si="84"/>
        <v>0</v>
      </c>
      <c r="X289" s="93"/>
      <c r="Y289" s="86">
        <f t="shared" si="85"/>
        <v>0</v>
      </c>
      <c r="Z289" s="93"/>
      <c r="AA289" s="85">
        <f t="shared" si="86"/>
        <v>0</v>
      </c>
      <c r="AB289" s="96"/>
      <c r="AC289" s="85">
        <f t="shared" si="80"/>
        <v>0</v>
      </c>
      <c r="AD289" s="91"/>
      <c r="AE289" s="85">
        <f t="shared" si="81"/>
        <v>0</v>
      </c>
      <c r="AF289" s="93"/>
      <c r="AG289" s="89">
        <f t="shared" si="82"/>
        <v>0</v>
      </c>
      <c r="AH289" s="91"/>
      <c r="AI289" s="85">
        <f t="shared" si="78"/>
        <v>0</v>
      </c>
      <c r="AJ289" s="91">
        <v>350</v>
      </c>
      <c r="AK289" s="85">
        <f t="shared" si="79"/>
        <v>12834.5</v>
      </c>
      <c r="AL289" s="113">
        <f t="shared" si="76"/>
        <v>350</v>
      </c>
      <c r="AM289" s="23">
        <f t="shared" si="77"/>
        <v>12834.5</v>
      </c>
    </row>
    <row r="290" spans="1:39" s="114" customFormat="1" x14ac:dyDescent="0.5">
      <c r="A290" s="16">
        <v>286</v>
      </c>
      <c r="B290" s="97" t="s">
        <v>1413</v>
      </c>
      <c r="C290" s="92" t="s">
        <v>1414</v>
      </c>
      <c r="D290" s="93"/>
      <c r="E290" s="85">
        <f t="shared" si="87"/>
        <v>0</v>
      </c>
      <c r="F290" s="94"/>
      <c r="G290" s="85">
        <f t="shared" si="88"/>
        <v>0</v>
      </c>
      <c r="H290" s="94"/>
      <c r="I290" s="85">
        <f t="shared" si="89"/>
        <v>0</v>
      </c>
      <c r="J290" s="17"/>
      <c r="K290" s="86">
        <f t="shared" si="90"/>
        <v>0</v>
      </c>
      <c r="L290" s="94">
        <v>230</v>
      </c>
      <c r="M290" s="86">
        <f t="shared" si="91"/>
        <v>8797.5</v>
      </c>
      <c r="N290" s="93">
        <v>319</v>
      </c>
      <c r="O290" s="86">
        <f t="shared" si="92"/>
        <v>13398</v>
      </c>
      <c r="P290" s="93"/>
      <c r="Q290" s="86">
        <f t="shared" si="93"/>
        <v>0</v>
      </c>
      <c r="R290" s="95"/>
      <c r="S290" s="86">
        <f t="shared" si="94"/>
        <v>0</v>
      </c>
      <c r="T290" s="93"/>
      <c r="U290" s="86">
        <f t="shared" si="83"/>
        <v>0</v>
      </c>
      <c r="V290" s="93"/>
      <c r="W290" s="86">
        <f t="shared" si="84"/>
        <v>0</v>
      </c>
      <c r="X290" s="93"/>
      <c r="Y290" s="86">
        <f t="shared" si="85"/>
        <v>0</v>
      </c>
      <c r="Z290" s="93"/>
      <c r="AA290" s="85">
        <f t="shared" si="86"/>
        <v>0</v>
      </c>
      <c r="AB290" s="96"/>
      <c r="AC290" s="85">
        <f t="shared" si="80"/>
        <v>0</v>
      </c>
      <c r="AD290" s="91"/>
      <c r="AE290" s="85">
        <f t="shared" si="81"/>
        <v>0</v>
      </c>
      <c r="AF290" s="93"/>
      <c r="AG290" s="89">
        <f t="shared" si="82"/>
        <v>0</v>
      </c>
      <c r="AH290" s="91"/>
      <c r="AI290" s="85">
        <f t="shared" si="78"/>
        <v>0</v>
      </c>
      <c r="AJ290" s="91"/>
      <c r="AK290" s="85">
        <f t="shared" si="79"/>
        <v>0</v>
      </c>
      <c r="AL290" s="113">
        <f t="shared" si="76"/>
        <v>549</v>
      </c>
      <c r="AM290" s="23">
        <f t="shared" si="77"/>
        <v>22195.5</v>
      </c>
    </row>
    <row r="291" spans="1:39" x14ac:dyDescent="0.5">
      <c r="A291" s="16">
        <v>287</v>
      </c>
      <c r="B291" s="97" t="s">
        <v>1415</v>
      </c>
      <c r="C291" s="92" t="s">
        <v>1416</v>
      </c>
      <c r="D291" s="93">
        <v>349</v>
      </c>
      <c r="E291" s="85">
        <f t="shared" si="87"/>
        <v>10860.880000000001</v>
      </c>
      <c r="F291" s="94"/>
      <c r="G291" s="85">
        <f t="shared" si="88"/>
        <v>0</v>
      </c>
      <c r="H291" s="94"/>
      <c r="I291" s="85">
        <f t="shared" si="89"/>
        <v>0</v>
      </c>
      <c r="J291" s="17"/>
      <c r="K291" s="86">
        <f t="shared" si="90"/>
        <v>0</v>
      </c>
      <c r="L291" s="94">
        <v>328</v>
      </c>
      <c r="M291" s="86">
        <f t="shared" si="91"/>
        <v>12546</v>
      </c>
      <c r="N291" s="93">
        <v>229</v>
      </c>
      <c r="O291" s="86">
        <f t="shared" si="92"/>
        <v>9618</v>
      </c>
      <c r="P291" s="93">
        <v>310</v>
      </c>
      <c r="Q291" s="86">
        <f t="shared" si="93"/>
        <v>11997</v>
      </c>
      <c r="R291" s="95">
        <v>339</v>
      </c>
      <c r="S291" s="86">
        <f t="shared" si="94"/>
        <v>11424.300000000001</v>
      </c>
      <c r="T291" s="93"/>
      <c r="U291" s="86">
        <f t="shared" si="83"/>
        <v>0</v>
      </c>
      <c r="V291" s="93">
        <v>506</v>
      </c>
      <c r="W291" s="86">
        <f t="shared" si="84"/>
        <v>17785.899999999998</v>
      </c>
      <c r="X291" s="93">
        <v>513</v>
      </c>
      <c r="Y291" s="86">
        <f t="shared" si="85"/>
        <v>17780.579999999998</v>
      </c>
      <c r="Z291" s="93">
        <v>440</v>
      </c>
      <c r="AA291" s="85">
        <f t="shared" si="86"/>
        <v>15861.999999999998</v>
      </c>
      <c r="AB291" s="96">
        <v>464</v>
      </c>
      <c r="AC291" s="85">
        <f t="shared" si="80"/>
        <v>16258.56</v>
      </c>
      <c r="AD291" s="91">
        <v>497</v>
      </c>
      <c r="AE291" s="85">
        <f t="shared" si="81"/>
        <v>16987.46</v>
      </c>
      <c r="AF291" s="93">
        <v>499</v>
      </c>
      <c r="AG291" s="89">
        <f t="shared" si="82"/>
        <v>16616.699999999997</v>
      </c>
      <c r="AH291" s="91">
        <v>503</v>
      </c>
      <c r="AI291" s="85">
        <f t="shared" si="78"/>
        <v>18082.850000000002</v>
      </c>
      <c r="AJ291" s="91">
        <v>486</v>
      </c>
      <c r="AK291" s="85">
        <f t="shared" si="79"/>
        <v>17821.620000000003</v>
      </c>
      <c r="AL291" s="113">
        <f t="shared" si="76"/>
        <v>5463</v>
      </c>
      <c r="AM291" s="23">
        <f t="shared" si="77"/>
        <v>193641.85</v>
      </c>
    </row>
    <row r="292" spans="1:39" x14ac:dyDescent="0.5">
      <c r="A292" s="16">
        <v>288</v>
      </c>
      <c r="B292" s="97" t="s">
        <v>1417</v>
      </c>
      <c r="C292" s="92" t="s">
        <v>574</v>
      </c>
      <c r="D292" s="93"/>
      <c r="E292" s="85">
        <f t="shared" si="87"/>
        <v>0</v>
      </c>
      <c r="F292" s="94"/>
      <c r="G292" s="85">
        <f t="shared" si="88"/>
        <v>0</v>
      </c>
      <c r="H292" s="94"/>
      <c r="I292" s="85">
        <f t="shared" si="89"/>
        <v>0</v>
      </c>
      <c r="J292" s="17"/>
      <c r="K292" s="86">
        <f t="shared" si="90"/>
        <v>0</v>
      </c>
      <c r="L292" s="94"/>
      <c r="M292" s="86">
        <f t="shared" si="91"/>
        <v>0</v>
      </c>
      <c r="N292" s="93">
        <v>237</v>
      </c>
      <c r="O292" s="86">
        <f t="shared" si="92"/>
        <v>9954</v>
      </c>
      <c r="P292" s="93"/>
      <c r="Q292" s="86">
        <f t="shared" si="93"/>
        <v>0</v>
      </c>
      <c r="R292" s="95"/>
      <c r="S292" s="86">
        <f t="shared" si="94"/>
        <v>0</v>
      </c>
      <c r="T292" s="93">
        <v>334</v>
      </c>
      <c r="U292" s="86">
        <f t="shared" si="83"/>
        <v>10955.199999999999</v>
      </c>
      <c r="V292" s="93">
        <v>389</v>
      </c>
      <c r="W292" s="86">
        <f t="shared" si="84"/>
        <v>13673.349999999999</v>
      </c>
      <c r="X292" s="93">
        <v>301</v>
      </c>
      <c r="Y292" s="86">
        <f t="shared" si="85"/>
        <v>10432.66</v>
      </c>
      <c r="Z292" s="93"/>
      <c r="AA292" s="85">
        <f t="shared" si="86"/>
        <v>0</v>
      </c>
      <c r="AB292" s="96"/>
      <c r="AC292" s="85">
        <f t="shared" si="80"/>
        <v>0</v>
      </c>
      <c r="AD292" s="91"/>
      <c r="AE292" s="85">
        <f t="shared" si="81"/>
        <v>0</v>
      </c>
      <c r="AF292" s="93"/>
      <c r="AG292" s="89">
        <f t="shared" si="82"/>
        <v>0</v>
      </c>
      <c r="AH292" s="91">
        <v>315</v>
      </c>
      <c r="AI292" s="85">
        <f t="shared" si="78"/>
        <v>11324.25</v>
      </c>
      <c r="AJ292" s="91">
        <v>290</v>
      </c>
      <c r="AK292" s="85">
        <f t="shared" si="79"/>
        <v>10634.300000000001</v>
      </c>
      <c r="AL292" s="113">
        <f t="shared" si="76"/>
        <v>1866</v>
      </c>
      <c r="AM292" s="23">
        <f t="shared" si="77"/>
        <v>66973.759999999995</v>
      </c>
    </row>
    <row r="293" spans="1:39" x14ac:dyDescent="0.5">
      <c r="A293" s="16">
        <v>289</v>
      </c>
      <c r="B293" s="97" t="s">
        <v>1377</v>
      </c>
      <c r="C293" s="92" t="s">
        <v>1418</v>
      </c>
      <c r="D293" s="93"/>
      <c r="E293" s="85">
        <f t="shared" si="87"/>
        <v>0</v>
      </c>
      <c r="F293" s="94"/>
      <c r="G293" s="85">
        <f t="shared" si="88"/>
        <v>0</v>
      </c>
      <c r="H293" s="94"/>
      <c r="I293" s="85">
        <f t="shared" si="89"/>
        <v>0</v>
      </c>
      <c r="J293" s="17"/>
      <c r="K293" s="86">
        <f t="shared" si="90"/>
        <v>0</v>
      </c>
      <c r="L293" s="94"/>
      <c r="M293" s="86">
        <f t="shared" si="91"/>
        <v>0</v>
      </c>
      <c r="N293" s="93"/>
      <c r="O293" s="86">
        <f t="shared" si="92"/>
        <v>0</v>
      </c>
      <c r="P293" s="93">
        <v>589</v>
      </c>
      <c r="Q293" s="86">
        <f t="shared" si="93"/>
        <v>22794.300000000003</v>
      </c>
      <c r="R293" s="95">
        <v>536</v>
      </c>
      <c r="S293" s="86">
        <f t="shared" si="94"/>
        <v>18063.2</v>
      </c>
      <c r="T293" s="93">
        <v>372</v>
      </c>
      <c r="U293" s="86">
        <f t="shared" si="83"/>
        <v>12201.599999999999</v>
      </c>
      <c r="V293" s="93">
        <v>374</v>
      </c>
      <c r="W293" s="86">
        <f t="shared" si="84"/>
        <v>13146.1</v>
      </c>
      <c r="X293" s="93"/>
      <c r="Y293" s="86">
        <f t="shared" si="85"/>
        <v>0</v>
      </c>
      <c r="Z293" s="93">
        <v>393</v>
      </c>
      <c r="AA293" s="85">
        <f t="shared" si="86"/>
        <v>14167.65</v>
      </c>
      <c r="AB293" s="96"/>
      <c r="AC293" s="85">
        <f t="shared" si="80"/>
        <v>0</v>
      </c>
      <c r="AD293" s="91"/>
      <c r="AE293" s="85">
        <f t="shared" si="81"/>
        <v>0</v>
      </c>
      <c r="AF293" s="93"/>
      <c r="AG293" s="89">
        <f t="shared" si="82"/>
        <v>0</v>
      </c>
      <c r="AH293" s="91"/>
      <c r="AI293" s="85">
        <f t="shared" si="78"/>
        <v>0</v>
      </c>
      <c r="AJ293" s="91">
        <v>452</v>
      </c>
      <c r="AK293" s="85">
        <f t="shared" si="79"/>
        <v>16574.84</v>
      </c>
      <c r="AL293" s="113">
        <f t="shared" si="76"/>
        <v>2716</v>
      </c>
      <c r="AM293" s="23">
        <f t="shared" si="77"/>
        <v>96947.689999999988</v>
      </c>
    </row>
    <row r="294" spans="1:39" s="114" customFormat="1" x14ac:dyDescent="0.5">
      <c r="A294" s="16">
        <v>290</v>
      </c>
      <c r="B294" s="97" t="s">
        <v>1419</v>
      </c>
      <c r="C294" s="92" t="s">
        <v>1420</v>
      </c>
      <c r="D294" s="93"/>
      <c r="E294" s="85">
        <f t="shared" si="87"/>
        <v>0</v>
      </c>
      <c r="F294" s="94"/>
      <c r="G294" s="85">
        <f t="shared" si="88"/>
        <v>0</v>
      </c>
      <c r="H294" s="94"/>
      <c r="I294" s="85">
        <f t="shared" si="89"/>
        <v>0</v>
      </c>
      <c r="J294" s="17"/>
      <c r="K294" s="86">
        <f t="shared" si="90"/>
        <v>0</v>
      </c>
      <c r="L294" s="94"/>
      <c r="M294" s="86">
        <f t="shared" si="91"/>
        <v>0</v>
      </c>
      <c r="N294" s="93">
        <v>118</v>
      </c>
      <c r="O294" s="86">
        <f t="shared" si="92"/>
        <v>4956</v>
      </c>
      <c r="P294" s="93"/>
      <c r="Q294" s="86">
        <f t="shared" si="93"/>
        <v>0</v>
      </c>
      <c r="R294" s="95"/>
      <c r="S294" s="86">
        <f t="shared" si="94"/>
        <v>0</v>
      </c>
      <c r="T294" s="93"/>
      <c r="U294" s="86">
        <f t="shared" si="83"/>
        <v>0</v>
      </c>
      <c r="V294" s="93"/>
      <c r="W294" s="86">
        <f t="shared" si="84"/>
        <v>0</v>
      </c>
      <c r="X294" s="93"/>
      <c r="Y294" s="86">
        <f t="shared" si="85"/>
        <v>0</v>
      </c>
      <c r="Z294" s="93"/>
      <c r="AA294" s="85">
        <f t="shared" si="86"/>
        <v>0</v>
      </c>
      <c r="AB294" s="96"/>
      <c r="AC294" s="85">
        <f t="shared" si="80"/>
        <v>0</v>
      </c>
      <c r="AD294" s="91"/>
      <c r="AE294" s="85">
        <f t="shared" si="81"/>
        <v>0</v>
      </c>
      <c r="AF294" s="93"/>
      <c r="AG294" s="89">
        <f t="shared" si="82"/>
        <v>0</v>
      </c>
      <c r="AH294" s="91"/>
      <c r="AI294" s="85">
        <f t="shared" si="78"/>
        <v>0</v>
      </c>
      <c r="AJ294" s="91"/>
      <c r="AK294" s="85">
        <f t="shared" si="79"/>
        <v>0</v>
      </c>
      <c r="AL294" s="113">
        <f t="shared" si="76"/>
        <v>118</v>
      </c>
      <c r="AM294" s="23">
        <f t="shared" si="77"/>
        <v>4956</v>
      </c>
    </row>
    <row r="295" spans="1:39" s="114" customFormat="1" x14ac:dyDescent="0.5">
      <c r="A295" s="16">
        <v>291</v>
      </c>
      <c r="B295" s="97" t="s">
        <v>250</v>
      </c>
      <c r="C295" s="92" t="s">
        <v>1420</v>
      </c>
      <c r="D295" s="93"/>
      <c r="E295" s="85">
        <f t="shared" si="87"/>
        <v>0</v>
      </c>
      <c r="F295" s="94"/>
      <c r="G295" s="85">
        <f t="shared" si="88"/>
        <v>0</v>
      </c>
      <c r="H295" s="94"/>
      <c r="I295" s="85">
        <f t="shared" si="89"/>
        <v>0</v>
      </c>
      <c r="J295" s="17"/>
      <c r="K295" s="86">
        <f t="shared" si="90"/>
        <v>0</v>
      </c>
      <c r="L295" s="94"/>
      <c r="M295" s="86">
        <f t="shared" si="91"/>
        <v>0</v>
      </c>
      <c r="N295" s="93"/>
      <c r="O295" s="86">
        <f t="shared" si="92"/>
        <v>0</v>
      </c>
      <c r="P295" s="93">
        <v>186</v>
      </c>
      <c r="Q295" s="86">
        <f t="shared" si="93"/>
        <v>7198.2000000000007</v>
      </c>
      <c r="R295" s="95"/>
      <c r="S295" s="86">
        <f t="shared" si="94"/>
        <v>0</v>
      </c>
      <c r="T295" s="93"/>
      <c r="U295" s="86">
        <f t="shared" si="83"/>
        <v>0</v>
      </c>
      <c r="V295" s="93"/>
      <c r="W295" s="86">
        <f t="shared" si="84"/>
        <v>0</v>
      </c>
      <c r="X295" s="93"/>
      <c r="Y295" s="86">
        <f t="shared" si="85"/>
        <v>0</v>
      </c>
      <c r="Z295" s="93"/>
      <c r="AA295" s="85">
        <f t="shared" si="86"/>
        <v>0</v>
      </c>
      <c r="AB295" s="96"/>
      <c r="AC295" s="85">
        <f t="shared" si="80"/>
        <v>0</v>
      </c>
      <c r="AD295" s="91"/>
      <c r="AE295" s="85">
        <f t="shared" si="81"/>
        <v>0</v>
      </c>
      <c r="AF295" s="93"/>
      <c r="AG295" s="89">
        <f t="shared" si="82"/>
        <v>0</v>
      </c>
      <c r="AH295" s="91"/>
      <c r="AI295" s="85">
        <f t="shared" si="78"/>
        <v>0</v>
      </c>
      <c r="AJ295" s="91"/>
      <c r="AK295" s="85">
        <f t="shared" si="79"/>
        <v>0</v>
      </c>
      <c r="AL295" s="113">
        <f t="shared" si="76"/>
        <v>186</v>
      </c>
      <c r="AM295" s="23">
        <f t="shared" si="77"/>
        <v>7198.2000000000007</v>
      </c>
    </row>
    <row r="296" spans="1:39" x14ac:dyDescent="0.5">
      <c r="A296" s="16">
        <v>292</v>
      </c>
      <c r="B296" s="97" t="s">
        <v>1421</v>
      </c>
      <c r="C296" s="92" t="s">
        <v>1422</v>
      </c>
      <c r="D296" s="93"/>
      <c r="E296" s="85">
        <f t="shared" si="87"/>
        <v>0</v>
      </c>
      <c r="F296" s="94"/>
      <c r="G296" s="85">
        <f t="shared" si="88"/>
        <v>0</v>
      </c>
      <c r="H296" s="94"/>
      <c r="I296" s="85">
        <f t="shared" si="89"/>
        <v>0</v>
      </c>
      <c r="J296" s="17"/>
      <c r="K296" s="86">
        <f t="shared" si="90"/>
        <v>0</v>
      </c>
      <c r="L296" s="94"/>
      <c r="M296" s="86">
        <f t="shared" si="91"/>
        <v>0</v>
      </c>
      <c r="N296" s="93"/>
      <c r="O296" s="86">
        <f t="shared" si="92"/>
        <v>0</v>
      </c>
      <c r="P296" s="93"/>
      <c r="Q296" s="86">
        <f t="shared" si="93"/>
        <v>0</v>
      </c>
      <c r="R296" s="95"/>
      <c r="S296" s="86">
        <f t="shared" si="94"/>
        <v>0</v>
      </c>
      <c r="T296" s="93"/>
      <c r="U296" s="86">
        <f t="shared" si="83"/>
        <v>0</v>
      </c>
      <c r="V296" s="93">
        <v>440</v>
      </c>
      <c r="W296" s="86">
        <f t="shared" si="84"/>
        <v>15466</v>
      </c>
      <c r="X296" s="93"/>
      <c r="Y296" s="86">
        <f t="shared" si="85"/>
        <v>0</v>
      </c>
      <c r="Z296" s="93"/>
      <c r="AA296" s="85">
        <f t="shared" si="86"/>
        <v>0</v>
      </c>
      <c r="AB296" s="96"/>
      <c r="AC296" s="85">
        <f t="shared" si="80"/>
        <v>0</v>
      </c>
      <c r="AD296" s="91"/>
      <c r="AE296" s="85">
        <f t="shared" si="81"/>
        <v>0</v>
      </c>
      <c r="AF296" s="93"/>
      <c r="AG296" s="89">
        <f t="shared" si="82"/>
        <v>0</v>
      </c>
      <c r="AH296" s="91">
        <v>537</v>
      </c>
      <c r="AI296" s="85">
        <f t="shared" si="78"/>
        <v>19305.150000000001</v>
      </c>
      <c r="AJ296" s="91"/>
      <c r="AK296" s="85">
        <f t="shared" si="79"/>
        <v>0</v>
      </c>
      <c r="AL296" s="113">
        <f t="shared" si="76"/>
        <v>977</v>
      </c>
      <c r="AM296" s="23">
        <f t="shared" si="77"/>
        <v>34771.15</v>
      </c>
    </row>
    <row r="297" spans="1:39" x14ac:dyDescent="0.5">
      <c r="A297" s="16">
        <v>293</v>
      </c>
      <c r="B297" s="97" t="s">
        <v>1423</v>
      </c>
      <c r="C297" s="92" t="s">
        <v>1424</v>
      </c>
      <c r="D297" s="93"/>
      <c r="E297" s="85">
        <f t="shared" si="87"/>
        <v>0</v>
      </c>
      <c r="F297" s="94"/>
      <c r="G297" s="85">
        <f t="shared" si="88"/>
        <v>0</v>
      </c>
      <c r="H297" s="94"/>
      <c r="I297" s="85">
        <f t="shared" si="89"/>
        <v>0</v>
      </c>
      <c r="J297" s="17"/>
      <c r="K297" s="86">
        <f t="shared" si="90"/>
        <v>0</v>
      </c>
      <c r="L297" s="94">
        <v>663</v>
      </c>
      <c r="M297" s="86">
        <f t="shared" si="91"/>
        <v>25359.75</v>
      </c>
      <c r="N297" s="93">
        <v>746</v>
      </c>
      <c r="O297" s="86">
        <f t="shared" si="92"/>
        <v>31332</v>
      </c>
      <c r="P297" s="93">
        <v>737</v>
      </c>
      <c r="Q297" s="86">
        <f t="shared" si="93"/>
        <v>28521.9</v>
      </c>
      <c r="R297" s="95">
        <v>1043</v>
      </c>
      <c r="S297" s="86">
        <f t="shared" si="94"/>
        <v>35149.100000000006</v>
      </c>
      <c r="T297" s="93">
        <v>811</v>
      </c>
      <c r="U297" s="86">
        <f t="shared" si="83"/>
        <v>26600.799999999999</v>
      </c>
      <c r="V297" s="93">
        <v>1180</v>
      </c>
      <c r="W297" s="86">
        <f t="shared" si="84"/>
        <v>41477</v>
      </c>
      <c r="X297" s="93">
        <v>1035</v>
      </c>
      <c r="Y297" s="86">
        <f t="shared" si="85"/>
        <v>35873.1</v>
      </c>
      <c r="Z297" s="93">
        <v>1071</v>
      </c>
      <c r="AA297" s="85">
        <f t="shared" si="86"/>
        <v>38609.549999999996</v>
      </c>
      <c r="AB297" s="96">
        <v>1058</v>
      </c>
      <c r="AC297" s="85">
        <f t="shared" si="80"/>
        <v>37072.32</v>
      </c>
      <c r="AD297" s="91">
        <v>1212</v>
      </c>
      <c r="AE297" s="85">
        <f t="shared" si="81"/>
        <v>41426.159999999996</v>
      </c>
      <c r="AF297" s="93">
        <v>1017</v>
      </c>
      <c r="AG297" s="89">
        <f t="shared" si="82"/>
        <v>33866.1</v>
      </c>
      <c r="AH297" s="91">
        <v>1237</v>
      </c>
      <c r="AI297" s="85">
        <f t="shared" si="78"/>
        <v>44470.15</v>
      </c>
      <c r="AJ297" s="91"/>
      <c r="AK297" s="85">
        <f t="shared" si="79"/>
        <v>0</v>
      </c>
      <c r="AL297" s="113">
        <f t="shared" si="76"/>
        <v>11810</v>
      </c>
      <c r="AM297" s="23">
        <f t="shared" si="77"/>
        <v>419757.93</v>
      </c>
    </row>
    <row r="298" spans="1:39" s="114" customFormat="1" x14ac:dyDescent="0.5">
      <c r="A298" s="16">
        <v>294</v>
      </c>
      <c r="B298" s="97" t="s">
        <v>1425</v>
      </c>
      <c r="C298" s="92" t="s">
        <v>1426</v>
      </c>
      <c r="D298" s="93">
        <v>588</v>
      </c>
      <c r="E298" s="85">
        <f t="shared" si="87"/>
        <v>18298.560000000001</v>
      </c>
      <c r="F298" s="94"/>
      <c r="G298" s="85">
        <f t="shared" si="88"/>
        <v>0</v>
      </c>
      <c r="H298" s="94"/>
      <c r="I298" s="85">
        <f t="shared" si="89"/>
        <v>0</v>
      </c>
      <c r="J298" s="17"/>
      <c r="K298" s="86">
        <f t="shared" si="90"/>
        <v>0</v>
      </c>
      <c r="L298" s="94"/>
      <c r="M298" s="86">
        <f t="shared" si="91"/>
        <v>0</v>
      </c>
      <c r="N298" s="93"/>
      <c r="O298" s="86">
        <f t="shared" si="92"/>
        <v>0</v>
      </c>
      <c r="P298" s="93"/>
      <c r="Q298" s="86">
        <f t="shared" si="93"/>
        <v>0</v>
      </c>
      <c r="R298" s="95"/>
      <c r="S298" s="86">
        <f t="shared" si="94"/>
        <v>0</v>
      </c>
      <c r="T298" s="93">
        <v>636</v>
      </c>
      <c r="U298" s="86">
        <f t="shared" si="83"/>
        <v>20860.8</v>
      </c>
      <c r="V298" s="93"/>
      <c r="W298" s="86">
        <f t="shared" si="84"/>
        <v>0</v>
      </c>
      <c r="X298" s="93">
        <v>609</v>
      </c>
      <c r="Y298" s="86">
        <f t="shared" si="85"/>
        <v>21107.94</v>
      </c>
      <c r="Z298" s="93"/>
      <c r="AA298" s="85">
        <f t="shared" si="86"/>
        <v>0</v>
      </c>
      <c r="AB298" s="96"/>
      <c r="AC298" s="85">
        <f t="shared" si="80"/>
        <v>0</v>
      </c>
      <c r="AD298" s="91"/>
      <c r="AE298" s="85">
        <f t="shared" si="81"/>
        <v>0</v>
      </c>
      <c r="AF298" s="93"/>
      <c r="AG298" s="89">
        <f t="shared" si="82"/>
        <v>0</v>
      </c>
      <c r="AH298" s="91"/>
      <c r="AI298" s="85">
        <f t="shared" si="78"/>
        <v>0</v>
      </c>
      <c r="AJ298" s="91"/>
      <c r="AK298" s="85">
        <f t="shared" si="79"/>
        <v>0</v>
      </c>
      <c r="AL298" s="113">
        <f t="shared" si="76"/>
        <v>1833</v>
      </c>
      <c r="AM298" s="23">
        <f t="shared" si="77"/>
        <v>60267.3</v>
      </c>
    </row>
    <row r="299" spans="1:39" s="114" customFormat="1" x14ac:dyDescent="0.5">
      <c r="A299" s="16">
        <v>295</v>
      </c>
      <c r="B299" s="97" t="s">
        <v>1227</v>
      </c>
      <c r="C299" s="92" t="s">
        <v>1427</v>
      </c>
      <c r="D299" s="93"/>
      <c r="E299" s="85">
        <f t="shared" si="87"/>
        <v>0</v>
      </c>
      <c r="F299" s="94"/>
      <c r="G299" s="85">
        <f t="shared" si="88"/>
        <v>0</v>
      </c>
      <c r="H299" s="94"/>
      <c r="I299" s="85">
        <f t="shared" si="89"/>
        <v>0</v>
      </c>
      <c r="J299" s="17"/>
      <c r="K299" s="86">
        <f t="shared" si="90"/>
        <v>0</v>
      </c>
      <c r="L299" s="94"/>
      <c r="M299" s="86">
        <f t="shared" si="91"/>
        <v>0</v>
      </c>
      <c r="N299" s="93">
        <v>368</v>
      </c>
      <c r="O299" s="86">
        <f t="shared" si="92"/>
        <v>15456</v>
      </c>
      <c r="P299" s="93"/>
      <c r="Q299" s="86">
        <f t="shared" si="93"/>
        <v>0</v>
      </c>
      <c r="R299" s="95"/>
      <c r="S299" s="86">
        <f t="shared" si="94"/>
        <v>0</v>
      </c>
      <c r="T299" s="93"/>
      <c r="U299" s="86">
        <f t="shared" si="83"/>
        <v>0</v>
      </c>
      <c r="V299" s="93"/>
      <c r="W299" s="86">
        <f t="shared" si="84"/>
        <v>0</v>
      </c>
      <c r="X299" s="93"/>
      <c r="Y299" s="86">
        <f t="shared" si="85"/>
        <v>0</v>
      </c>
      <c r="Z299" s="93"/>
      <c r="AA299" s="85">
        <f t="shared" si="86"/>
        <v>0</v>
      </c>
      <c r="AB299" s="96"/>
      <c r="AC299" s="85">
        <f t="shared" si="80"/>
        <v>0</v>
      </c>
      <c r="AD299" s="91"/>
      <c r="AE299" s="85">
        <f t="shared" si="81"/>
        <v>0</v>
      </c>
      <c r="AF299" s="93"/>
      <c r="AG299" s="89">
        <f t="shared" si="82"/>
        <v>0</v>
      </c>
      <c r="AH299" s="91"/>
      <c r="AI299" s="85">
        <f t="shared" si="78"/>
        <v>0</v>
      </c>
      <c r="AJ299" s="91"/>
      <c r="AK299" s="85">
        <f t="shared" si="79"/>
        <v>0</v>
      </c>
      <c r="AL299" s="113">
        <f t="shared" si="76"/>
        <v>368</v>
      </c>
      <c r="AM299" s="23">
        <f t="shared" si="77"/>
        <v>15456</v>
      </c>
    </row>
    <row r="300" spans="1:39" s="114" customFormat="1" x14ac:dyDescent="0.5">
      <c r="A300" s="16">
        <v>296</v>
      </c>
      <c r="B300" s="97" t="s">
        <v>1428</v>
      </c>
      <c r="C300" s="92" t="s">
        <v>1429</v>
      </c>
      <c r="D300" s="93"/>
      <c r="E300" s="85">
        <f t="shared" si="87"/>
        <v>0</v>
      </c>
      <c r="F300" s="94"/>
      <c r="G300" s="85">
        <f t="shared" si="88"/>
        <v>0</v>
      </c>
      <c r="H300" s="94"/>
      <c r="I300" s="85">
        <f t="shared" si="89"/>
        <v>0</v>
      </c>
      <c r="J300" s="17"/>
      <c r="K300" s="86">
        <f t="shared" si="90"/>
        <v>0</v>
      </c>
      <c r="L300" s="94"/>
      <c r="M300" s="86">
        <f t="shared" si="91"/>
        <v>0</v>
      </c>
      <c r="N300" s="93"/>
      <c r="O300" s="86">
        <f t="shared" si="92"/>
        <v>0</v>
      </c>
      <c r="P300" s="93"/>
      <c r="Q300" s="86">
        <f t="shared" si="93"/>
        <v>0</v>
      </c>
      <c r="R300" s="95"/>
      <c r="S300" s="86">
        <f t="shared" si="94"/>
        <v>0</v>
      </c>
      <c r="T300" s="93"/>
      <c r="U300" s="86">
        <f t="shared" si="83"/>
        <v>0</v>
      </c>
      <c r="V300" s="93">
        <v>867</v>
      </c>
      <c r="W300" s="86">
        <f t="shared" si="84"/>
        <v>30475.05</v>
      </c>
      <c r="X300" s="93">
        <v>657</v>
      </c>
      <c r="Y300" s="86">
        <f t="shared" si="85"/>
        <v>22771.62</v>
      </c>
      <c r="Z300" s="93"/>
      <c r="AA300" s="85">
        <f t="shared" si="86"/>
        <v>0</v>
      </c>
      <c r="AB300" s="96"/>
      <c r="AC300" s="85">
        <f t="shared" si="80"/>
        <v>0</v>
      </c>
      <c r="AD300" s="91"/>
      <c r="AE300" s="85">
        <f t="shared" si="81"/>
        <v>0</v>
      </c>
      <c r="AF300" s="93"/>
      <c r="AG300" s="89">
        <f t="shared" si="82"/>
        <v>0</v>
      </c>
      <c r="AH300" s="91"/>
      <c r="AI300" s="85">
        <f t="shared" si="78"/>
        <v>0</v>
      </c>
      <c r="AJ300" s="91"/>
      <c r="AK300" s="85">
        <f t="shared" si="79"/>
        <v>0</v>
      </c>
      <c r="AL300" s="113">
        <f t="shared" si="76"/>
        <v>1524</v>
      </c>
      <c r="AM300" s="23">
        <f t="shared" si="77"/>
        <v>53246.67</v>
      </c>
    </row>
    <row r="301" spans="1:39" s="114" customFormat="1" x14ac:dyDescent="0.5">
      <c r="A301" s="16">
        <v>297</v>
      </c>
      <c r="B301" s="97" t="s">
        <v>1430</v>
      </c>
      <c r="C301" s="92" t="s">
        <v>1431</v>
      </c>
      <c r="D301" s="93"/>
      <c r="E301" s="85">
        <f t="shared" si="87"/>
        <v>0</v>
      </c>
      <c r="F301" s="94"/>
      <c r="G301" s="85">
        <f t="shared" si="88"/>
        <v>0</v>
      </c>
      <c r="H301" s="94"/>
      <c r="I301" s="85">
        <f t="shared" si="89"/>
        <v>0</v>
      </c>
      <c r="J301" s="17"/>
      <c r="K301" s="86">
        <f t="shared" si="90"/>
        <v>0</v>
      </c>
      <c r="L301" s="94"/>
      <c r="M301" s="86">
        <f t="shared" si="91"/>
        <v>0</v>
      </c>
      <c r="N301" s="93"/>
      <c r="O301" s="86">
        <f t="shared" si="92"/>
        <v>0</v>
      </c>
      <c r="P301" s="93"/>
      <c r="Q301" s="86">
        <f t="shared" si="93"/>
        <v>0</v>
      </c>
      <c r="R301" s="95"/>
      <c r="S301" s="86">
        <f t="shared" si="94"/>
        <v>0</v>
      </c>
      <c r="T301" s="93"/>
      <c r="U301" s="86">
        <f t="shared" si="83"/>
        <v>0</v>
      </c>
      <c r="V301" s="93"/>
      <c r="W301" s="86">
        <f t="shared" si="84"/>
        <v>0</v>
      </c>
      <c r="X301" s="93"/>
      <c r="Y301" s="86">
        <f t="shared" si="85"/>
        <v>0</v>
      </c>
      <c r="Z301" s="93"/>
      <c r="AA301" s="85">
        <f t="shared" si="86"/>
        <v>0</v>
      </c>
      <c r="AB301" s="96">
        <v>230</v>
      </c>
      <c r="AC301" s="85">
        <f t="shared" si="80"/>
        <v>8059.2</v>
      </c>
      <c r="AD301" s="91"/>
      <c r="AE301" s="85">
        <f t="shared" si="81"/>
        <v>0</v>
      </c>
      <c r="AF301" s="93"/>
      <c r="AG301" s="89">
        <f t="shared" si="82"/>
        <v>0</v>
      </c>
      <c r="AH301" s="91"/>
      <c r="AI301" s="85">
        <f t="shared" si="78"/>
        <v>0</v>
      </c>
      <c r="AJ301" s="91"/>
      <c r="AK301" s="85">
        <f t="shared" si="79"/>
        <v>0</v>
      </c>
      <c r="AL301" s="113">
        <f t="shared" si="76"/>
        <v>230</v>
      </c>
      <c r="AM301" s="23">
        <f t="shared" si="77"/>
        <v>8059.2</v>
      </c>
    </row>
    <row r="302" spans="1:39" s="114" customFormat="1" x14ac:dyDescent="0.5">
      <c r="A302" s="16">
        <v>298</v>
      </c>
      <c r="B302" s="97" t="s">
        <v>1432</v>
      </c>
      <c r="C302" s="92" t="s">
        <v>1433</v>
      </c>
      <c r="D302" s="93"/>
      <c r="E302" s="85">
        <f t="shared" si="87"/>
        <v>0</v>
      </c>
      <c r="F302" s="94"/>
      <c r="G302" s="85">
        <f t="shared" si="88"/>
        <v>0</v>
      </c>
      <c r="H302" s="94"/>
      <c r="I302" s="85">
        <f t="shared" si="89"/>
        <v>0</v>
      </c>
      <c r="J302" s="17"/>
      <c r="K302" s="86">
        <f t="shared" si="90"/>
        <v>0</v>
      </c>
      <c r="L302" s="94"/>
      <c r="M302" s="86">
        <f t="shared" si="91"/>
        <v>0</v>
      </c>
      <c r="N302" s="93"/>
      <c r="O302" s="86">
        <f t="shared" si="92"/>
        <v>0</v>
      </c>
      <c r="P302" s="93"/>
      <c r="Q302" s="86">
        <f t="shared" si="93"/>
        <v>0</v>
      </c>
      <c r="R302" s="95"/>
      <c r="S302" s="86">
        <f t="shared" si="94"/>
        <v>0</v>
      </c>
      <c r="T302" s="93"/>
      <c r="U302" s="86">
        <f t="shared" si="83"/>
        <v>0</v>
      </c>
      <c r="V302" s="93"/>
      <c r="W302" s="86">
        <f t="shared" si="84"/>
        <v>0</v>
      </c>
      <c r="X302" s="93"/>
      <c r="Y302" s="86">
        <f t="shared" si="85"/>
        <v>0</v>
      </c>
      <c r="Z302" s="93"/>
      <c r="AA302" s="85">
        <f t="shared" si="86"/>
        <v>0</v>
      </c>
      <c r="AB302" s="96"/>
      <c r="AC302" s="85">
        <f t="shared" si="80"/>
        <v>0</v>
      </c>
      <c r="AD302" s="91"/>
      <c r="AE302" s="85">
        <f t="shared" si="81"/>
        <v>0</v>
      </c>
      <c r="AF302" s="93"/>
      <c r="AG302" s="89">
        <f t="shared" si="82"/>
        <v>0</v>
      </c>
      <c r="AH302" s="91"/>
      <c r="AI302" s="85">
        <f t="shared" si="78"/>
        <v>0</v>
      </c>
      <c r="AJ302" s="91"/>
      <c r="AK302" s="85">
        <f t="shared" si="79"/>
        <v>0</v>
      </c>
      <c r="AL302" s="113">
        <f t="shared" si="76"/>
        <v>0</v>
      </c>
      <c r="AM302" s="23">
        <f t="shared" si="77"/>
        <v>0</v>
      </c>
    </row>
    <row r="303" spans="1:39" x14ac:dyDescent="0.5">
      <c r="A303" s="16">
        <v>299</v>
      </c>
      <c r="B303" s="97" t="s">
        <v>1434</v>
      </c>
      <c r="C303" s="92" t="s">
        <v>1435</v>
      </c>
      <c r="D303" s="93">
        <v>397</v>
      </c>
      <c r="E303" s="85">
        <f t="shared" si="87"/>
        <v>12354.640000000001</v>
      </c>
      <c r="F303" s="94"/>
      <c r="G303" s="85">
        <f t="shared" si="88"/>
        <v>0</v>
      </c>
      <c r="H303" s="94"/>
      <c r="I303" s="85">
        <f t="shared" si="89"/>
        <v>0</v>
      </c>
      <c r="J303" s="17"/>
      <c r="K303" s="86">
        <f t="shared" si="90"/>
        <v>0</v>
      </c>
      <c r="L303" s="94"/>
      <c r="M303" s="86">
        <f t="shared" si="91"/>
        <v>0</v>
      </c>
      <c r="N303" s="93"/>
      <c r="O303" s="86">
        <f t="shared" si="92"/>
        <v>0</v>
      </c>
      <c r="P303" s="93"/>
      <c r="Q303" s="86">
        <f t="shared" si="93"/>
        <v>0</v>
      </c>
      <c r="R303" s="95">
        <v>597</v>
      </c>
      <c r="S303" s="86">
        <f t="shared" si="94"/>
        <v>20118.900000000001</v>
      </c>
      <c r="T303" s="93"/>
      <c r="U303" s="86">
        <f t="shared" si="83"/>
        <v>0</v>
      </c>
      <c r="V303" s="93">
        <v>610</v>
      </c>
      <c r="W303" s="86">
        <f t="shared" si="84"/>
        <v>21441.5</v>
      </c>
      <c r="X303" s="93"/>
      <c r="Y303" s="86">
        <f t="shared" si="85"/>
        <v>0</v>
      </c>
      <c r="Z303" s="93"/>
      <c r="AA303" s="85">
        <f t="shared" si="86"/>
        <v>0</v>
      </c>
      <c r="AB303" s="96"/>
      <c r="AC303" s="85">
        <f t="shared" si="80"/>
        <v>0</v>
      </c>
      <c r="AD303" s="91"/>
      <c r="AE303" s="85">
        <f t="shared" si="81"/>
        <v>0</v>
      </c>
      <c r="AF303" s="93"/>
      <c r="AG303" s="89">
        <f t="shared" si="82"/>
        <v>0</v>
      </c>
      <c r="AH303" s="91">
        <v>462</v>
      </c>
      <c r="AI303" s="85">
        <f t="shared" si="78"/>
        <v>16608.900000000001</v>
      </c>
      <c r="AJ303" s="91"/>
      <c r="AK303" s="85">
        <f t="shared" si="79"/>
        <v>0</v>
      </c>
      <c r="AL303" s="113">
        <f t="shared" si="76"/>
        <v>2066</v>
      </c>
      <c r="AM303" s="23">
        <f t="shared" si="77"/>
        <v>70523.94</v>
      </c>
    </row>
    <row r="304" spans="1:39" x14ac:dyDescent="0.5">
      <c r="A304" s="16">
        <v>300</v>
      </c>
      <c r="B304" s="97" t="s">
        <v>1436</v>
      </c>
      <c r="C304" s="92" t="s">
        <v>1010</v>
      </c>
      <c r="D304" s="93"/>
      <c r="E304" s="85">
        <f t="shared" si="87"/>
        <v>0</v>
      </c>
      <c r="F304" s="94"/>
      <c r="G304" s="85">
        <f t="shared" si="88"/>
        <v>0</v>
      </c>
      <c r="H304" s="94"/>
      <c r="I304" s="85">
        <f t="shared" si="89"/>
        <v>0</v>
      </c>
      <c r="J304" s="17"/>
      <c r="K304" s="86">
        <f t="shared" si="90"/>
        <v>0</v>
      </c>
      <c r="L304" s="94"/>
      <c r="M304" s="86">
        <f t="shared" si="91"/>
        <v>0</v>
      </c>
      <c r="N304" s="93"/>
      <c r="O304" s="86">
        <f t="shared" si="92"/>
        <v>0</v>
      </c>
      <c r="P304" s="93"/>
      <c r="Q304" s="86">
        <f t="shared" si="93"/>
        <v>0</v>
      </c>
      <c r="R304" s="95">
        <v>925</v>
      </c>
      <c r="S304" s="86">
        <f t="shared" si="94"/>
        <v>31172.500000000004</v>
      </c>
      <c r="T304" s="93">
        <v>1340</v>
      </c>
      <c r="U304" s="86">
        <f t="shared" si="83"/>
        <v>43951.999999999993</v>
      </c>
      <c r="V304" s="93">
        <v>1160</v>
      </c>
      <c r="W304" s="86">
        <f t="shared" si="84"/>
        <v>40774</v>
      </c>
      <c r="X304" s="93">
        <v>860</v>
      </c>
      <c r="Y304" s="86">
        <f t="shared" si="85"/>
        <v>29807.599999999999</v>
      </c>
      <c r="Z304" s="93"/>
      <c r="AA304" s="85">
        <f t="shared" si="86"/>
        <v>0</v>
      </c>
      <c r="AB304" s="96">
        <v>1567</v>
      </c>
      <c r="AC304" s="85">
        <f t="shared" si="80"/>
        <v>54907.68</v>
      </c>
      <c r="AD304" s="91">
        <v>1314</v>
      </c>
      <c r="AE304" s="85">
        <f t="shared" si="81"/>
        <v>44912.52</v>
      </c>
      <c r="AF304" s="93">
        <v>1010</v>
      </c>
      <c r="AG304" s="89">
        <f t="shared" si="82"/>
        <v>33633</v>
      </c>
      <c r="AH304" s="91">
        <v>1179</v>
      </c>
      <c r="AI304" s="85">
        <f t="shared" si="78"/>
        <v>42385.05</v>
      </c>
      <c r="AJ304" s="91">
        <v>1272</v>
      </c>
      <c r="AK304" s="85">
        <f t="shared" si="79"/>
        <v>46644.240000000005</v>
      </c>
      <c r="AL304" s="113">
        <f t="shared" si="76"/>
        <v>10627</v>
      </c>
      <c r="AM304" s="23">
        <f t="shared" si="77"/>
        <v>368188.58999999997</v>
      </c>
    </row>
    <row r="305" spans="1:39" x14ac:dyDescent="0.5">
      <c r="A305" s="16">
        <v>301</v>
      </c>
      <c r="B305" s="97" t="s">
        <v>1437</v>
      </c>
      <c r="C305" s="92" t="s">
        <v>1438</v>
      </c>
      <c r="D305" s="93"/>
      <c r="E305" s="85">
        <f t="shared" si="87"/>
        <v>0</v>
      </c>
      <c r="F305" s="94"/>
      <c r="G305" s="85">
        <f t="shared" si="88"/>
        <v>0</v>
      </c>
      <c r="H305" s="94"/>
      <c r="I305" s="85">
        <f t="shared" si="89"/>
        <v>0</v>
      </c>
      <c r="J305" s="17"/>
      <c r="K305" s="86">
        <f t="shared" si="90"/>
        <v>0</v>
      </c>
      <c r="L305" s="94"/>
      <c r="M305" s="86">
        <f t="shared" si="91"/>
        <v>0</v>
      </c>
      <c r="N305" s="93"/>
      <c r="O305" s="86">
        <f t="shared" si="92"/>
        <v>0</v>
      </c>
      <c r="P305" s="93"/>
      <c r="Q305" s="86">
        <f t="shared" si="93"/>
        <v>0</v>
      </c>
      <c r="R305" s="95"/>
      <c r="S305" s="86">
        <f t="shared" si="94"/>
        <v>0</v>
      </c>
      <c r="T305" s="93"/>
      <c r="U305" s="86">
        <f t="shared" si="83"/>
        <v>0</v>
      </c>
      <c r="V305" s="93">
        <v>186</v>
      </c>
      <c r="W305" s="86">
        <f t="shared" si="84"/>
        <v>6537.9</v>
      </c>
      <c r="X305" s="93">
        <v>223</v>
      </c>
      <c r="Y305" s="86">
        <f t="shared" si="85"/>
        <v>7729.1799999999994</v>
      </c>
      <c r="Z305" s="93">
        <v>179</v>
      </c>
      <c r="AA305" s="85">
        <f t="shared" si="86"/>
        <v>6452.95</v>
      </c>
      <c r="AB305" s="96">
        <v>209</v>
      </c>
      <c r="AC305" s="85">
        <f t="shared" si="80"/>
        <v>7323.36</v>
      </c>
      <c r="AD305" s="91">
        <v>232</v>
      </c>
      <c r="AE305" s="85">
        <f t="shared" si="81"/>
        <v>7929.76</v>
      </c>
      <c r="AF305" s="93">
        <v>105</v>
      </c>
      <c r="AG305" s="89">
        <f t="shared" si="82"/>
        <v>3496.4999999999995</v>
      </c>
      <c r="AH305" s="91"/>
      <c r="AI305" s="85">
        <f t="shared" si="78"/>
        <v>0</v>
      </c>
      <c r="AJ305" s="91">
        <v>602</v>
      </c>
      <c r="AK305" s="85">
        <f t="shared" si="79"/>
        <v>22075.34</v>
      </c>
      <c r="AL305" s="113">
        <f t="shared" si="76"/>
        <v>1736</v>
      </c>
      <c r="AM305" s="23">
        <f t="shared" si="77"/>
        <v>61544.990000000005</v>
      </c>
    </row>
    <row r="306" spans="1:39" x14ac:dyDescent="0.5">
      <c r="A306" s="16">
        <v>302</v>
      </c>
      <c r="B306" s="97" t="s">
        <v>1439</v>
      </c>
      <c r="C306" s="92" t="s">
        <v>1438</v>
      </c>
      <c r="D306" s="93"/>
      <c r="E306" s="85">
        <f t="shared" si="87"/>
        <v>0</v>
      </c>
      <c r="F306" s="94"/>
      <c r="G306" s="85">
        <f t="shared" si="88"/>
        <v>0</v>
      </c>
      <c r="H306" s="94"/>
      <c r="I306" s="85">
        <f t="shared" si="89"/>
        <v>0</v>
      </c>
      <c r="J306" s="17"/>
      <c r="K306" s="86">
        <f t="shared" si="90"/>
        <v>0</v>
      </c>
      <c r="L306" s="94"/>
      <c r="M306" s="86">
        <f t="shared" si="91"/>
        <v>0</v>
      </c>
      <c r="N306" s="93"/>
      <c r="O306" s="86">
        <f t="shared" si="92"/>
        <v>0</v>
      </c>
      <c r="P306" s="93"/>
      <c r="Q306" s="86">
        <f t="shared" si="93"/>
        <v>0</v>
      </c>
      <c r="R306" s="95"/>
      <c r="S306" s="86">
        <f t="shared" si="94"/>
        <v>0</v>
      </c>
      <c r="T306" s="93">
        <v>346</v>
      </c>
      <c r="U306" s="86">
        <f t="shared" si="83"/>
        <v>11348.8</v>
      </c>
      <c r="V306" s="93">
        <v>165</v>
      </c>
      <c r="W306" s="86">
        <f t="shared" si="84"/>
        <v>5799.75</v>
      </c>
      <c r="X306" s="93">
        <v>195</v>
      </c>
      <c r="Y306" s="86">
        <f t="shared" si="85"/>
        <v>6758.6999999999989</v>
      </c>
      <c r="Z306" s="93">
        <v>133</v>
      </c>
      <c r="AA306" s="85">
        <f t="shared" si="86"/>
        <v>4794.6499999999996</v>
      </c>
      <c r="AB306" s="96">
        <v>160</v>
      </c>
      <c r="AC306" s="85">
        <f t="shared" si="80"/>
        <v>5606.4</v>
      </c>
      <c r="AD306" s="91">
        <v>222</v>
      </c>
      <c r="AE306" s="85">
        <f t="shared" si="81"/>
        <v>7587.96</v>
      </c>
      <c r="AF306" s="93">
        <v>132</v>
      </c>
      <c r="AG306" s="89">
        <f t="shared" si="82"/>
        <v>4395.5999999999995</v>
      </c>
      <c r="AH306" s="91">
        <v>370</v>
      </c>
      <c r="AI306" s="85">
        <f t="shared" si="78"/>
        <v>13301.500000000002</v>
      </c>
      <c r="AJ306" s="91">
        <v>426</v>
      </c>
      <c r="AK306" s="85">
        <f t="shared" si="79"/>
        <v>15621.42</v>
      </c>
      <c r="AL306" s="113">
        <f t="shared" si="76"/>
        <v>2149</v>
      </c>
      <c r="AM306" s="23">
        <f t="shared" si="77"/>
        <v>75214.78</v>
      </c>
    </row>
    <row r="307" spans="1:39" s="114" customFormat="1" x14ac:dyDescent="0.5">
      <c r="A307" s="16">
        <v>303</v>
      </c>
      <c r="B307" s="97" t="s">
        <v>1440</v>
      </c>
      <c r="C307" s="92" t="s">
        <v>1441</v>
      </c>
      <c r="D307" s="93"/>
      <c r="E307" s="85">
        <f t="shared" si="87"/>
        <v>0</v>
      </c>
      <c r="F307" s="94"/>
      <c r="G307" s="85">
        <f t="shared" si="88"/>
        <v>0</v>
      </c>
      <c r="H307" s="94"/>
      <c r="I307" s="85">
        <f t="shared" si="89"/>
        <v>0</v>
      </c>
      <c r="J307" s="17"/>
      <c r="K307" s="86">
        <f t="shared" si="90"/>
        <v>0</v>
      </c>
      <c r="L307" s="94"/>
      <c r="M307" s="86">
        <f t="shared" si="91"/>
        <v>0</v>
      </c>
      <c r="N307" s="93"/>
      <c r="O307" s="86">
        <f t="shared" si="92"/>
        <v>0</v>
      </c>
      <c r="P307" s="93"/>
      <c r="Q307" s="86">
        <f t="shared" si="93"/>
        <v>0</v>
      </c>
      <c r="R307" s="95">
        <v>279</v>
      </c>
      <c r="S307" s="86">
        <f t="shared" si="94"/>
        <v>9402.3000000000011</v>
      </c>
      <c r="T307" s="93"/>
      <c r="U307" s="86">
        <f t="shared" si="83"/>
        <v>0</v>
      </c>
      <c r="V307" s="93"/>
      <c r="W307" s="86">
        <f t="shared" si="84"/>
        <v>0</v>
      </c>
      <c r="X307" s="93"/>
      <c r="Y307" s="86">
        <f t="shared" si="85"/>
        <v>0</v>
      </c>
      <c r="Z307" s="93"/>
      <c r="AA307" s="85">
        <f t="shared" si="86"/>
        <v>0</v>
      </c>
      <c r="AB307" s="96"/>
      <c r="AC307" s="85">
        <f t="shared" si="80"/>
        <v>0</v>
      </c>
      <c r="AD307" s="91"/>
      <c r="AE307" s="85">
        <f t="shared" si="81"/>
        <v>0</v>
      </c>
      <c r="AF307" s="93"/>
      <c r="AG307" s="89">
        <f t="shared" si="82"/>
        <v>0</v>
      </c>
      <c r="AH307" s="91"/>
      <c r="AI307" s="85">
        <f t="shared" si="78"/>
        <v>0</v>
      </c>
      <c r="AJ307" s="91"/>
      <c r="AK307" s="85">
        <f t="shared" si="79"/>
        <v>0</v>
      </c>
      <c r="AL307" s="113">
        <f t="shared" si="76"/>
        <v>279</v>
      </c>
      <c r="AM307" s="23">
        <f t="shared" si="77"/>
        <v>9402.3000000000011</v>
      </c>
    </row>
    <row r="308" spans="1:39" s="114" customFormat="1" x14ac:dyDescent="0.5">
      <c r="A308" s="16">
        <v>304</v>
      </c>
      <c r="B308" s="97" t="s">
        <v>672</v>
      </c>
      <c r="C308" s="92" t="s">
        <v>1442</v>
      </c>
      <c r="D308" s="93"/>
      <c r="E308" s="85">
        <f t="shared" si="87"/>
        <v>0</v>
      </c>
      <c r="F308" s="94"/>
      <c r="G308" s="85">
        <f t="shared" si="88"/>
        <v>0</v>
      </c>
      <c r="H308" s="94"/>
      <c r="I308" s="85">
        <f t="shared" si="89"/>
        <v>0</v>
      </c>
      <c r="J308" s="17"/>
      <c r="K308" s="86">
        <f t="shared" si="90"/>
        <v>0</v>
      </c>
      <c r="L308" s="94"/>
      <c r="M308" s="86">
        <f t="shared" si="91"/>
        <v>0</v>
      </c>
      <c r="N308" s="93"/>
      <c r="O308" s="86">
        <f t="shared" si="92"/>
        <v>0</v>
      </c>
      <c r="P308" s="93">
        <v>240</v>
      </c>
      <c r="Q308" s="86">
        <f t="shared" si="93"/>
        <v>9288</v>
      </c>
      <c r="R308" s="95"/>
      <c r="S308" s="86">
        <f t="shared" si="94"/>
        <v>0</v>
      </c>
      <c r="T308" s="93"/>
      <c r="U308" s="86">
        <f t="shared" si="83"/>
        <v>0</v>
      </c>
      <c r="V308" s="93"/>
      <c r="W308" s="86">
        <f t="shared" si="84"/>
        <v>0</v>
      </c>
      <c r="X308" s="93"/>
      <c r="Y308" s="86">
        <f t="shared" si="85"/>
        <v>0</v>
      </c>
      <c r="Z308" s="93"/>
      <c r="AA308" s="85">
        <f t="shared" si="86"/>
        <v>0</v>
      </c>
      <c r="AB308" s="96"/>
      <c r="AC308" s="85">
        <f t="shared" si="80"/>
        <v>0</v>
      </c>
      <c r="AD308" s="91"/>
      <c r="AE308" s="85">
        <f t="shared" si="81"/>
        <v>0</v>
      </c>
      <c r="AF308" s="93"/>
      <c r="AG308" s="89">
        <f t="shared" si="82"/>
        <v>0</v>
      </c>
      <c r="AH308" s="91"/>
      <c r="AI308" s="85">
        <f t="shared" si="78"/>
        <v>0</v>
      </c>
      <c r="AJ308" s="91"/>
      <c r="AK308" s="85">
        <f t="shared" si="79"/>
        <v>0</v>
      </c>
      <c r="AL308" s="113">
        <f t="shared" si="76"/>
        <v>240</v>
      </c>
      <c r="AM308" s="23">
        <f t="shared" si="77"/>
        <v>9288</v>
      </c>
    </row>
    <row r="309" spans="1:39" s="114" customFormat="1" x14ac:dyDescent="0.5">
      <c r="A309" s="16">
        <v>305</v>
      </c>
      <c r="B309" s="97" t="s">
        <v>1443</v>
      </c>
      <c r="C309" s="92" t="s">
        <v>1444</v>
      </c>
      <c r="D309" s="93">
        <v>359</v>
      </c>
      <c r="E309" s="85">
        <f t="shared" si="87"/>
        <v>11172.08</v>
      </c>
      <c r="F309" s="94"/>
      <c r="G309" s="85">
        <f t="shared" si="88"/>
        <v>0</v>
      </c>
      <c r="H309" s="94"/>
      <c r="I309" s="85">
        <f t="shared" si="89"/>
        <v>0</v>
      </c>
      <c r="J309" s="17"/>
      <c r="K309" s="86">
        <f t="shared" si="90"/>
        <v>0</v>
      </c>
      <c r="L309" s="94">
        <v>352</v>
      </c>
      <c r="M309" s="86">
        <f t="shared" si="91"/>
        <v>13464</v>
      </c>
      <c r="N309" s="93">
        <v>333</v>
      </c>
      <c r="O309" s="86">
        <f t="shared" si="92"/>
        <v>13986</v>
      </c>
      <c r="P309" s="93">
        <v>302</v>
      </c>
      <c r="Q309" s="86">
        <f t="shared" si="93"/>
        <v>11687.400000000001</v>
      </c>
      <c r="R309" s="95">
        <v>287</v>
      </c>
      <c r="S309" s="86">
        <f t="shared" si="94"/>
        <v>9671.9000000000015</v>
      </c>
      <c r="T309" s="93">
        <v>384</v>
      </c>
      <c r="U309" s="86">
        <f t="shared" si="83"/>
        <v>12595.199999999999</v>
      </c>
      <c r="V309" s="93"/>
      <c r="W309" s="86">
        <f t="shared" si="84"/>
        <v>0</v>
      </c>
      <c r="X309" s="93"/>
      <c r="Y309" s="86">
        <f t="shared" si="85"/>
        <v>0</v>
      </c>
      <c r="Z309" s="93"/>
      <c r="AA309" s="85">
        <f t="shared" si="86"/>
        <v>0</v>
      </c>
      <c r="AB309" s="96"/>
      <c r="AC309" s="85">
        <f t="shared" si="80"/>
        <v>0</v>
      </c>
      <c r="AD309" s="91"/>
      <c r="AE309" s="85">
        <f t="shared" si="81"/>
        <v>0</v>
      </c>
      <c r="AF309" s="93"/>
      <c r="AG309" s="89">
        <f t="shared" si="82"/>
        <v>0</v>
      </c>
      <c r="AH309" s="91"/>
      <c r="AI309" s="85">
        <f t="shared" si="78"/>
        <v>0</v>
      </c>
      <c r="AJ309" s="91"/>
      <c r="AK309" s="85">
        <f t="shared" si="79"/>
        <v>0</v>
      </c>
      <c r="AL309" s="113">
        <f t="shared" si="76"/>
        <v>2017</v>
      </c>
      <c r="AM309" s="23">
        <f t="shared" si="77"/>
        <v>72576.58</v>
      </c>
    </row>
    <row r="310" spans="1:39" s="114" customFormat="1" x14ac:dyDescent="0.5">
      <c r="A310" s="16">
        <v>306</v>
      </c>
      <c r="B310" s="97" t="s">
        <v>1445</v>
      </c>
      <c r="C310" s="92" t="s">
        <v>891</v>
      </c>
      <c r="D310" s="93"/>
      <c r="E310" s="85">
        <f t="shared" si="87"/>
        <v>0</v>
      </c>
      <c r="F310" s="94"/>
      <c r="G310" s="85">
        <f t="shared" si="88"/>
        <v>0</v>
      </c>
      <c r="H310" s="94"/>
      <c r="I310" s="85">
        <f t="shared" si="89"/>
        <v>0</v>
      </c>
      <c r="J310" s="17"/>
      <c r="K310" s="86">
        <f t="shared" si="90"/>
        <v>0</v>
      </c>
      <c r="L310" s="94"/>
      <c r="M310" s="86">
        <f t="shared" si="91"/>
        <v>0</v>
      </c>
      <c r="N310" s="93"/>
      <c r="O310" s="86">
        <f t="shared" si="92"/>
        <v>0</v>
      </c>
      <c r="P310" s="93"/>
      <c r="Q310" s="86">
        <f t="shared" si="93"/>
        <v>0</v>
      </c>
      <c r="R310" s="95"/>
      <c r="S310" s="86">
        <f t="shared" si="94"/>
        <v>0</v>
      </c>
      <c r="T310" s="93"/>
      <c r="U310" s="86">
        <f t="shared" si="83"/>
        <v>0</v>
      </c>
      <c r="V310" s="93"/>
      <c r="W310" s="86">
        <f t="shared" si="84"/>
        <v>0</v>
      </c>
      <c r="X310" s="93"/>
      <c r="Y310" s="86">
        <f t="shared" si="85"/>
        <v>0</v>
      </c>
      <c r="Z310" s="93">
        <v>497</v>
      </c>
      <c r="AA310" s="85">
        <f t="shared" si="86"/>
        <v>17916.849999999999</v>
      </c>
      <c r="AB310" s="96"/>
      <c r="AC310" s="85">
        <f t="shared" si="80"/>
        <v>0</v>
      </c>
      <c r="AD310" s="91"/>
      <c r="AE310" s="85">
        <f t="shared" si="81"/>
        <v>0</v>
      </c>
      <c r="AF310" s="93"/>
      <c r="AG310" s="89">
        <f t="shared" si="82"/>
        <v>0</v>
      </c>
      <c r="AH310" s="91"/>
      <c r="AI310" s="85">
        <f t="shared" si="78"/>
        <v>0</v>
      </c>
      <c r="AJ310" s="91"/>
      <c r="AK310" s="85">
        <f t="shared" si="79"/>
        <v>0</v>
      </c>
      <c r="AL310" s="113">
        <f t="shared" si="76"/>
        <v>497</v>
      </c>
      <c r="AM310" s="23">
        <f t="shared" si="77"/>
        <v>17916.849999999999</v>
      </c>
    </row>
    <row r="311" spans="1:39" x14ac:dyDescent="0.5">
      <c r="A311" s="16">
        <v>307</v>
      </c>
      <c r="B311" s="97" t="s">
        <v>1446</v>
      </c>
      <c r="C311" s="92" t="s">
        <v>1447</v>
      </c>
      <c r="D311" s="93"/>
      <c r="E311" s="85">
        <f t="shared" si="87"/>
        <v>0</v>
      </c>
      <c r="F311" s="94"/>
      <c r="G311" s="85">
        <f t="shared" si="88"/>
        <v>0</v>
      </c>
      <c r="H311" s="94"/>
      <c r="I311" s="85">
        <f t="shared" si="89"/>
        <v>0</v>
      </c>
      <c r="J311" s="17"/>
      <c r="K311" s="86">
        <f t="shared" si="90"/>
        <v>0</v>
      </c>
      <c r="L311" s="94"/>
      <c r="M311" s="86">
        <f t="shared" si="91"/>
        <v>0</v>
      </c>
      <c r="N311" s="93"/>
      <c r="O311" s="86">
        <f t="shared" si="92"/>
        <v>0</v>
      </c>
      <c r="P311" s="93">
        <v>637</v>
      </c>
      <c r="Q311" s="86">
        <f t="shared" si="93"/>
        <v>24651.9</v>
      </c>
      <c r="R311" s="95">
        <v>648</v>
      </c>
      <c r="S311" s="86">
        <f t="shared" si="94"/>
        <v>21837.600000000002</v>
      </c>
      <c r="T311" s="93">
        <v>694</v>
      </c>
      <c r="U311" s="86">
        <f t="shared" si="83"/>
        <v>22763.199999999997</v>
      </c>
      <c r="V311" s="93">
        <v>743</v>
      </c>
      <c r="W311" s="86">
        <f t="shared" si="84"/>
        <v>26116.45</v>
      </c>
      <c r="X311" s="93">
        <v>301</v>
      </c>
      <c r="Y311" s="86">
        <f t="shared" si="85"/>
        <v>10432.66</v>
      </c>
      <c r="Z311" s="93">
        <v>472</v>
      </c>
      <c r="AA311" s="85">
        <f t="shared" si="86"/>
        <v>17015.599999999999</v>
      </c>
      <c r="AB311" s="96">
        <v>815</v>
      </c>
      <c r="AC311" s="85">
        <f t="shared" si="80"/>
        <v>28557.599999999999</v>
      </c>
      <c r="AD311" s="91">
        <v>739</v>
      </c>
      <c r="AE311" s="85">
        <f t="shared" si="81"/>
        <v>25259.02</v>
      </c>
      <c r="AF311" s="93">
        <v>795</v>
      </c>
      <c r="AG311" s="89">
        <f t="shared" si="82"/>
        <v>26473.499999999996</v>
      </c>
      <c r="AH311" s="91">
        <v>879</v>
      </c>
      <c r="AI311" s="85">
        <f t="shared" si="78"/>
        <v>31600.050000000003</v>
      </c>
      <c r="AJ311" s="91">
        <v>854</v>
      </c>
      <c r="AK311" s="85">
        <f t="shared" si="79"/>
        <v>31316.18</v>
      </c>
      <c r="AL311" s="113">
        <f t="shared" si="76"/>
        <v>7577</v>
      </c>
      <c r="AM311" s="23">
        <f t="shared" si="77"/>
        <v>266023.76</v>
      </c>
    </row>
    <row r="312" spans="1:39" x14ac:dyDescent="0.5">
      <c r="A312" s="16">
        <v>308</v>
      </c>
      <c r="B312" s="97" t="s">
        <v>1448</v>
      </c>
      <c r="C312" s="92" t="s">
        <v>1449</v>
      </c>
      <c r="D312" s="93"/>
      <c r="E312" s="85">
        <f t="shared" si="87"/>
        <v>0</v>
      </c>
      <c r="F312" s="94"/>
      <c r="G312" s="85">
        <f t="shared" si="88"/>
        <v>0</v>
      </c>
      <c r="H312" s="94"/>
      <c r="I312" s="85">
        <f t="shared" si="89"/>
        <v>0</v>
      </c>
      <c r="J312" s="17"/>
      <c r="K312" s="86">
        <f t="shared" si="90"/>
        <v>0</v>
      </c>
      <c r="L312" s="94"/>
      <c r="M312" s="86">
        <f t="shared" si="91"/>
        <v>0</v>
      </c>
      <c r="N312" s="93"/>
      <c r="O312" s="86">
        <f t="shared" si="92"/>
        <v>0</v>
      </c>
      <c r="P312" s="93"/>
      <c r="Q312" s="86">
        <f t="shared" si="93"/>
        <v>0</v>
      </c>
      <c r="R312" s="95">
        <v>335</v>
      </c>
      <c r="S312" s="86">
        <f t="shared" si="94"/>
        <v>11289.500000000002</v>
      </c>
      <c r="T312" s="93">
        <v>393</v>
      </c>
      <c r="U312" s="86">
        <f t="shared" si="83"/>
        <v>12890.4</v>
      </c>
      <c r="V312" s="93"/>
      <c r="W312" s="86">
        <f t="shared" si="84"/>
        <v>0</v>
      </c>
      <c r="X312" s="93">
        <v>570</v>
      </c>
      <c r="Y312" s="86">
        <f t="shared" si="85"/>
        <v>19756.199999999997</v>
      </c>
      <c r="Z312" s="93">
        <v>180</v>
      </c>
      <c r="AA312" s="85">
        <f t="shared" si="86"/>
        <v>6488.9999999999991</v>
      </c>
      <c r="AB312" s="96">
        <v>584</v>
      </c>
      <c r="AC312" s="85">
        <f t="shared" si="80"/>
        <v>20463.36</v>
      </c>
      <c r="AD312" s="91">
        <v>478</v>
      </c>
      <c r="AE312" s="85">
        <f t="shared" si="81"/>
        <v>16338.039999999999</v>
      </c>
      <c r="AF312" s="93">
        <v>461</v>
      </c>
      <c r="AG312" s="89">
        <f t="shared" si="82"/>
        <v>15351.3</v>
      </c>
      <c r="AH312" s="91">
        <v>468</v>
      </c>
      <c r="AI312" s="85">
        <f t="shared" si="78"/>
        <v>16824.600000000002</v>
      </c>
      <c r="AJ312" s="91">
        <v>478</v>
      </c>
      <c r="AK312" s="85">
        <f t="shared" si="79"/>
        <v>17528.260000000002</v>
      </c>
      <c r="AL312" s="113">
        <f t="shared" si="76"/>
        <v>3947</v>
      </c>
      <c r="AM312" s="23">
        <f t="shared" si="77"/>
        <v>136930.66</v>
      </c>
    </row>
    <row r="313" spans="1:39" s="114" customFormat="1" x14ac:dyDescent="0.5">
      <c r="A313" s="16">
        <v>309</v>
      </c>
      <c r="B313" s="97" t="s">
        <v>1450</v>
      </c>
      <c r="C313" s="92" t="s">
        <v>1451</v>
      </c>
      <c r="D313" s="93"/>
      <c r="E313" s="85">
        <f t="shared" si="87"/>
        <v>0</v>
      </c>
      <c r="F313" s="94"/>
      <c r="G313" s="85">
        <f t="shared" si="88"/>
        <v>0</v>
      </c>
      <c r="H313" s="94"/>
      <c r="I313" s="85">
        <f t="shared" si="89"/>
        <v>0</v>
      </c>
      <c r="J313" s="17"/>
      <c r="K313" s="86">
        <f t="shared" si="90"/>
        <v>0</v>
      </c>
      <c r="L313" s="94"/>
      <c r="M313" s="86">
        <f t="shared" si="91"/>
        <v>0</v>
      </c>
      <c r="N313" s="93"/>
      <c r="O313" s="86">
        <f t="shared" si="92"/>
        <v>0</v>
      </c>
      <c r="P313" s="93">
        <v>221</v>
      </c>
      <c r="Q313" s="86">
        <f t="shared" si="93"/>
        <v>8552.7000000000007</v>
      </c>
      <c r="R313" s="95">
        <v>265</v>
      </c>
      <c r="S313" s="86">
        <f t="shared" si="94"/>
        <v>8930.5</v>
      </c>
      <c r="T313" s="93">
        <v>277</v>
      </c>
      <c r="U313" s="86">
        <f t="shared" si="83"/>
        <v>9085.5999999999985</v>
      </c>
      <c r="V313" s="93">
        <v>319</v>
      </c>
      <c r="W313" s="86">
        <f t="shared" si="84"/>
        <v>11212.85</v>
      </c>
      <c r="X313" s="93">
        <v>225</v>
      </c>
      <c r="Y313" s="86">
        <f t="shared" si="85"/>
        <v>7798.4999999999991</v>
      </c>
      <c r="Z313" s="93"/>
      <c r="AA313" s="85">
        <f t="shared" si="86"/>
        <v>0</v>
      </c>
      <c r="AB313" s="96"/>
      <c r="AC313" s="85">
        <f t="shared" si="80"/>
        <v>0</v>
      </c>
      <c r="AD313" s="91"/>
      <c r="AE313" s="85">
        <f t="shared" si="81"/>
        <v>0</v>
      </c>
      <c r="AF313" s="93"/>
      <c r="AG313" s="89">
        <f t="shared" si="82"/>
        <v>0</v>
      </c>
      <c r="AH313" s="91"/>
      <c r="AI313" s="85">
        <f t="shared" si="78"/>
        <v>0</v>
      </c>
      <c r="AJ313" s="91"/>
      <c r="AK313" s="85">
        <f t="shared" si="79"/>
        <v>0</v>
      </c>
      <c r="AL313" s="113">
        <f t="shared" si="76"/>
        <v>1307</v>
      </c>
      <c r="AM313" s="23">
        <f t="shared" si="77"/>
        <v>45580.15</v>
      </c>
    </row>
    <row r="314" spans="1:39" s="114" customFormat="1" x14ac:dyDescent="0.5">
      <c r="A314" s="16">
        <v>310</v>
      </c>
      <c r="B314" s="97" t="s">
        <v>1452</v>
      </c>
      <c r="C314" s="92" t="s">
        <v>1453</v>
      </c>
      <c r="D314" s="93"/>
      <c r="E314" s="85">
        <f t="shared" si="87"/>
        <v>0</v>
      </c>
      <c r="F314" s="94"/>
      <c r="G314" s="85">
        <f t="shared" si="88"/>
        <v>0</v>
      </c>
      <c r="H314" s="94"/>
      <c r="I314" s="85">
        <f t="shared" si="89"/>
        <v>0</v>
      </c>
      <c r="J314" s="17"/>
      <c r="K314" s="86">
        <f t="shared" si="90"/>
        <v>0</v>
      </c>
      <c r="L314" s="94"/>
      <c r="M314" s="86">
        <f t="shared" si="91"/>
        <v>0</v>
      </c>
      <c r="N314" s="93">
        <v>364</v>
      </c>
      <c r="O314" s="86">
        <f t="shared" si="92"/>
        <v>15288</v>
      </c>
      <c r="P314" s="93"/>
      <c r="Q314" s="86">
        <f t="shared" si="93"/>
        <v>0</v>
      </c>
      <c r="R314" s="95"/>
      <c r="S314" s="86">
        <f t="shared" si="94"/>
        <v>0</v>
      </c>
      <c r="T314" s="93"/>
      <c r="U314" s="86">
        <f t="shared" si="83"/>
        <v>0</v>
      </c>
      <c r="V314" s="93"/>
      <c r="W314" s="86">
        <f t="shared" si="84"/>
        <v>0</v>
      </c>
      <c r="X314" s="93"/>
      <c r="Y314" s="86">
        <f t="shared" si="85"/>
        <v>0</v>
      </c>
      <c r="Z314" s="93"/>
      <c r="AA314" s="85">
        <f t="shared" si="86"/>
        <v>0</v>
      </c>
      <c r="AB314" s="96"/>
      <c r="AC314" s="85">
        <f t="shared" si="80"/>
        <v>0</v>
      </c>
      <c r="AD314" s="91"/>
      <c r="AE314" s="85">
        <f t="shared" si="81"/>
        <v>0</v>
      </c>
      <c r="AF314" s="93"/>
      <c r="AG314" s="89">
        <f t="shared" si="82"/>
        <v>0</v>
      </c>
      <c r="AH314" s="91"/>
      <c r="AI314" s="85">
        <f t="shared" si="78"/>
        <v>0</v>
      </c>
      <c r="AJ314" s="91"/>
      <c r="AK314" s="85">
        <f t="shared" si="79"/>
        <v>0</v>
      </c>
      <c r="AL314" s="113">
        <f t="shared" si="76"/>
        <v>364</v>
      </c>
      <c r="AM314" s="23">
        <f t="shared" si="77"/>
        <v>15288</v>
      </c>
    </row>
    <row r="315" spans="1:39" x14ac:dyDescent="0.5">
      <c r="A315" s="16">
        <v>311</v>
      </c>
      <c r="B315" s="97" t="s">
        <v>485</v>
      </c>
      <c r="C315" s="92" t="s">
        <v>1454</v>
      </c>
      <c r="D315" s="93"/>
      <c r="E315" s="85">
        <f t="shared" si="87"/>
        <v>0</v>
      </c>
      <c r="F315" s="94"/>
      <c r="G315" s="85">
        <f t="shared" si="88"/>
        <v>0</v>
      </c>
      <c r="H315" s="94">
        <v>280</v>
      </c>
      <c r="I315" s="85">
        <f t="shared" si="89"/>
        <v>9242.7999999999993</v>
      </c>
      <c r="J315" s="17">
        <v>256</v>
      </c>
      <c r="K315" s="86">
        <f t="shared" si="90"/>
        <v>8990.7199999999993</v>
      </c>
      <c r="L315" s="94">
        <v>404</v>
      </c>
      <c r="M315" s="86">
        <f t="shared" si="91"/>
        <v>15453</v>
      </c>
      <c r="N315" s="93">
        <v>420</v>
      </c>
      <c r="O315" s="86">
        <f t="shared" si="92"/>
        <v>17640</v>
      </c>
      <c r="P315" s="93">
        <v>433</v>
      </c>
      <c r="Q315" s="86">
        <f t="shared" si="93"/>
        <v>16757.100000000002</v>
      </c>
      <c r="R315" s="95">
        <v>406</v>
      </c>
      <c r="S315" s="86">
        <f t="shared" si="94"/>
        <v>13682.2</v>
      </c>
      <c r="T315" s="93">
        <v>347</v>
      </c>
      <c r="U315" s="86">
        <f t="shared" si="83"/>
        <v>11381.599999999999</v>
      </c>
      <c r="V315" s="93"/>
      <c r="W315" s="86">
        <f t="shared" si="84"/>
        <v>0</v>
      </c>
      <c r="X315" s="93">
        <v>345</v>
      </c>
      <c r="Y315" s="86">
        <f t="shared" si="85"/>
        <v>11957.699999999999</v>
      </c>
      <c r="Z315" s="93">
        <v>394</v>
      </c>
      <c r="AA315" s="85">
        <f t="shared" si="86"/>
        <v>14203.699999999999</v>
      </c>
      <c r="AB315" s="96">
        <v>372</v>
      </c>
      <c r="AC315" s="85">
        <f t="shared" si="80"/>
        <v>13034.88</v>
      </c>
      <c r="AD315" s="91">
        <v>442</v>
      </c>
      <c r="AE315" s="85">
        <f t="shared" si="81"/>
        <v>15107.56</v>
      </c>
      <c r="AF315" s="93">
        <v>396</v>
      </c>
      <c r="AG315" s="89">
        <f t="shared" si="82"/>
        <v>13186.8</v>
      </c>
      <c r="AH315" s="91">
        <v>946</v>
      </c>
      <c r="AI315" s="85">
        <f t="shared" si="78"/>
        <v>34008.700000000004</v>
      </c>
      <c r="AJ315" s="91">
        <v>951</v>
      </c>
      <c r="AK315" s="85">
        <f t="shared" si="79"/>
        <v>34873.17</v>
      </c>
      <c r="AL315" s="113">
        <f t="shared" si="76"/>
        <v>6392</v>
      </c>
      <c r="AM315" s="23">
        <f t="shared" si="77"/>
        <v>229519.93</v>
      </c>
    </row>
    <row r="316" spans="1:39" s="114" customFormat="1" x14ac:dyDescent="0.5">
      <c r="A316" s="16">
        <v>312</v>
      </c>
      <c r="B316" s="97" t="s">
        <v>1455</v>
      </c>
      <c r="C316" s="92" t="s">
        <v>1456</v>
      </c>
      <c r="D316" s="93">
        <v>344</v>
      </c>
      <c r="E316" s="85">
        <f t="shared" si="87"/>
        <v>10705.28</v>
      </c>
      <c r="F316" s="94">
        <v>236</v>
      </c>
      <c r="G316" s="85">
        <f t="shared" si="88"/>
        <v>7648.7599999999993</v>
      </c>
      <c r="H316" s="94"/>
      <c r="I316" s="85">
        <f t="shared" si="89"/>
        <v>0</v>
      </c>
      <c r="J316" s="17"/>
      <c r="K316" s="86">
        <f t="shared" si="90"/>
        <v>0</v>
      </c>
      <c r="L316" s="94">
        <v>232</v>
      </c>
      <c r="M316" s="86">
        <f t="shared" si="91"/>
        <v>8874</v>
      </c>
      <c r="N316" s="93">
        <v>456</v>
      </c>
      <c r="O316" s="86">
        <f t="shared" si="92"/>
        <v>19152</v>
      </c>
      <c r="P316" s="93">
        <v>394</v>
      </c>
      <c r="Q316" s="86">
        <f t="shared" si="93"/>
        <v>15247.800000000001</v>
      </c>
      <c r="R316" s="95"/>
      <c r="S316" s="86">
        <f t="shared" si="94"/>
        <v>0</v>
      </c>
      <c r="T316" s="93"/>
      <c r="U316" s="86">
        <f t="shared" si="83"/>
        <v>0</v>
      </c>
      <c r="V316" s="93"/>
      <c r="W316" s="86">
        <f t="shared" si="84"/>
        <v>0</v>
      </c>
      <c r="X316" s="93"/>
      <c r="Y316" s="86">
        <f t="shared" si="85"/>
        <v>0</v>
      </c>
      <c r="Z316" s="93"/>
      <c r="AA316" s="85">
        <f t="shared" si="86"/>
        <v>0</v>
      </c>
      <c r="AB316" s="96"/>
      <c r="AC316" s="85">
        <f t="shared" si="80"/>
        <v>0</v>
      </c>
      <c r="AD316" s="91"/>
      <c r="AE316" s="85">
        <f t="shared" si="81"/>
        <v>0</v>
      </c>
      <c r="AF316" s="93"/>
      <c r="AG316" s="89">
        <f t="shared" si="82"/>
        <v>0</v>
      </c>
      <c r="AH316" s="91"/>
      <c r="AI316" s="85">
        <f t="shared" si="78"/>
        <v>0</v>
      </c>
      <c r="AJ316" s="91"/>
      <c r="AK316" s="85">
        <f t="shared" si="79"/>
        <v>0</v>
      </c>
      <c r="AL316" s="113">
        <f t="shared" si="76"/>
        <v>1662</v>
      </c>
      <c r="AM316" s="23">
        <f t="shared" si="77"/>
        <v>61627.840000000004</v>
      </c>
    </row>
    <row r="317" spans="1:39" s="114" customFormat="1" x14ac:dyDescent="0.5">
      <c r="A317" s="16">
        <v>313</v>
      </c>
      <c r="B317" s="97" t="s">
        <v>1457</v>
      </c>
      <c r="C317" s="92" t="s">
        <v>1340</v>
      </c>
      <c r="D317" s="93">
        <v>1198</v>
      </c>
      <c r="E317" s="85">
        <f t="shared" si="87"/>
        <v>37281.760000000002</v>
      </c>
      <c r="F317" s="94">
        <v>590</v>
      </c>
      <c r="G317" s="85">
        <f t="shared" si="88"/>
        <v>19121.899999999998</v>
      </c>
      <c r="H317" s="94">
        <v>490</v>
      </c>
      <c r="I317" s="85">
        <f t="shared" si="89"/>
        <v>16174.9</v>
      </c>
      <c r="J317" s="17">
        <v>455</v>
      </c>
      <c r="K317" s="86">
        <f t="shared" si="90"/>
        <v>15979.599999999999</v>
      </c>
      <c r="L317" s="94"/>
      <c r="M317" s="86">
        <f t="shared" si="91"/>
        <v>0</v>
      </c>
      <c r="N317" s="93">
        <v>921</v>
      </c>
      <c r="O317" s="86">
        <f t="shared" si="92"/>
        <v>38682</v>
      </c>
      <c r="P317" s="93">
        <v>505</v>
      </c>
      <c r="Q317" s="86">
        <f t="shared" si="93"/>
        <v>19543.5</v>
      </c>
      <c r="R317" s="95"/>
      <c r="S317" s="86">
        <f t="shared" si="94"/>
        <v>0</v>
      </c>
      <c r="T317" s="93"/>
      <c r="U317" s="86">
        <f t="shared" si="83"/>
        <v>0</v>
      </c>
      <c r="V317" s="93"/>
      <c r="W317" s="86">
        <f t="shared" si="84"/>
        <v>0</v>
      </c>
      <c r="X317" s="93"/>
      <c r="Y317" s="86">
        <f t="shared" si="85"/>
        <v>0</v>
      </c>
      <c r="Z317" s="93"/>
      <c r="AA317" s="85">
        <f t="shared" si="86"/>
        <v>0</v>
      </c>
      <c r="AB317" s="96"/>
      <c r="AC317" s="85">
        <f t="shared" si="80"/>
        <v>0</v>
      </c>
      <c r="AD317" s="91"/>
      <c r="AE317" s="85">
        <f t="shared" si="81"/>
        <v>0</v>
      </c>
      <c r="AF317" s="93"/>
      <c r="AG317" s="89">
        <f t="shared" si="82"/>
        <v>0</v>
      </c>
      <c r="AH317" s="91"/>
      <c r="AI317" s="85">
        <f t="shared" si="78"/>
        <v>0</v>
      </c>
      <c r="AJ317" s="91"/>
      <c r="AK317" s="85">
        <f t="shared" si="79"/>
        <v>0</v>
      </c>
      <c r="AL317" s="113">
        <f t="shared" si="76"/>
        <v>4159</v>
      </c>
      <c r="AM317" s="23">
        <f t="shared" si="77"/>
        <v>146783.66</v>
      </c>
    </row>
    <row r="318" spans="1:39" s="114" customFormat="1" x14ac:dyDescent="0.5">
      <c r="A318" s="16">
        <v>314</v>
      </c>
      <c r="B318" s="97" t="s">
        <v>1458</v>
      </c>
      <c r="C318" s="92" t="s">
        <v>1459</v>
      </c>
      <c r="D318" s="93"/>
      <c r="E318" s="85">
        <f t="shared" si="87"/>
        <v>0</v>
      </c>
      <c r="F318" s="94"/>
      <c r="G318" s="85">
        <f t="shared" si="88"/>
        <v>0</v>
      </c>
      <c r="H318" s="94"/>
      <c r="I318" s="85">
        <f t="shared" si="89"/>
        <v>0</v>
      </c>
      <c r="J318" s="17"/>
      <c r="K318" s="86">
        <f t="shared" si="90"/>
        <v>0</v>
      </c>
      <c r="L318" s="94"/>
      <c r="M318" s="86">
        <f t="shared" si="91"/>
        <v>0</v>
      </c>
      <c r="N318" s="93"/>
      <c r="O318" s="86">
        <f t="shared" si="92"/>
        <v>0</v>
      </c>
      <c r="P318" s="93"/>
      <c r="Q318" s="86">
        <f t="shared" si="93"/>
        <v>0</v>
      </c>
      <c r="R318" s="95"/>
      <c r="S318" s="86">
        <f t="shared" si="94"/>
        <v>0</v>
      </c>
      <c r="T318" s="93"/>
      <c r="U318" s="86">
        <f t="shared" si="83"/>
        <v>0</v>
      </c>
      <c r="V318" s="93"/>
      <c r="W318" s="86">
        <f t="shared" si="84"/>
        <v>0</v>
      </c>
      <c r="X318" s="93"/>
      <c r="Y318" s="86">
        <f t="shared" si="85"/>
        <v>0</v>
      </c>
      <c r="Z318" s="93"/>
      <c r="AA318" s="85">
        <f t="shared" si="86"/>
        <v>0</v>
      </c>
      <c r="AB318" s="96"/>
      <c r="AC318" s="85">
        <f t="shared" si="80"/>
        <v>0</v>
      </c>
      <c r="AD318" s="91"/>
      <c r="AE318" s="85">
        <f t="shared" si="81"/>
        <v>0</v>
      </c>
      <c r="AF318" s="93"/>
      <c r="AG318" s="89">
        <f t="shared" si="82"/>
        <v>0</v>
      </c>
      <c r="AH318" s="91"/>
      <c r="AI318" s="85">
        <f t="shared" si="78"/>
        <v>0</v>
      </c>
      <c r="AJ318" s="91"/>
      <c r="AK318" s="85">
        <f t="shared" si="79"/>
        <v>0</v>
      </c>
      <c r="AL318" s="113">
        <f t="shared" si="76"/>
        <v>0</v>
      </c>
      <c r="AM318" s="23">
        <f t="shared" si="77"/>
        <v>0</v>
      </c>
    </row>
    <row r="319" spans="1:39" x14ac:dyDescent="0.5">
      <c r="A319" s="16">
        <v>315</v>
      </c>
      <c r="B319" s="97" t="s">
        <v>1460</v>
      </c>
      <c r="C319" s="92" t="s">
        <v>1461</v>
      </c>
      <c r="D319" s="93">
        <v>1352</v>
      </c>
      <c r="E319" s="85">
        <f t="shared" si="87"/>
        <v>42074.239999999998</v>
      </c>
      <c r="F319" s="94">
        <v>427</v>
      </c>
      <c r="G319" s="85">
        <f t="shared" si="88"/>
        <v>13839.069999999998</v>
      </c>
      <c r="H319" s="94"/>
      <c r="I319" s="85">
        <f t="shared" si="89"/>
        <v>0</v>
      </c>
      <c r="J319" s="17">
        <v>958</v>
      </c>
      <c r="K319" s="86">
        <f t="shared" si="90"/>
        <v>33644.959999999999</v>
      </c>
      <c r="L319" s="94">
        <v>700</v>
      </c>
      <c r="M319" s="86">
        <f t="shared" si="91"/>
        <v>26775</v>
      </c>
      <c r="N319" s="93">
        <v>992</v>
      </c>
      <c r="O319" s="86">
        <f t="shared" si="92"/>
        <v>41664</v>
      </c>
      <c r="P319" s="93">
        <v>773</v>
      </c>
      <c r="Q319" s="86">
        <f t="shared" si="93"/>
        <v>29915.100000000002</v>
      </c>
      <c r="R319" s="95">
        <v>969</v>
      </c>
      <c r="S319" s="86">
        <f t="shared" si="94"/>
        <v>32655.300000000003</v>
      </c>
      <c r="T319" s="93">
        <v>1124</v>
      </c>
      <c r="U319" s="86">
        <f t="shared" si="83"/>
        <v>36867.199999999997</v>
      </c>
      <c r="V319" s="93">
        <v>687</v>
      </c>
      <c r="W319" s="86">
        <f t="shared" si="84"/>
        <v>24148.05</v>
      </c>
      <c r="X319" s="93">
        <v>721</v>
      </c>
      <c r="Y319" s="86">
        <f t="shared" si="85"/>
        <v>24989.859999999997</v>
      </c>
      <c r="Z319" s="93">
        <v>540</v>
      </c>
      <c r="AA319" s="85">
        <f t="shared" si="86"/>
        <v>19467</v>
      </c>
      <c r="AB319" s="96">
        <v>754</v>
      </c>
      <c r="AC319" s="85">
        <f t="shared" si="80"/>
        <v>26420.16</v>
      </c>
      <c r="AD319" s="91">
        <v>1228</v>
      </c>
      <c r="AE319" s="85">
        <f t="shared" si="81"/>
        <v>41973.04</v>
      </c>
      <c r="AF319" s="93">
        <v>916</v>
      </c>
      <c r="AG319" s="89">
        <f t="shared" si="82"/>
        <v>30502.799999999996</v>
      </c>
      <c r="AH319" s="91">
        <v>925</v>
      </c>
      <c r="AI319" s="85">
        <f t="shared" si="78"/>
        <v>33253.75</v>
      </c>
      <c r="AJ319" s="91">
        <v>911</v>
      </c>
      <c r="AK319" s="85">
        <f t="shared" si="79"/>
        <v>33406.370000000003</v>
      </c>
      <c r="AL319" s="113">
        <f t="shared" si="76"/>
        <v>13977</v>
      </c>
      <c r="AM319" s="23">
        <f t="shared" si="77"/>
        <v>491595.89999999991</v>
      </c>
    </row>
    <row r="320" spans="1:39" s="114" customFormat="1" x14ac:dyDescent="0.5">
      <c r="A320" s="16">
        <v>316</v>
      </c>
      <c r="B320" s="97" t="s">
        <v>1462</v>
      </c>
      <c r="C320" s="92" t="s">
        <v>1463</v>
      </c>
      <c r="D320" s="93">
        <v>203</v>
      </c>
      <c r="E320" s="85">
        <f t="shared" si="87"/>
        <v>6317.3600000000006</v>
      </c>
      <c r="F320" s="94"/>
      <c r="G320" s="85">
        <f t="shared" si="88"/>
        <v>0</v>
      </c>
      <c r="H320" s="94"/>
      <c r="I320" s="85">
        <f t="shared" si="89"/>
        <v>0</v>
      </c>
      <c r="J320" s="17"/>
      <c r="K320" s="86">
        <f t="shared" si="90"/>
        <v>0</v>
      </c>
      <c r="L320" s="94"/>
      <c r="M320" s="86">
        <f t="shared" si="91"/>
        <v>0</v>
      </c>
      <c r="N320" s="93"/>
      <c r="O320" s="86">
        <f t="shared" si="92"/>
        <v>0</v>
      </c>
      <c r="P320" s="93"/>
      <c r="Q320" s="86">
        <f t="shared" si="93"/>
        <v>0</v>
      </c>
      <c r="R320" s="95"/>
      <c r="S320" s="86">
        <f t="shared" si="94"/>
        <v>0</v>
      </c>
      <c r="T320" s="93"/>
      <c r="U320" s="86">
        <f t="shared" si="83"/>
        <v>0</v>
      </c>
      <c r="V320" s="93"/>
      <c r="W320" s="86">
        <f t="shared" si="84"/>
        <v>0</v>
      </c>
      <c r="X320" s="93"/>
      <c r="Y320" s="86">
        <f t="shared" si="85"/>
        <v>0</v>
      </c>
      <c r="Z320" s="93"/>
      <c r="AA320" s="85">
        <f t="shared" si="86"/>
        <v>0</v>
      </c>
      <c r="AB320" s="96"/>
      <c r="AC320" s="85">
        <f t="shared" si="80"/>
        <v>0</v>
      </c>
      <c r="AD320" s="91"/>
      <c r="AE320" s="85">
        <f t="shared" si="81"/>
        <v>0</v>
      </c>
      <c r="AF320" s="93"/>
      <c r="AG320" s="89">
        <f t="shared" si="82"/>
        <v>0</v>
      </c>
      <c r="AH320" s="91"/>
      <c r="AI320" s="85">
        <f t="shared" si="78"/>
        <v>0</v>
      </c>
      <c r="AJ320" s="91"/>
      <c r="AK320" s="85">
        <f t="shared" si="79"/>
        <v>0</v>
      </c>
      <c r="AL320" s="113">
        <f t="shared" si="76"/>
        <v>203</v>
      </c>
      <c r="AM320" s="23">
        <f t="shared" si="77"/>
        <v>6317.3600000000006</v>
      </c>
    </row>
    <row r="321" spans="1:39" s="114" customFormat="1" x14ac:dyDescent="0.5">
      <c r="A321" s="16">
        <v>317</v>
      </c>
      <c r="B321" s="97" t="s">
        <v>288</v>
      </c>
      <c r="C321" s="92" t="s">
        <v>1464</v>
      </c>
      <c r="D321" s="93">
        <v>580</v>
      </c>
      <c r="E321" s="85">
        <f t="shared" si="87"/>
        <v>18049.600000000002</v>
      </c>
      <c r="F321" s="94">
        <v>333</v>
      </c>
      <c r="G321" s="85">
        <f t="shared" si="88"/>
        <v>10792.529999999999</v>
      </c>
      <c r="H321" s="94">
        <v>520</v>
      </c>
      <c r="I321" s="85">
        <f t="shared" si="89"/>
        <v>17165.2</v>
      </c>
      <c r="J321" s="17">
        <v>386</v>
      </c>
      <c r="K321" s="86">
        <f t="shared" si="90"/>
        <v>13556.32</v>
      </c>
      <c r="L321" s="94">
        <v>396</v>
      </c>
      <c r="M321" s="86">
        <f t="shared" si="91"/>
        <v>15147</v>
      </c>
      <c r="N321" s="93">
        <v>117</v>
      </c>
      <c r="O321" s="86">
        <f t="shared" si="92"/>
        <v>4914</v>
      </c>
      <c r="P321" s="93"/>
      <c r="Q321" s="86">
        <f t="shared" si="93"/>
        <v>0</v>
      </c>
      <c r="R321" s="95"/>
      <c r="S321" s="86">
        <f t="shared" si="94"/>
        <v>0</v>
      </c>
      <c r="T321" s="93"/>
      <c r="U321" s="86">
        <f t="shared" si="83"/>
        <v>0</v>
      </c>
      <c r="V321" s="93"/>
      <c r="W321" s="86">
        <f t="shared" si="84"/>
        <v>0</v>
      </c>
      <c r="X321" s="93"/>
      <c r="Y321" s="86">
        <f t="shared" si="85"/>
        <v>0</v>
      </c>
      <c r="Z321" s="93"/>
      <c r="AA321" s="85">
        <f t="shared" si="86"/>
        <v>0</v>
      </c>
      <c r="AB321" s="96">
        <v>722</v>
      </c>
      <c r="AC321" s="85">
        <f t="shared" si="80"/>
        <v>25298.880000000001</v>
      </c>
      <c r="AD321" s="91"/>
      <c r="AE321" s="85">
        <f t="shared" si="81"/>
        <v>0</v>
      </c>
      <c r="AF321" s="93"/>
      <c r="AG321" s="89">
        <f t="shared" si="82"/>
        <v>0</v>
      </c>
      <c r="AH321" s="91"/>
      <c r="AI321" s="85">
        <f t="shared" si="78"/>
        <v>0</v>
      </c>
      <c r="AJ321" s="91"/>
      <c r="AK321" s="85">
        <f t="shared" si="79"/>
        <v>0</v>
      </c>
      <c r="AL321" s="113">
        <f t="shared" si="76"/>
        <v>3054</v>
      </c>
      <c r="AM321" s="23">
        <f t="shared" si="77"/>
        <v>104923.53</v>
      </c>
    </row>
    <row r="322" spans="1:39" s="114" customFormat="1" x14ac:dyDescent="0.5">
      <c r="A322" s="16">
        <v>318</v>
      </c>
      <c r="B322" s="97" t="s">
        <v>1465</v>
      </c>
      <c r="C322" s="92" t="s">
        <v>1466</v>
      </c>
      <c r="D322" s="93"/>
      <c r="E322" s="85">
        <f t="shared" si="87"/>
        <v>0</v>
      </c>
      <c r="F322" s="94"/>
      <c r="G322" s="85">
        <f t="shared" si="88"/>
        <v>0</v>
      </c>
      <c r="H322" s="94"/>
      <c r="I322" s="85">
        <f t="shared" si="89"/>
        <v>0</v>
      </c>
      <c r="J322" s="17"/>
      <c r="K322" s="86">
        <f t="shared" si="90"/>
        <v>0</v>
      </c>
      <c r="L322" s="94"/>
      <c r="M322" s="86">
        <f t="shared" si="91"/>
        <v>0</v>
      </c>
      <c r="N322" s="93"/>
      <c r="O322" s="86">
        <f t="shared" si="92"/>
        <v>0</v>
      </c>
      <c r="P322" s="93"/>
      <c r="Q322" s="86">
        <f t="shared" si="93"/>
        <v>0</v>
      </c>
      <c r="R322" s="95"/>
      <c r="S322" s="86">
        <f t="shared" si="94"/>
        <v>0</v>
      </c>
      <c r="T322" s="93"/>
      <c r="U322" s="86">
        <f t="shared" si="83"/>
        <v>0</v>
      </c>
      <c r="V322" s="93"/>
      <c r="W322" s="86">
        <f t="shared" si="84"/>
        <v>0</v>
      </c>
      <c r="X322" s="93"/>
      <c r="Y322" s="86">
        <f t="shared" si="85"/>
        <v>0</v>
      </c>
      <c r="Z322" s="93"/>
      <c r="AA322" s="85">
        <f t="shared" si="86"/>
        <v>0</v>
      </c>
      <c r="AB322" s="96"/>
      <c r="AC322" s="85">
        <f t="shared" si="80"/>
        <v>0</v>
      </c>
      <c r="AD322" s="91"/>
      <c r="AE322" s="85">
        <f t="shared" si="81"/>
        <v>0</v>
      </c>
      <c r="AF322" s="93"/>
      <c r="AG322" s="89">
        <f t="shared" si="82"/>
        <v>0</v>
      </c>
      <c r="AH322" s="91"/>
      <c r="AI322" s="85">
        <f t="shared" si="78"/>
        <v>0</v>
      </c>
      <c r="AJ322" s="91"/>
      <c r="AK322" s="85">
        <f t="shared" si="79"/>
        <v>0</v>
      </c>
      <c r="AL322" s="113">
        <f t="shared" si="76"/>
        <v>0</v>
      </c>
      <c r="AM322" s="23">
        <f t="shared" si="77"/>
        <v>0</v>
      </c>
    </row>
    <row r="323" spans="1:39" x14ac:dyDescent="0.5">
      <c r="A323" s="16">
        <v>319</v>
      </c>
      <c r="B323" s="97" t="s">
        <v>850</v>
      </c>
      <c r="C323" s="92" t="s">
        <v>1467</v>
      </c>
      <c r="D323" s="93">
        <v>548</v>
      </c>
      <c r="E323" s="85">
        <f t="shared" si="87"/>
        <v>17053.760000000002</v>
      </c>
      <c r="F323" s="94">
        <v>461</v>
      </c>
      <c r="G323" s="85">
        <f t="shared" si="88"/>
        <v>14941.009999999998</v>
      </c>
      <c r="H323" s="94">
        <v>606</v>
      </c>
      <c r="I323" s="85">
        <f t="shared" si="89"/>
        <v>20004.059999999998</v>
      </c>
      <c r="J323" s="17">
        <v>578</v>
      </c>
      <c r="K323" s="86">
        <f t="shared" si="90"/>
        <v>20299.359999999997</v>
      </c>
      <c r="L323" s="94">
        <v>560</v>
      </c>
      <c r="M323" s="86">
        <f t="shared" si="91"/>
        <v>21420</v>
      </c>
      <c r="N323" s="93">
        <v>354</v>
      </c>
      <c r="O323" s="86">
        <f t="shared" si="92"/>
        <v>14868</v>
      </c>
      <c r="P323" s="93">
        <v>434</v>
      </c>
      <c r="Q323" s="86">
        <f t="shared" si="93"/>
        <v>16795.800000000003</v>
      </c>
      <c r="R323" s="95">
        <v>393</v>
      </c>
      <c r="S323" s="86">
        <f t="shared" si="94"/>
        <v>13244.1</v>
      </c>
      <c r="T323" s="93">
        <v>711</v>
      </c>
      <c r="U323" s="86">
        <f t="shared" si="83"/>
        <v>23320.799999999999</v>
      </c>
      <c r="V323" s="93">
        <v>713</v>
      </c>
      <c r="W323" s="86">
        <f t="shared" si="84"/>
        <v>25061.95</v>
      </c>
      <c r="X323" s="93">
        <v>645</v>
      </c>
      <c r="Y323" s="86">
        <f t="shared" si="85"/>
        <v>22355.699999999997</v>
      </c>
      <c r="Z323" s="93">
        <v>594</v>
      </c>
      <c r="AA323" s="85">
        <f t="shared" si="86"/>
        <v>21413.699999999997</v>
      </c>
      <c r="AB323" s="96">
        <v>684</v>
      </c>
      <c r="AC323" s="85">
        <f t="shared" si="80"/>
        <v>23967.360000000001</v>
      </c>
      <c r="AD323" s="91">
        <v>671</v>
      </c>
      <c r="AE323" s="85">
        <f t="shared" si="81"/>
        <v>22934.78</v>
      </c>
      <c r="AF323" s="93">
        <v>523</v>
      </c>
      <c r="AG323" s="89">
        <f t="shared" si="82"/>
        <v>17415.899999999998</v>
      </c>
      <c r="AH323" s="91">
        <v>261</v>
      </c>
      <c r="AI323" s="85">
        <f t="shared" si="78"/>
        <v>9382.9500000000007</v>
      </c>
      <c r="AJ323" s="91">
        <v>423</v>
      </c>
      <c r="AK323" s="85">
        <f t="shared" si="79"/>
        <v>15511.41</v>
      </c>
      <c r="AL323" s="113">
        <f t="shared" si="76"/>
        <v>9159</v>
      </c>
      <c r="AM323" s="23">
        <f t="shared" si="77"/>
        <v>319990.64</v>
      </c>
    </row>
    <row r="324" spans="1:39" s="114" customFormat="1" x14ac:dyDescent="0.5">
      <c r="A324" s="16">
        <v>320</v>
      </c>
      <c r="B324" s="97" t="s">
        <v>1468</v>
      </c>
      <c r="C324" s="92" t="s">
        <v>1469</v>
      </c>
      <c r="D324" s="93"/>
      <c r="E324" s="85">
        <f t="shared" si="87"/>
        <v>0</v>
      </c>
      <c r="F324" s="94"/>
      <c r="G324" s="85">
        <f t="shared" si="88"/>
        <v>0</v>
      </c>
      <c r="H324" s="94"/>
      <c r="I324" s="85">
        <f t="shared" si="89"/>
        <v>0</v>
      </c>
      <c r="J324" s="17"/>
      <c r="K324" s="86">
        <f t="shared" si="90"/>
        <v>0</v>
      </c>
      <c r="L324" s="94"/>
      <c r="M324" s="86">
        <f t="shared" si="91"/>
        <v>0</v>
      </c>
      <c r="N324" s="93"/>
      <c r="O324" s="86">
        <f t="shared" si="92"/>
        <v>0</v>
      </c>
      <c r="P324" s="93"/>
      <c r="Q324" s="86">
        <f t="shared" si="93"/>
        <v>0</v>
      </c>
      <c r="R324" s="95">
        <v>261</v>
      </c>
      <c r="S324" s="86">
        <f t="shared" si="94"/>
        <v>8795.7000000000007</v>
      </c>
      <c r="T324" s="93"/>
      <c r="U324" s="86">
        <f t="shared" si="83"/>
        <v>0</v>
      </c>
      <c r="V324" s="93"/>
      <c r="W324" s="86">
        <f t="shared" si="84"/>
        <v>0</v>
      </c>
      <c r="X324" s="93"/>
      <c r="Y324" s="86">
        <f t="shared" si="85"/>
        <v>0</v>
      </c>
      <c r="Z324" s="93"/>
      <c r="AA324" s="85">
        <f t="shared" si="86"/>
        <v>0</v>
      </c>
      <c r="AB324" s="96"/>
      <c r="AC324" s="85">
        <f t="shared" si="80"/>
        <v>0</v>
      </c>
      <c r="AD324" s="91"/>
      <c r="AE324" s="85">
        <f t="shared" si="81"/>
        <v>0</v>
      </c>
      <c r="AF324" s="93"/>
      <c r="AG324" s="89">
        <f t="shared" si="82"/>
        <v>0</v>
      </c>
      <c r="AH324" s="91"/>
      <c r="AI324" s="85">
        <f t="shared" si="78"/>
        <v>0</v>
      </c>
      <c r="AJ324" s="91"/>
      <c r="AK324" s="85">
        <f t="shared" si="79"/>
        <v>0</v>
      </c>
      <c r="AL324" s="113">
        <f t="shared" si="76"/>
        <v>261</v>
      </c>
      <c r="AM324" s="23">
        <f t="shared" si="77"/>
        <v>8795.7000000000007</v>
      </c>
    </row>
    <row r="325" spans="1:39" s="114" customFormat="1" x14ac:dyDescent="0.5">
      <c r="A325" s="16">
        <v>321</v>
      </c>
      <c r="B325" s="97" t="s">
        <v>1470</v>
      </c>
      <c r="C325" s="92" t="s">
        <v>1449</v>
      </c>
      <c r="D325" s="93">
        <v>456</v>
      </c>
      <c r="E325" s="85">
        <f t="shared" si="87"/>
        <v>14190.720000000001</v>
      </c>
      <c r="F325" s="94"/>
      <c r="G325" s="85">
        <f t="shared" si="88"/>
        <v>0</v>
      </c>
      <c r="H325" s="94"/>
      <c r="I325" s="85">
        <f t="shared" si="89"/>
        <v>0</v>
      </c>
      <c r="J325" s="17"/>
      <c r="K325" s="86">
        <f t="shared" si="90"/>
        <v>0</v>
      </c>
      <c r="L325" s="94"/>
      <c r="M325" s="86">
        <f t="shared" si="91"/>
        <v>0</v>
      </c>
      <c r="N325" s="93"/>
      <c r="O325" s="86">
        <f t="shared" si="92"/>
        <v>0</v>
      </c>
      <c r="P325" s="93"/>
      <c r="Q325" s="86">
        <f t="shared" si="93"/>
        <v>0</v>
      </c>
      <c r="R325" s="95"/>
      <c r="S325" s="86">
        <f t="shared" si="94"/>
        <v>0</v>
      </c>
      <c r="T325" s="93"/>
      <c r="U325" s="86">
        <f t="shared" si="83"/>
        <v>0</v>
      </c>
      <c r="V325" s="93"/>
      <c r="W325" s="86">
        <f t="shared" si="84"/>
        <v>0</v>
      </c>
      <c r="X325" s="93"/>
      <c r="Y325" s="86">
        <f t="shared" si="85"/>
        <v>0</v>
      </c>
      <c r="Z325" s="93"/>
      <c r="AA325" s="85">
        <f t="shared" si="86"/>
        <v>0</v>
      </c>
      <c r="AB325" s="96"/>
      <c r="AC325" s="85">
        <f t="shared" si="80"/>
        <v>0</v>
      </c>
      <c r="AD325" s="91"/>
      <c r="AE325" s="85">
        <f t="shared" si="81"/>
        <v>0</v>
      </c>
      <c r="AF325" s="93"/>
      <c r="AG325" s="89">
        <f t="shared" si="82"/>
        <v>0</v>
      </c>
      <c r="AH325" s="91"/>
      <c r="AI325" s="85">
        <f t="shared" si="78"/>
        <v>0</v>
      </c>
      <c r="AJ325" s="91"/>
      <c r="AK325" s="85">
        <f t="shared" si="79"/>
        <v>0</v>
      </c>
      <c r="AL325" s="113">
        <f t="shared" ref="AL325:AL376" si="95">D325+F325+H325+J325+L325+N325+P325+R325+T325+V325+X325+Z325+AB325+AD325+AF325+AH325+AJ325</f>
        <v>456</v>
      </c>
      <c r="AM325" s="23">
        <f t="shared" ref="AM325:AM376" si="96">E325+G325+I325+K325+M325+O325+Q325+S325+U325+W325+Y325+AA325+AC325+AE325+AG325+AI325+AK325</f>
        <v>14190.720000000001</v>
      </c>
    </row>
    <row r="326" spans="1:39" s="114" customFormat="1" x14ac:dyDescent="0.5">
      <c r="A326" s="16">
        <v>322</v>
      </c>
      <c r="B326" s="97" t="s">
        <v>1471</v>
      </c>
      <c r="C326" s="92"/>
      <c r="D326" s="93"/>
      <c r="E326" s="85">
        <f t="shared" si="87"/>
        <v>0</v>
      </c>
      <c r="F326" s="94"/>
      <c r="G326" s="85">
        <f t="shared" si="88"/>
        <v>0</v>
      </c>
      <c r="H326" s="94">
        <v>567</v>
      </c>
      <c r="I326" s="85">
        <f t="shared" si="89"/>
        <v>18716.669999999998</v>
      </c>
      <c r="J326" s="17"/>
      <c r="K326" s="86">
        <f t="shared" si="90"/>
        <v>0</v>
      </c>
      <c r="L326" s="94"/>
      <c r="M326" s="86">
        <f t="shared" si="91"/>
        <v>0</v>
      </c>
      <c r="N326" s="93"/>
      <c r="O326" s="86">
        <f t="shared" si="92"/>
        <v>0</v>
      </c>
      <c r="P326" s="93"/>
      <c r="Q326" s="86">
        <f t="shared" si="93"/>
        <v>0</v>
      </c>
      <c r="R326" s="95"/>
      <c r="S326" s="86">
        <f t="shared" si="94"/>
        <v>0</v>
      </c>
      <c r="T326" s="93"/>
      <c r="U326" s="86">
        <f t="shared" si="83"/>
        <v>0</v>
      </c>
      <c r="V326" s="93"/>
      <c r="W326" s="86">
        <f t="shared" si="84"/>
        <v>0</v>
      </c>
      <c r="X326" s="93"/>
      <c r="Y326" s="86">
        <f t="shared" si="85"/>
        <v>0</v>
      </c>
      <c r="Z326" s="93"/>
      <c r="AA326" s="85">
        <f t="shared" si="86"/>
        <v>0</v>
      </c>
      <c r="AB326" s="96"/>
      <c r="AC326" s="85">
        <f t="shared" si="80"/>
        <v>0</v>
      </c>
      <c r="AD326" s="91"/>
      <c r="AE326" s="85">
        <f t="shared" si="81"/>
        <v>0</v>
      </c>
      <c r="AF326" s="93"/>
      <c r="AG326" s="89">
        <f t="shared" si="82"/>
        <v>0</v>
      </c>
      <c r="AH326" s="91"/>
      <c r="AI326" s="85">
        <f t="shared" si="78"/>
        <v>0</v>
      </c>
      <c r="AJ326" s="91"/>
      <c r="AK326" s="85">
        <f t="shared" si="79"/>
        <v>0</v>
      </c>
      <c r="AL326" s="113">
        <f t="shared" si="95"/>
        <v>567</v>
      </c>
      <c r="AM326" s="23">
        <f t="shared" si="96"/>
        <v>18716.669999999998</v>
      </c>
    </row>
    <row r="327" spans="1:39" s="114" customFormat="1" x14ac:dyDescent="0.5">
      <c r="A327" s="16">
        <v>323</v>
      </c>
      <c r="B327" s="97" t="s">
        <v>770</v>
      </c>
      <c r="C327" s="92" t="s">
        <v>1472</v>
      </c>
      <c r="D327" s="93"/>
      <c r="E327" s="85">
        <f t="shared" si="87"/>
        <v>0</v>
      </c>
      <c r="F327" s="94"/>
      <c r="G327" s="85">
        <f t="shared" si="88"/>
        <v>0</v>
      </c>
      <c r="H327" s="94"/>
      <c r="I327" s="85">
        <f t="shared" si="89"/>
        <v>0</v>
      </c>
      <c r="J327" s="17"/>
      <c r="K327" s="86">
        <f t="shared" si="90"/>
        <v>0</v>
      </c>
      <c r="L327" s="94"/>
      <c r="M327" s="86">
        <f t="shared" si="91"/>
        <v>0</v>
      </c>
      <c r="N327" s="93"/>
      <c r="O327" s="86">
        <f t="shared" si="92"/>
        <v>0</v>
      </c>
      <c r="P327" s="93"/>
      <c r="Q327" s="86">
        <f t="shared" si="93"/>
        <v>0</v>
      </c>
      <c r="R327" s="95"/>
      <c r="S327" s="86">
        <f t="shared" si="94"/>
        <v>0</v>
      </c>
      <c r="T327" s="93">
        <v>304</v>
      </c>
      <c r="U327" s="86">
        <f t="shared" si="83"/>
        <v>9971.1999999999989</v>
      </c>
      <c r="V327" s="93">
        <v>458</v>
      </c>
      <c r="W327" s="86">
        <f t="shared" si="84"/>
        <v>16098.699999999999</v>
      </c>
      <c r="X327" s="93"/>
      <c r="Y327" s="86">
        <f t="shared" si="85"/>
        <v>0</v>
      </c>
      <c r="Z327" s="93"/>
      <c r="AA327" s="85">
        <f t="shared" si="86"/>
        <v>0</v>
      </c>
      <c r="AB327" s="96"/>
      <c r="AC327" s="85">
        <f t="shared" si="80"/>
        <v>0</v>
      </c>
      <c r="AD327" s="91"/>
      <c r="AE327" s="85">
        <f t="shared" si="81"/>
        <v>0</v>
      </c>
      <c r="AF327" s="93"/>
      <c r="AG327" s="89">
        <f t="shared" si="82"/>
        <v>0</v>
      </c>
      <c r="AH327" s="91"/>
      <c r="AI327" s="85">
        <f t="shared" si="78"/>
        <v>0</v>
      </c>
      <c r="AJ327" s="91"/>
      <c r="AK327" s="85">
        <f t="shared" si="79"/>
        <v>0</v>
      </c>
      <c r="AL327" s="113">
        <f t="shared" si="95"/>
        <v>762</v>
      </c>
      <c r="AM327" s="23">
        <f t="shared" si="96"/>
        <v>26069.899999999998</v>
      </c>
    </row>
    <row r="328" spans="1:39" x14ac:dyDescent="0.5">
      <c r="A328" s="16">
        <v>324</v>
      </c>
      <c r="B328" s="97" t="s">
        <v>706</v>
      </c>
      <c r="C328" s="92" t="s">
        <v>1473</v>
      </c>
      <c r="D328" s="93"/>
      <c r="E328" s="85">
        <f t="shared" si="87"/>
        <v>0</v>
      </c>
      <c r="F328" s="94"/>
      <c r="G328" s="85">
        <f t="shared" si="88"/>
        <v>0</v>
      </c>
      <c r="H328" s="94"/>
      <c r="I328" s="85">
        <f t="shared" si="89"/>
        <v>0</v>
      </c>
      <c r="J328" s="17"/>
      <c r="K328" s="86">
        <f t="shared" si="90"/>
        <v>0</v>
      </c>
      <c r="L328" s="94"/>
      <c r="M328" s="86">
        <f t="shared" si="91"/>
        <v>0</v>
      </c>
      <c r="N328" s="93"/>
      <c r="O328" s="86">
        <f t="shared" si="92"/>
        <v>0</v>
      </c>
      <c r="P328" s="93"/>
      <c r="Q328" s="86">
        <f t="shared" si="93"/>
        <v>0</v>
      </c>
      <c r="R328" s="95"/>
      <c r="S328" s="86">
        <f t="shared" si="94"/>
        <v>0</v>
      </c>
      <c r="T328" s="93"/>
      <c r="U328" s="86">
        <f t="shared" si="83"/>
        <v>0</v>
      </c>
      <c r="V328" s="93"/>
      <c r="W328" s="86">
        <f t="shared" si="84"/>
        <v>0</v>
      </c>
      <c r="X328" s="93"/>
      <c r="Y328" s="86">
        <f t="shared" si="85"/>
        <v>0</v>
      </c>
      <c r="Z328" s="93"/>
      <c r="AA328" s="85">
        <f t="shared" si="86"/>
        <v>0</v>
      </c>
      <c r="AB328" s="96"/>
      <c r="AC328" s="85">
        <f t="shared" si="80"/>
        <v>0</v>
      </c>
      <c r="AD328" s="91">
        <v>585</v>
      </c>
      <c r="AE328" s="85">
        <f t="shared" si="81"/>
        <v>19995.3</v>
      </c>
      <c r="AF328" s="93"/>
      <c r="AG328" s="89">
        <f t="shared" si="82"/>
        <v>0</v>
      </c>
      <c r="AH328" s="91">
        <v>725</v>
      </c>
      <c r="AI328" s="85">
        <f t="shared" si="78"/>
        <v>26063.750000000004</v>
      </c>
      <c r="AJ328" s="91">
        <v>720</v>
      </c>
      <c r="AK328" s="85">
        <f t="shared" si="79"/>
        <v>26402.400000000001</v>
      </c>
      <c r="AL328" s="113">
        <f t="shared" si="95"/>
        <v>2030</v>
      </c>
      <c r="AM328" s="23">
        <f t="shared" si="96"/>
        <v>72461.450000000012</v>
      </c>
    </row>
    <row r="329" spans="1:39" s="114" customFormat="1" x14ac:dyDescent="0.5">
      <c r="A329" s="16">
        <v>325</v>
      </c>
      <c r="B329" s="97" t="s">
        <v>1474</v>
      </c>
      <c r="C329" s="92" t="s">
        <v>1475</v>
      </c>
      <c r="D329" s="93"/>
      <c r="E329" s="85">
        <f t="shared" si="87"/>
        <v>0</v>
      </c>
      <c r="F329" s="94"/>
      <c r="G329" s="85">
        <f t="shared" si="88"/>
        <v>0</v>
      </c>
      <c r="H329" s="94"/>
      <c r="I329" s="85">
        <f t="shared" si="89"/>
        <v>0</v>
      </c>
      <c r="J329" s="17"/>
      <c r="K329" s="86">
        <f t="shared" si="90"/>
        <v>0</v>
      </c>
      <c r="L329" s="94"/>
      <c r="M329" s="86">
        <f t="shared" si="91"/>
        <v>0</v>
      </c>
      <c r="N329" s="93"/>
      <c r="O329" s="86">
        <f t="shared" si="92"/>
        <v>0</v>
      </c>
      <c r="P329" s="93">
        <v>591</v>
      </c>
      <c r="Q329" s="86">
        <f t="shared" si="93"/>
        <v>22871.7</v>
      </c>
      <c r="R329" s="95"/>
      <c r="S329" s="86">
        <f t="shared" si="94"/>
        <v>0</v>
      </c>
      <c r="T329" s="93">
        <v>563</v>
      </c>
      <c r="U329" s="86">
        <f t="shared" si="83"/>
        <v>18466.399999999998</v>
      </c>
      <c r="V329" s="93"/>
      <c r="W329" s="86">
        <f t="shared" si="84"/>
        <v>0</v>
      </c>
      <c r="X329" s="93"/>
      <c r="Y329" s="86">
        <f t="shared" si="85"/>
        <v>0</v>
      </c>
      <c r="Z329" s="93"/>
      <c r="AA329" s="85">
        <f t="shared" si="86"/>
        <v>0</v>
      </c>
      <c r="AB329" s="96">
        <v>636</v>
      </c>
      <c r="AC329" s="85">
        <f t="shared" si="80"/>
        <v>22285.439999999999</v>
      </c>
      <c r="AD329" s="91"/>
      <c r="AE329" s="85">
        <f t="shared" si="81"/>
        <v>0</v>
      </c>
      <c r="AF329" s="93"/>
      <c r="AG329" s="89">
        <f t="shared" si="82"/>
        <v>0</v>
      </c>
      <c r="AH329" s="91"/>
      <c r="AI329" s="85">
        <f t="shared" si="78"/>
        <v>0</v>
      </c>
      <c r="AJ329" s="91"/>
      <c r="AK329" s="85">
        <f t="shared" si="79"/>
        <v>0</v>
      </c>
      <c r="AL329" s="113">
        <f t="shared" si="95"/>
        <v>1790</v>
      </c>
      <c r="AM329" s="23">
        <f t="shared" si="96"/>
        <v>63623.539999999994</v>
      </c>
    </row>
    <row r="330" spans="1:39" x14ac:dyDescent="0.5">
      <c r="A330" s="16">
        <v>326</v>
      </c>
      <c r="B330" s="97" t="s">
        <v>1476</v>
      </c>
      <c r="C330" s="92" t="s">
        <v>1477</v>
      </c>
      <c r="D330" s="93">
        <v>482</v>
      </c>
      <c r="E330" s="85">
        <f t="shared" si="87"/>
        <v>14999.84</v>
      </c>
      <c r="F330" s="94">
        <v>382</v>
      </c>
      <c r="G330" s="85">
        <f t="shared" si="88"/>
        <v>12380.619999999999</v>
      </c>
      <c r="H330" s="94">
        <v>314</v>
      </c>
      <c r="I330" s="85">
        <f t="shared" si="89"/>
        <v>10365.14</v>
      </c>
      <c r="J330" s="17"/>
      <c r="K330" s="86">
        <f t="shared" si="90"/>
        <v>0</v>
      </c>
      <c r="L330" s="94"/>
      <c r="M330" s="86">
        <f t="shared" si="91"/>
        <v>0</v>
      </c>
      <c r="N330" s="93"/>
      <c r="O330" s="86">
        <f t="shared" si="92"/>
        <v>0</v>
      </c>
      <c r="P330" s="93">
        <v>504</v>
      </c>
      <c r="Q330" s="86">
        <f t="shared" si="93"/>
        <v>19504.800000000003</v>
      </c>
      <c r="R330" s="95">
        <v>412</v>
      </c>
      <c r="S330" s="86">
        <f t="shared" si="94"/>
        <v>13884.400000000001</v>
      </c>
      <c r="T330" s="93"/>
      <c r="U330" s="86">
        <f t="shared" si="83"/>
        <v>0</v>
      </c>
      <c r="V330" s="93">
        <v>772</v>
      </c>
      <c r="W330" s="86">
        <f t="shared" si="84"/>
        <v>27135.8</v>
      </c>
      <c r="X330" s="93">
        <v>628</v>
      </c>
      <c r="Y330" s="86">
        <f t="shared" si="85"/>
        <v>21766.48</v>
      </c>
      <c r="Z330" s="93">
        <v>632</v>
      </c>
      <c r="AA330" s="85">
        <f t="shared" si="86"/>
        <v>22783.599999999999</v>
      </c>
      <c r="AB330" s="96">
        <v>655</v>
      </c>
      <c r="AC330" s="85">
        <f t="shared" si="80"/>
        <v>22951.200000000001</v>
      </c>
      <c r="AD330" s="91">
        <v>733</v>
      </c>
      <c r="AE330" s="85">
        <f t="shared" si="81"/>
        <v>25053.94</v>
      </c>
      <c r="AF330" s="93">
        <v>569</v>
      </c>
      <c r="AG330" s="89">
        <f t="shared" si="82"/>
        <v>18947.699999999997</v>
      </c>
      <c r="AH330" s="91">
        <v>352</v>
      </c>
      <c r="AI330" s="85">
        <f t="shared" ref="AI330:AI375" si="97">AH330*35.95</f>
        <v>12654.400000000001</v>
      </c>
      <c r="AJ330" s="91"/>
      <c r="AK330" s="85">
        <f t="shared" ref="AK330:AK375" si="98">AJ330*36.67</f>
        <v>0</v>
      </c>
      <c r="AL330" s="113">
        <f t="shared" si="95"/>
        <v>6435</v>
      </c>
      <c r="AM330" s="23">
        <f t="shared" si="96"/>
        <v>222427.92</v>
      </c>
    </row>
    <row r="331" spans="1:39" s="114" customFormat="1" x14ac:dyDescent="0.5">
      <c r="A331" s="16">
        <v>327</v>
      </c>
      <c r="B331" s="97" t="s">
        <v>350</v>
      </c>
      <c r="C331" s="92" t="s">
        <v>1478</v>
      </c>
      <c r="D331" s="93"/>
      <c r="E331" s="85">
        <f t="shared" si="87"/>
        <v>0</v>
      </c>
      <c r="F331" s="94">
        <v>1097</v>
      </c>
      <c r="G331" s="85">
        <f t="shared" si="88"/>
        <v>35553.769999999997</v>
      </c>
      <c r="H331" s="94"/>
      <c r="I331" s="85">
        <f t="shared" si="89"/>
        <v>0</v>
      </c>
      <c r="J331" s="17"/>
      <c r="K331" s="86">
        <f t="shared" si="90"/>
        <v>0</v>
      </c>
      <c r="L331" s="94"/>
      <c r="M331" s="86">
        <f t="shared" si="91"/>
        <v>0</v>
      </c>
      <c r="N331" s="93">
        <v>1193</v>
      </c>
      <c r="O331" s="86">
        <f t="shared" si="92"/>
        <v>50106</v>
      </c>
      <c r="P331" s="93"/>
      <c r="Q331" s="86">
        <f t="shared" si="93"/>
        <v>0</v>
      </c>
      <c r="R331" s="95"/>
      <c r="S331" s="86">
        <f t="shared" si="94"/>
        <v>0</v>
      </c>
      <c r="T331" s="93"/>
      <c r="U331" s="86">
        <f t="shared" si="83"/>
        <v>0</v>
      </c>
      <c r="V331" s="93"/>
      <c r="W331" s="86">
        <f t="shared" si="84"/>
        <v>0</v>
      </c>
      <c r="X331" s="93"/>
      <c r="Y331" s="86">
        <f t="shared" si="85"/>
        <v>0</v>
      </c>
      <c r="Z331" s="93"/>
      <c r="AA331" s="85">
        <f t="shared" si="86"/>
        <v>0</v>
      </c>
      <c r="AB331" s="96"/>
      <c r="AC331" s="85">
        <f t="shared" ref="AC331:AC375" si="99">AB331*35.04</f>
        <v>0</v>
      </c>
      <c r="AD331" s="91"/>
      <c r="AE331" s="85">
        <f t="shared" ref="AE331:AE375" si="100">AD331*34.18</f>
        <v>0</v>
      </c>
      <c r="AF331" s="93"/>
      <c r="AG331" s="89">
        <f t="shared" ref="AG331:AG375" si="101">AF331*33.3</f>
        <v>0</v>
      </c>
      <c r="AH331" s="91"/>
      <c r="AI331" s="85">
        <f t="shared" si="97"/>
        <v>0</v>
      </c>
      <c r="AJ331" s="91"/>
      <c r="AK331" s="85">
        <f t="shared" si="98"/>
        <v>0</v>
      </c>
      <c r="AL331" s="113">
        <f t="shared" si="95"/>
        <v>2290</v>
      </c>
      <c r="AM331" s="23">
        <f t="shared" si="96"/>
        <v>85659.76999999999</v>
      </c>
    </row>
    <row r="332" spans="1:39" x14ac:dyDescent="0.5">
      <c r="A332" s="16">
        <v>328</v>
      </c>
      <c r="B332" s="97" t="s">
        <v>1479</v>
      </c>
      <c r="C332" s="92" t="s">
        <v>1480</v>
      </c>
      <c r="D332" s="93"/>
      <c r="E332" s="85">
        <f t="shared" si="87"/>
        <v>0</v>
      </c>
      <c r="F332" s="94"/>
      <c r="G332" s="85">
        <f t="shared" si="88"/>
        <v>0</v>
      </c>
      <c r="H332" s="94"/>
      <c r="I332" s="85">
        <f t="shared" si="89"/>
        <v>0</v>
      </c>
      <c r="J332" s="17"/>
      <c r="K332" s="86">
        <f t="shared" si="90"/>
        <v>0</v>
      </c>
      <c r="L332" s="94"/>
      <c r="M332" s="86">
        <f t="shared" si="91"/>
        <v>0</v>
      </c>
      <c r="N332" s="93"/>
      <c r="O332" s="86">
        <f t="shared" si="92"/>
        <v>0</v>
      </c>
      <c r="P332" s="93">
        <v>517</v>
      </c>
      <c r="Q332" s="86">
        <f t="shared" si="93"/>
        <v>20007.900000000001</v>
      </c>
      <c r="R332" s="95">
        <v>334</v>
      </c>
      <c r="S332" s="86">
        <f t="shared" si="94"/>
        <v>11255.800000000001</v>
      </c>
      <c r="T332" s="93">
        <v>242</v>
      </c>
      <c r="U332" s="86">
        <f t="shared" si="83"/>
        <v>7937.5999999999995</v>
      </c>
      <c r="V332" s="93">
        <v>258</v>
      </c>
      <c r="W332" s="86">
        <f t="shared" ref="W332:W375" si="102">V332*35.15</f>
        <v>9068.6999999999989</v>
      </c>
      <c r="X332" s="93">
        <v>222</v>
      </c>
      <c r="Y332" s="86">
        <f t="shared" ref="Y332:Y375" si="103">X332*34.66</f>
        <v>7694.5199999999995</v>
      </c>
      <c r="Z332" s="93">
        <v>402</v>
      </c>
      <c r="AA332" s="85">
        <f t="shared" ref="AA332:AA375" si="104">Z332*36.05</f>
        <v>14492.099999999999</v>
      </c>
      <c r="AB332" s="96">
        <v>318</v>
      </c>
      <c r="AC332" s="85">
        <f t="shared" si="99"/>
        <v>11142.72</v>
      </c>
      <c r="AD332" s="91">
        <v>290</v>
      </c>
      <c r="AE332" s="85">
        <f t="shared" si="100"/>
        <v>9912.2000000000007</v>
      </c>
      <c r="AF332" s="93">
        <v>247</v>
      </c>
      <c r="AG332" s="89">
        <f t="shared" si="101"/>
        <v>8225.0999999999985</v>
      </c>
      <c r="AH332" s="91">
        <v>469</v>
      </c>
      <c r="AI332" s="85">
        <f t="shared" si="97"/>
        <v>16860.550000000003</v>
      </c>
      <c r="AJ332" s="91"/>
      <c r="AK332" s="85">
        <f t="shared" si="98"/>
        <v>0</v>
      </c>
      <c r="AL332" s="113">
        <f t="shared" si="95"/>
        <v>3299</v>
      </c>
      <c r="AM332" s="23">
        <f t="shared" si="96"/>
        <v>116597.18999999999</v>
      </c>
    </row>
    <row r="333" spans="1:39" s="114" customFormat="1" x14ac:dyDescent="0.5">
      <c r="A333" s="16">
        <v>329</v>
      </c>
      <c r="B333" s="97" t="s">
        <v>746</v>
      </c>
      <c r="C333" s="92" t="s">
        <v>1480</v>
      </c>
      <c r="D333" s="93"/>
      <c r="E333" s="85">
        <f t="shared" si="87"/>
        <v>0</v>
      </c>
      <c r="F333" s="94"/>
      <c r="G333" s="85">
        <f t="shared" si="88"/>
        <v>0</v>
      </c>
      <c r="H333" s="94"/>
      <c r="I333" s="85">
        <f t="shared" si="89"/>
        <v>0</v>
      </c>
      <c r="J333" s="17"/>
      <c r="K333" s="86">
        <f t="shared" si="90"/>
        <v>0</v>
      </c>
      <c r="L333" s="94"/>
      <c r="M333" s="86">
        <f t="shared" si="91"/>
        <v>0</v>
      </c>
      <c r="N333" s="93">
        <v>546</v>
      </c>
      <c r="O333" s="86">
        <f t="shared" si="92"/>
        <v>22932</v>
      </c>
      <c r="P333" s="93"/>
      <c r="Q333" s="86">
        <f t="shared" si="93"/>
        <v>0</v>
      </c>
      <c r="R333" s="95"/>
      <c r="S333" s="86">
        <f t="shared" si="94"/>
        <v>0</v>
      </c>
      <c r="T333" s="93"/>
      <c r="U333" s="86">
        <f t="shared" ref="U333:U375" si="105">T333*32.8</f>
        <v>0</v>
      </c>
      <c r="V333" s="93"/>
      <c r="W333" s="86">
        <f t="shared" si="102"/>
        <v>0</v>
      </c>
      <c r="X333" s="93"/>
      <c r="Y333" s="86">
        <f t="shared" si="103"/>
        <v>0</v>
      </c>
      <c r="Z333" s="93"/>
      <c r="AA333" s="85">
        <f t="shared" si="104"/>
        <v>0</v>
      </c>
      <c r="AB333" s="96"/>
      <c r="AC333" s="85">
        <f t="shared" si="99"/>
        <v>0</v>
      </c>
      <c r="AD333" s="91"/>
      <c r="AE333" s="85">
        <f t="shared" si="100"/>
        <v>0</v>
      </c>
      <c r="AF333" s="93"/>
      <c r="AG333" s="89">
        <f t="shared" si="101"/>
        <v>0</v>
      </c>
      <c r="AH333" s="91"/>
      <c r="AI333" s="85">
        <f t="shared" si="97"/>
        <v>0</v>
      </c>
      <c r="AJ333" s="91"/>
      <c r="AK333" s="85">
        <f t="shared" si="98"/>
        <v>0</v>
      </c>
      <c r="AL333" s="113">
        <f t="shared" si="95"/>
        <v>546</v>
      </c>
      <c r="AM333" s="23">
        <f t="shared" si="96"/>
        <v>22932</v>
      </c>
    </row>
    <row r="334" spans="1:39" s="114" customFormat="1" x14ac:dyDescent="0.5">
      <c r="A334" s="16">
        <v>330</v>
      </c>
      <c r="B334" s="97" t="s">
        <v>911</v>
      </c>
      <c r="C334" s="92" t="s">
        <v>1481</v>
      </c>
      <c r="D334" s="93">
        <v>759</v>
      </c>
      <c r="E334" s="85">
        <f t="shared" ref="E334:E375" si="106">D334*31.12</f>
        <v>23620.080000000002</v>
      </c>
      <c r="F334" s="94"/>
      <c r="G334" s="85">
        <f t="shared" ref="G334:G375" si="107">F334*32.41</f>
        <v>0</v>
      </c>
      <c r="H334" s="94"/>
      <c r="I334" s="85">
        <f t="shared" ref="I334:I375" si="108">H334*33.01</f>
        <v>0</v>
      </c>
      <c r="J334" s="17"/>
      <c r="K334" s="86">
        <f t="shared" ref="K334:K375" si="109">J334*35.12</f>
        <v>0</v>
      </c>
      <c r="L334" s="94"/>
      <c r="M334" s="86">
        <f t="shared" ref="M334:M375" si="110">L334*38.25</f>
        <v>0</v>
      </c>
      <c r="N334" s="93"/>
      <c r="O334" s="86">
        <f t="shared" ref="O334:O375" si="111">N334*42</f>
        <v>0</v>
      </c>
      <c r="P334" s="93"/>
      <c r="Q334" s="86">
        <f t="shared" ref="Q334:Q375" si="112">P334*38.7</f>
        <v>0</v>
      </c>
      <c r="R334" s="95">
        <v>1005</v>
      </c>
      <c r="S334" s="86">
        <f t="shared" ref="S334:S375" si="113">R334*33.7</f>
        <v>33868.5</v>
      </c>
      <c r="T334" s="93"/>
      <c r="U334" s="86">
        <f t="shared" si="105"/>
        <v>0</v>
      </c>
      <c r="V334" s="93">
        <v>933</v>
      </c>
      <c r="W334" s="86">
        <f t="shared" si="102"/>
        <v>32794.949999999997</v>
      </c>
      <c r="X334" s="93"/>
      <c r="Y334" s="86">
        <f t="shared" si="103"/>
        <v>0</v>
      </c>
      <c r="Z334" s="93">
        <v>740</v>
      </c>
      <c r="AA334" s="85">
        <f t="shared" si="104"/>
        <v>26676.999999999996</v>
      </c>
      <c r="AB334" s="96"/>
      <c r="AC334" s="85">
        <f t="shared" si="99"/>
        <v>0</v>
      </c>
      <c r="AD334" s="91">
        <v>1104</v>
      </c>
      <c r="AE334" s="85">
        <f t="shared" si="100"/>
        <v>37734.720000000001</v>
      </c>
      <c r="AF334" s="93">
        <v>871</v>
      </c>
      <c r="AG334" s="89">
        <f t="shared" si="101"/>
        <v>29004.3</v>
      </c>
      <c r="AH334" s="91"/>
      <c r="AI334" s="85">
        <f t="shared" si="97"/>
        <v>0</v>
      </c>
      <c r="AJ334" s="91"/>
      <c r="AK334" s="85">
        <f t="shared" si="98"/>
        <v>0</v>
      </c>
      <c r="AL334" s="113">
        <f t="shared" si="95"/>
        <v>5412</v>
      </c>
      <c r="AM334" s="23">
        <f t="shared" si="96"/>
        <v>183699.55</v>
      </c>
    </row>
    <row r="335" spans="1:39" s="114" customFormat="1" x14ac:dyDescent="0.5">
      <c r="A335" s="16">
        <v>331</v>
      </c>
      <c r="B335" s="97" t="s">
        <v>1482</v>
      </c>
      <c r="C335" s="92" t="s">
        <v>1273</v>
      </c>
      <c r="D335" s="93">
        <v>612</v>
      </c>
      <c r="E335" s="85">
        <f t="shared" si="106"/>
        <v>19045.440000000002</v>
      </c>
      <c r="F335" s="94">
        <v>467</v>
      </c>
      <c r="G335" s="85">
        <f t="shared" si="107"/>
        <v>15135.469999999998</v>
      </c>
      <c r="H335" s="94">
        <v>531</v>
      </c>
      <c r="I335" s="85">
        <f t="shared" si="108"/>
        <v>17528.309999999998</v>
      </c>
      <c r="J335" s="17"/>
      <c r="K335" s="86">
        <f t="shared" si="109"/>
        <v>0</v>
      </c>
      <c r="L335" s="94">
        <v>663</v>
      </c>
      <c r="M335" s="86">
        <f t="shared" si="110"/>
        <v>25359.75</v>
      </c>
      <c r="N335" s="93">
        <v>628</v>
      </c>
      <c r="O335" s="86">
        <f t="shared" si="111"/>
        <v>26376</v>
      </c>
      <c r="P335" s="93"/>
      <c r="Q335" s="86">
        <f t="shared" si="112"/>
        <v>0</v>
      </c>
      <c r="R335" s="95"/>
      <c r="S335" s="86">
        <f t="shared" si="113"/>
        <v>0</v>
      </c>
      <c r="T335" s="93"/>
      <c r="U335" s="86">
        <f t="shared" si="105"/>
        <v>0</v>
      </c>
      <c r="V335" s="93"/>
      <c r="W335" s="86">
        <f t="shared" si="102"/>
        <v>0</v>
      </c>
      <c r="X335" s="93"/>
      <c r="Y335" s="86">
        <f t="shared" si="103"/>
        <v>0</v>
      </c>
      <c r="Z335" s="93"/>
      <c r="AA335" s="85">
        <f t="shared" si="104"/>
        <v>0</v>
      </c>
      <c r="AB335" s="96"/>
      <c r="AC335" s="85">
        <f t="shared" si="99"/>
        <v>0</v>
      </c>
      <c r="AD335" s="91"/>
      <c r="AE335" s="85">
        <f t="shared" si="100"/>
        <v>0</v>
      </c>
      <c r="AF335" s="93"/>
      <c r="AG335" s="89">
        <f t="shared" si="101"/>
        <v>0</v>
      </c>
      <c r="AH335" s="91"/>
      <c r="AI335" s="85">
        <f t="shared" si="97"/>
        <v>0</v>
      </c>
      <c r="AJ335" s="91"/>
      <c r="AK335" s="85">
        <f t="shared" si="98"/>
        <v>0</v>
      </c>
      <c r="AL335" s="113">
        <f t="shared" si="95"/>
        <v>2901</v>
      </c>
      <c r="AM335" s="23">
        <f t="shared" si="96"/>
        <v>103444.97</v>
      </c>
    </row>
    <row r="336" spans="1:39" x14ac:dyDescent="0.5">
      <c r="A336" s="16">
        <v>332</v>
      </c>
      <c r="B336" s="97" t="s">
        <v>1483</v>
      </c>
      <c r="C336" s="92" t="s">
        <v>1351</v>
      </c>
      <c r="D336" s="93">
        <v>406</v>
      </c>
      <c r="E336" s="85">
        <f t="shared" si="106"/>
        <v>12634.720000000001</v>
      </c>
      <c r="F336" s="94">
        <v>265</v>
      </c>
      <c r="G336" s="85">
        <f t="shared" si="107"/>
        <v>8588.65</v>
      </c>
      <c r="H336" s="94">
        <v>179</v>
      </c>
      <c r="I336" s="85">
        <f t="shared" si="108"/>
        <v>5908.79</v>
      </c>
      <c r="J336" s="17"/>
      <c r="K336" s="86">
        <f t="shared" si="109"/>
        <v>0</v>
      </c>
      <c r="L336" s="94"/>
      <c r="M336" s="86">
        <f t="shared" si="110"/>
        <v>0</v>
      </c>
      <c r="N336" s="93">
        <v>262</v>
      </c>
      <c r="O336" s="86">
        <f t="shared" si="111"/>
        <v>11004</v>
      </c>
      <c r="P336" s="93">
        <v>188</v>
      </c>
      <c r="Q336" s="86">
        <f t="shared" si="112"/>
        <v>7275.6</v>
      </c>
      <c r="R336" s="95">
        <v>334</v>
      </c>
      <c r="S336" s="86">
        <f t="shared" si="113"/>
        <v>11255.800000000001</v>
      </c>
      <c r="T336" s="93">
        <v>323</v>
      </c>
      <c r="U336" s="86">
        <f t="shared" si="105"/>
        <v>10594.4</v>
      </c>
      <c r="V336" s="93">
        <v>462</v>
      </c>
      <c r="W336" s="86">
        <f t="shared" si="102"/>
        <v>16239.3</v>
      </c>
      <c r="X336" s="93">
        <v>388</v>
      </c>
      <c r="Y336" s="86">
        <f t="shared" si="103"/>
        <v>13448.079999999998</v>
      </c>
      <c r="Z336" s="93">
        <v>389</v>
      </c>
      <c r="AA336" s="85">
        <f t="shared" si="104"/>
        <v>14023.449999999999</v>
      </c>
      <c r="AB336" s="96">
        <v>434</v>
      </c>
      <c r="AC336" s="85">
        <f t="shared" si="99"/>
        <v>15207.359999999999</v>
      </c>
      <c r="AD336" s="91">
        <v>490</v>
      </c>
      <c r="AE336" s="85">
        <f t="shared" si="100"/>
        <v>16748.2</v>
      </c>
      <c r="AF336" s="93">
        <v>395</v>
      </c>
      <c r="AG336" s="89">
        <f t="shared" si="101"/>
        <v>13153.499999999998</v>
      </c>
      <c r="AH336" s="91">
        <v>418</v>
      </c>
      <c r="AI336" s="85">
        <f t="shared" si="97"/>
        <v>15027.1</v>
      </c>
      <c r="AJ336" s="91"/>
      <c r="AK336" s="85">
        <f t="shared" si="98"/>
        <v>0</v>
      </c>
      <c r="AL336" s="113">
        <f t="shared" si="95"/>
        <v>4933</v>
      </c>
      <c r="AM336" s="23">
        <f t="shared" si="96"/>
        <v>171108.95</v>
      </c>
    </row>
    <row r="337" spans="1:39" s="114" customFormat="1" x14ac:dyDescent="0.5">
      <c r="A337" s="16">
        <v>333</v>
      </c>
      <c r="B337" s="97" t="s">
        <v>1162</v>
      </c>
      <c r="C337" s="92" t="s">
        <v>1484</v>
      </c>
      <c r="D337" s="93">
        <v>186</v>
      </c>
      <c r="E337" s="85">
        <f t="shared" si="106"/>
        <v>5788.3200000000006</v>
      </c>
      <c r="F337" s="94">
        <v>269</v>
      </c>
      <c r="G337" s="85">
        <f t="shared" si="107"/>
        <v>8718.2899999999991</v>
      </c>
      <c r="H337" s="94">
        <v>423</v>
      </c>
      <c r="I337" s="85">
        <f t="shared" si="108"/>
        <v>13963.23</v>
      </c>
      <c r="J337" s="17">
        <v>330</v>
      </c>
      <c r="K337" s="86">
        <f t="shared" si="109"/>
        <v>11589.599999999999</v>
      </c>
      <c r="L337" s="94">
        <v>203</v>
      </c>
      <c r="M337" s="86">
        <f t="shared" si="110"/>
        <v>7764.75</v>
      </c>
      <c r="N337" s="93">
        <v>341</v>
      </c>
      <c r="O337" s="86">
        <f t="shared" si="111"/>
        <v>14322</v>
      </c>
      <c r="P337" s="93">
        <v>310</v>
      </c>
      <c r="Q337" s="86">
        <f t="shared" si="112"/>
        <v>11997</v>
      </c>
      <c r="R337" s="95">
        <v>284</v>
      </c>
      <c r="S337" s="86">
        <f t="shared" si="113"/>
        <v>9570.8000000000011</v>
      </c>
      <c r="T337" s="93">
        <v>302</v>
      </c>
      <c r="U337" s="86">
        <f t="shared" si="105"/>
        <v>9905.5999999999985</v>
      </c>
      <c r="V337" s="93"/>
      <c r="W337" s="86">
        <f t="shared" si="102"/>
        <v>0</v>
      </c>
      <c r="X337" s="93"/>
      <c r="Y337" s="86">
        <f t="shared" si="103"/>
        <v>0</v>
      </c>
      <c r="Z337" s="93"/>
      <c r="AA337" s="85">
        <f t="shared" si="104"/>
        <v>0</v>
      </c>
      <c r="AB337" s="96"/>
      <c r="AC337" s="85">
        <f t="shared" si="99"/>
        <v>0</v>
      </c>
      <c r="AD337" s="91"/>
      <c r="AE337" s="85">
        <f t="shared" si="100"/>
        <v>0</v>
      </c>
      <c r="AF337" s="93"/>
      <c r="AG337" s="89">
        <f t="shared" si="101"/>
        <v>0</v>
      </c>
      <c r="AH337" s="91"/>
      <c r="AI337" s="85">
        <f t="shared" si="97"/>
        <v>0</v>
      </c>
      <c r="AJ337" s="91"/>
      <c r="AK337" s="85">
        <f t="shared" si="98"/>
        <v>0</v>
      </c>
      <c r="AL337" s="113">
        <f t="shared" si="95"/>
        <v>2648</v>
      </c>
      <c r="AM337" s="23">
        <f t="shared" si="96"/>
        <v>93619.59</v>
      </c>
    </row>
    <row r="338" spans="1:39" s="114" customFormat="1" x14ac:dyDescent="0.5">
      <c r="A338" s="16">
        <v>334</v>
      </c>
      <c r="B338" s="97" t="s">
        <v>1482</v>
      </c>
      <c r="C338" s="92" t="s">
        <v>1485</v>
      </c>
      <c r="D338" s="93">
        <v>347</v>
      </c>
      <c r="E338" s="85">
        <f t="shared" si="106"/>
        <v>10798.640000000001</v>
      </c>
      <c r="F338" s="94"/>
      <c r="G338" s="85">
        <f t="shared" si="107"/>
        <v>0</v>
      </c>
      <c r="H338" s="94"/>
      <c r="I338" s="85">
        <f t="shared" si="108"/>
        <v>0</v>
      </c>
      <c r="J338" s="17"/>
      <c r="K338" s="86">
        <f t="shared" si="109"/>
        <v>0</v>
      </c>
      <c r="L338" s="94"/>
      <c r="M338" s="86">
        <f t="shared" si="110"/>
        <v>0</v>
      </c>
      <c r="N338" s="93"/>
      <c r="O338" s="86">
        <f t="shared" si="111"/>
        <v>0</v>
      </c>
      <c r="P338" s="93"/>
      <c r="Q338" s="86">
        <f t="shared" si="112"/>
        <v>0</v>
      </c>
      <c r="R338" s="95"/>
      <c r="S338" s="86">
        <f t="shared" si="113"/>
        <v>0</v>
      </c>
      <c r="T338" s="93"/>
      <c r="U338" s="86">
        <f t="shared" si="105"/>
        <v>0</v>
      </c>
      <c r="V338" s="93"/>
      <c r="W338" s="86">
        <f t="shared" si="102"/>
        <v>0</v>
      </c>
      <c r="X338" s="93"/>
      <c r="Y338" s="86">
        <f t="shared" si="103"/>
        <v>0</v>
      </c>
      <c r="Z338" s="93"/>
      <c r="AA338" s="85">
        <f t="shared" si="104"/>
        <v>0</v>
      </c>
      <c r="AB338" s="96"/>
      <c r="AC338" s="85">
        <f t="shared" si="99"/>
        <v>0</v>
      </c>
      <c r="AD338" s="91"/>
      <c r="AE338" s="85">
        <f t="shared" si="100"/>
        <v>0</v>
      </c>
      <c r="AF338" s="93"/>
      <c r="AG338" s="89">
        <f t="shared" si="101"/>
        <v>0</v>
      </c>
      <c r="AH338" s="91"/>
      <c r="AI338" s="85">
        <f t="shared" si="97"/>
        <v>0</v>
      </c>
      <c r="AJ338" s="91"/>
      <c r="AK338" s="85">
        <f t="shared" si="98"/>
        <v>0</v>
      </c>
      <c r="AL338" s="113">
        <f t="shared" si="95"/>
        <v>347</v>
      </c>
      <c r="AM338" s="23">
        <f t="shared" si="96"/>
        <v>10798.640000000001</v>
      </c>
    </row>
    <row r="339" spans="1:39" x14ac:dyDescent="0.5">
      <c r="A339" s="16">
        <v>335</v>
      </c>
      <c r="B339" s="97" t="s">
        <v>227</v>
      </c>
      <c r="C339" s="92" t="s">
        <v>1486</v>
      </c>
      <c r="D339" s="93"/>
      <c r="E339" s="85">
        <f t="shared" si="106"/>
        <v>0</v>
      </c>
      <c r="F339" s="94"/>
      <c r="G339" s="85">
        <f t="shared" si="107"/>
        <v>0</v>
      </c>
      <c r="H339" s="94"/>
      <c r="I339" s="85">
        <f t="shared" si="108"/>
        <v>0</v>
      </c>
      <c r="J339" s="17"/>
      <c r="K339" s="86">
        <f t="shared" si="109"/>
        <v>0</v>
      </c>
      <c r="L339" s="94"/>
      <c r="M339" s="86">
        <f t="shared" si="110"/>
        <v>0</v>
      </c>
      <c r="N339" s="93"/>
      <c r="O339" s="86">
        <f t="shared" si="111"/>
        <v>0</v>
      </c>
      <c r="P339" s="93"/>
      <c r="Q339" s="86">
        <f t="shared" si="112"/>
        <v>0</v>
      </c>
      <c r="R339" s="95"/>
      <c r="S339" s="86">
        <f t="shared" si="113"/>
        <v>0</v>
      </c>
      <c r="T339" s="93"/>
      <c r="U339" s="86">
        <f t="shared" si="105"/>
        <v>0</v>
      </c>
      <c r="V339" s="93"/>
      <c r="W339" s="86">
        <f t="shared" si="102"/>
        <v>0</v>
      </c>
      <c r="X339" s="93"/>
      <c r="Y339" s="86">
        <f t="shared" si="103"/>
        <v>0</v>
      </c>
      <c r="Z339" s="93"/>
      <c r="AA339" s="85">
        <f t="shared" si="104"/>
        <v>0</v>
      </c>
      <c r="AB339" s="96">
        <v>565</v>
      </c>
      <c r="AC339" s="85">
        <f t="shared" si="99"/>
        <v>19797.599999999999</v>
      </c>
      <c r="AD339" s="91"/>
      <c r="AE339" s="85">
        <f t="shared" si="100"/>
        <v>0</v>
      </c>
      <c r="AF339" s="93"/>
      <c r="AG339" s="89">
        <f t="shared" si="101"/>
        <v>0</v>
      </c>
      <c r="AH339" s="91"/>
      <c r="AI339" s="85">
        <f t="shared" si="97"/>
        <v>0</v>
      </c>
      <c r="AJ339" s="91">
        <v>487</v>
      </c>
      <c r="AK339" s="85">
        <f t="shared" si="98"/>
        <v>17858.29</v>
      </c>
      <c r="AL339" s="113">
        <f t="shared" si="95"/>
        <v>1052</v>
      </c>
      <c r="AM339" s="23">
        <f t="shared" si="96"/>
        <v>37655.89</v>
      </c>
    </row>
    <row r="340" spans="1:39" x14ac:dyDescent="0.5">
      <c r="A340" s="16">
        <v>336</v>
      </c>
      <c r="B340" s="97" t="s">
        <v>1487</v>
      </c>
      <c r="C340" s="92" t="s">
        <v>1480</v>
      </c>
      <c r="D340" s="93">
        <v>324</v>
      </c>
      <c r="E340" s="85">
        <f t="shared" si="106"/>
        <v>10082.880000000001</v>
      </c>
      <c r="F340" s="94"/>
      <c r="G340" s="85">
        <f t="shared" si="107"/>
        <v>0</v>
      </c>
      <c r="H340" s="94"/>
      <c r="I340" s="85">
        <f t="shared" si="108"/>
        <v>0</v>
      </c>
      <c r="J340" s="17"/>
      <c r="K340" s="86">
        <f t="shared" si="109"/>
        <v>0</v>
      </c>
      <c r="L340" s="94"/>
      <c r="M340" s="86">
        <f t="shared" si="110"/>
        <v>0</v>
      </c>
      <c r="N340" s="93"/>
      <c r="O340" s="86">
        <f t="shared" si="111"/>
        <v>0</v>
      </c>
      <c r="P340" s="93"/>
      <c r="Q340" s="86">
        <f t="shared" si="112"/>
        <v>0</v>
      </c>
      <c r="R340" s="95"/>
      <c r="S340" s="86">
        <f t="shared" si="113"/>
        <v>0</v>
      </c>
      <c r="T340" s="93">
        <v>92</v>
      </c>
      <c r="U340" s="86">
        <f t="shared" si="105"/>
        <v>3017.6</v>
      </c>
      <c r="V340" s="93">
        <v>150</v>
      </c>
      <c r="W340" s="86">
        <f t="shared" si="102"/>
        <v>5272.5</v>
      </c>
      <c r="X340" s="93">
        <v>44</v>
      </c>
      <c r="Y340" s="86">
        <f t="shared" si="103"/>
        <v>1525.04</v>
      </c>
      <c r="Z340" s="93">
        <v>133</v>
      </c>
      <c r="AA340" s="85">
        <f t="shared" si="104"/>
        <v>4794.6499999999996</v>
      </c>
      <c r="AB340" s="96">
        <v>87</v>
      </c>
      <c r="AC340" s="85">
        <f t="shared" si="99"/>
        <v>3048.48</v>
      </c>
      <c r="AD340" s="91"/>
      <c r="AE340" s="85">
        <f t="shared" si="100"/>
        <v>0</v>
      </c>
      <c r="AF340" s="93">
        <v>131</v>
      </c>
      <c r="AG340" s="89">
        <f t="shared" si="101"/>
        <v>4362.2999999999993</v>
      </c>
      <c r="AH340" s="91">
        <v>198</v>
      </c>
      <c r="AI340" s="85">
        <f t="shared" si="97"/>
        <v>7118.1</v>
      </c>
      <c r="AJ340" s="91">
        <v>214</v>
      </c>
      <c r="AK340" s="85">
        <f t="shared" si="98"/>
        <v>7847.38</v>
      </c>
      <c r="AL340" s="113">
        <f t="shared" si="95"/>
        <v>1373</v>
      </c>
      <c r="AM340" s="23">
        <f t="shared" si="96"/>
        <v>47068.93</v>
      </c>
    </row>
    <row r="341" spans="1:39" x14ac:dyDescent="0.5">
      <c r="A341" s="16">
        <v>337</v>
      </c>
      <c r="B341" s="97" t="s">
        <v>1488</v>
      </c>
      <c r="C341" s="92" t="s">
        <v>1489</v>
      </c>
      <c r="D341" s="93"/>
      <c r="E341" s="85">
        <f t="shared" si="106"/>
        <v>0</v>
      </c>
      <c r="F341" s="94"/>
      <c r="G341" s="85">
        <f t="shared" si="107"/>
        <v>0</v>
      </c>
      <c r="H341" s="94"/>
      <c r="I341" s="85">
        <f t="shared" si="108"/>
        <v>0</v>
      </c>
      <c r="J341" s="17"/>
      <c r="K341" s="86">
        <f t="shared" si="109"/>
        <v>0</v>
      </c>
      <c r="L341" s="94"/>
      <c r="M341" s="86">
        <f t="shared" si="110"/>
        <v>0</v>
      </c>
      <c r="N341" s="93"/>
      <c r="O341" s="86">
        <f t="shared" si="111"/>
        <v>0</v>
      </c>
      <c r="P341" s="93"/>
      <c r="Q341" s="86">
        <f t="shared" si="112"/>
        <v>0</v>
      </c>
      <c r="R341" s="95"/>
      <c r="S341" s="86">
        <f t="shared" si="113"/>
        <v>0</v>
      </c>
      <c r="T341" s="93"/>
      <c r="U341" s="86">
        <f t="shared" si="105"/>
        <v>0</v>
      </c>
      <c r="V341" s="93"/>
      <c r="W341" s="86">
        <f t="shared" si="102"/>
        <v>0</v>
      </c>
      <c r="X341" s="93"/>
      <c r="Y341" s="86">
        <f t="shared" si="103"/>
        <v>0</v>
      </c>
      <c r="Z341" s="93"/>
      <c r="AA341" s="85">
        <f t="shared" si="104"/>
        <v>0</v>
      </c>
      <c r="AB341" s="96"/>
      <c r="AC341" s="85">
        <f t="shared" si="99"/>
        <v>0</v>
      </c>
      <c r="AD341" s="91"/>
      <c r="AE341" s="85">
        <f t="shared" si="100"/>
        <v>0</v>
      </c>
      <c r="AF341" s="93"/>
      <c r="AG341" s="89">
        <f t="shared" si="101"/>
        <v>0</v>
      </c>
      <c r="AH341" s="91"/>
      <c r="AI341" s="85">
        <f t="shared" si="97"/>
        <v>0</v>
      </c>
      <c r="AJ341" s="91">
        <v>425</v>
      </c>
      <c r="AK341" s="85">
        <f t="shared" si="98"/>
        <v>15584.75</v>
      </c>
      <c r="AL341" s="113">
        <f t="shared" si="95"/>
        <v>425</v>
      </c>
      <c r="AM341" s="23">
        <f t="shared" si="96"/>
        <v>15584.75</v>
      </c>
    </row>
    <row r="342" spans="1:39" s="114" customFormat="1" x14ac:dyDescent="0.5">
      <c r="A342" s="16">
        <v>338</v>
      </c>
      <c r="B342" s="97" t="s">
        <v>1490</v>
      </c>
      <c r="C342" s="92" t="s">
        <v>1491</v>
      </c>
      <c r="D342" s="93"/>
      <c r="E342" s="85">
        <f t="shared" si="106"/>
        <v>0</v>
      </c>
      <c r="F342" s="94"/>
      <c r="G342" s="85">
        <f t="shared" si="107"/>
        <v>0</v>
      </c>
      <c r="H342" s="94"/>
      <c r="I342" s="85">
        <f t="shared" si="108"/>
        <v>0</v>
      </c>
      <c r="J342" s="17"/>
      <c r="K342" s="86">
        <f t="shared" si="109"/>
        <v>0</v>
      </c>
      <c r="L342" s="94"/>
      <c r="M342" s="86">
        <f t="shared" si="110"/>
        <v>0</v>
      </c>
      <c r="N342" s="93"/>
      <c r="O342" s="86">
        <f t="shared" si="111"/>
        <v>0</v>
      </c>
      <c r="P342" s="93"/>
      <c r="Q342" s="86">
        <f t="shared" si="112"/>
        <v>0</v>
      </c>
      <c r="R342" s="95"/>
      <c r="S342" s="86">
        <f t="shared" si="113"/>
        <v>0</v>
      </c>
      <c r="T342" s="93"/>
      <c r="U342" s="86">
        <f t="shared" si="105"/>
        <v>0</v>
      </c>
      <c r="V342" s="93">
        <v>288</v>
      </c>
      <c r="W342" s="86">
        <f t="shared" si="102"/>
        <v>10123.199999999999</v>
      </c>
      <c r="X342" s="93"/>
      <c r="Y342" s="86">
        <f t="shared" si="103"/>
        <v>0</v>
      </c>
      <c r="Z342" s="93"/>
      <c r="AA342" s="85">
        <f t="shared" si="104"/>
        <v>0</v>
      </c>
      <c r="AB342" s="96"/>
      <c r="AC342" s="85">
        <f t="shared" si="99"/>
        <v>0</v>
      </c>
      <c r="AD342" s="91"/>
      <c r="AE342" s="85">
        <f t="shared" si="100"/>
        <v>0</v>
      </c>
      <c r="AF342" s="93"/>
      <c r="AG342" s="89">
        <f t="shared" si="101"/>
        <v>0</v>
      </c>
      <c r="AH342" s="91"/>
      <c r="AI342" s="85">
        <f t="shared" si="97"/>
        <v>0</v>
      </c>
      <c r="AJ342" s="91"/>
      <c r="AK342" s="85">
        <f t="shared" si="98"/>
        <v>0</v>
      </c>
      <c r="AL342" s="113">
        <f t="shared" si="95"/>
        <v>288</v>
      </c>
      <c r="AM342" s="23">
        <f t="shared" si="96"/>
        <v>10123.199999999999</v>
      </c>
    </row>
    <row r="343" spans="1:39" x14ac:dyDescent="0.5">
      <c r="A343" s="16">
        <v>339</v>
      </c>
      <c r="B343" s="97" t="s">
        <v>1492</v>
      </c>
      <c r="C343" s="92" t="s">
        <v>1493</v>
      </c>
      <c r="D343" s="93">
        <v>192</v>
      </c>
      <c r="E343" s="85">
        <f t="shared" si="106"/>
        <v>5975.04</v>
      </c>
      <c r="F343" s="94"/>
      <c r="G343" s="85">
        <f t="shared" si="107"/>
        <v>0</v>
      </c>
      <c r="H343" s="94"/>
      <c r="I343" s="85">
        <f t="shared" si="108"/>
        <v>0</v>
      </c>
      <c r="J343" s="17"/>
      <c r="K343" s="86">
        <f t="shared" si="109"/>
        <v>0</v>
      </c>
      <c r="L343" s="94"/>
      <c r="M343" s="86">
        <f t="shared" si="110"/>
        <v>0</v>
      </c>
      <c r="N343" s="93">
        <v>185</v>
      </c>
      <c r="O343" s="86">
        <f t="shared" si="111"/>
        <v>7770</v>
      </c>
      <c r="P343" s="93">
        <v>210</v>
      </c>
      <c r="Q343" s="86">
        <f t="shared" si="112"/>
        <v>8127.0000000000009</v>
      </c>
      <c r="R343" s="95">
        <v>270</v>
      </c>
      <c r="S343" s="86">
        <f t="shared" si="113"/>
        <v>9099</v>
      </c>
      <c r="T343" s="93">
        <v>251</v>
      </c>
      <c r="U343" s="86">
        <f t="shared" si="105"/>
        <v>8232.7999999999993</v>
      </c>
      <c r="V343" s="93">
        <v>832</v>
      </c>
      <c r="W343" s="86">
        <f t="shared" si="102"/>
        <v>29244.799999999999</v>
      </c>
      <c r="X343" s="93">
        <v>378</v>
      </c>
      <c r="Y343" s="86">
        <f t="shared" si="103"/>
        <v>13101.48</v>
      </c>
      <c r="Z343" s="93">
        <v>219</v>
      </c>
      <c r="AA343" s="85">
        <f t="shared" si="104"/>
        <v>7894.95</v>
      </c>
      <c r="AB343" s="96">
        <v>208</v>
      </c>
      <c r="AC343" s="85">
        <f t="shared" si="99"/>
        <v>7288.32</v>
      </c>
      <c r="AD343" s="91">
        <v>245</v>
      </c>
      <c r="AE343" s="85">
        <f t="shared" si="100"/>
        <v>8374.1</v>
      </c>
      <c r="AF343" s="93">
        <v>218</v>
      </c>
      <c r="AG343" s="89">
        <f t="shared" si="101"/>
        <v>7259.4</v>
      </c>
      <c r="AH343" s="91">
        <v>212</v>
      </c>
      <c r="AI343" s="85">
        <f t="shared" si="97"/>
        <v>7621.4000000000005</v>
      </c>
      <c r="AJ343" s="91"/>
      <c r="AK343" s="85">
        <f t="shared" si="98"/>
        <v>0</v>
      </c>
      <c r="AL343" s="113">
        <f t="shared" si="95"/>
        <v>3420</v>
      </c>
      <c r="AM343" s="23">
        <f t="shared" si="96"/>
        <v>119988.28999999998</v>
      </c>
    </row>
    <row r="344" spans="1:39" s="114" customFormat="1" x14ac:dyDescent="0.5">
      <c r="A344" s="16">
        <v>340</v>
      </c>
      <c r="B344" s="97" t="s">
        <v>1494</v>
      </c>
      <c r="C344" s="92" t="s">
        <v>1495</v>
      </c>
      <c r="D344" s="93">
        <v>418</v>
      </c>
      <c r="E344" s="85">
        <f t="shared" si="106"/>
        <v>13008.16</v>
      </c>
      <c r="F344" s="94"/>
      <c r="G344" s="85">
        <f t="shared" si="107"/>
        <v>0</v>
      </c>
      <c r="H344" s="94"/>
      <c r="I344" s="85">
        <f t="shared" si="108"/>
        <v>0</v>
      </c>
      <c r="J344" s="17"/>
      <c r="K344" s="86">
        <f t="shared" si="109"/>
        <v>0</v>
      </c>
      <c r="L344" s="94"/>
      <c r="M344" s="86">
        <f t="shared" si="110"/>
        <v>0</v>
      </c>
      <c r="N344" s="93">
        <v>446</v>
      </c>
      <c r="O344" s="86">
        <f t="shared" si="111"/>
        <v>18732</v>
      </c>
      <c r="P344" s="93"/>
      <c r="Q344" s="86">
        <f t="shared" si="112"/>
        <v>0</v>
      </c>
      <c r="R344" s="95"/>
      <c r="S344" s="86">
        <f t="shared" si="113"/>
        <v>0</v>
      </c>
      <c r="T344" s="93"/>
      <c r="U344" s="86">
        <f t="shared" si="105"/>
        <v>0</v>
      </c>
      <c r="V344" s="93"/>
      <c r="W344" s="86">
        <f t="shared" si="102"/>
        <v>0</v>
      </c>
      <c r="X344" s="93"/>
      <c r="Y344" s="86">
        <f t="shared" si="103"/>
        <v>0</v>
      </c>
      <c r="Z344" s="93"/>
      <c r="AA344" s="85">
        <f t="shared" si="104"/>
        <v>0</v>
      </c>
      <c r="AB344" s="96"/>
      <c r="AC344" s="85">
        <f t="shared" si="99"/>
        <v>0</v>
      </c>
      <c r="AD344" s="91"/>
      <c r="AE344" s="85">
        <f t="shared" si="100"/>
        <v>0</v>
      </c>
      <c r="AF344" s="93"/>
      <c r="AG344" s="89">
        <f t="shared" si="101"/>
        <v>0</v>
      </c>
      <c r="AH344" s="91"/>
      <c r="AI344" s="85">
        <f t="shared" si="97"/>
        <v>0</v>
      </c>
      <c r="AJ344" s="91"/>
      <c r="AK344" s="85">
        <f t="shared" si="98"/>
        <v>0</v>
      </c>
      <c r="AL344" s="113">
        <f t="shared" si="95"/>
        <v>864</v>
      </c>
      <c r="AM344" s="23">
        <f t="shared" si="96"/>
        <v>31740.16</v>
      </c>
    </row>
    <row r="345" spans="1:39" s="114" customFormat="1" x14ac:dyDescent="0.5">
      <c r="A345" s="16">
        <v>341</v>
      </c>
      <c r="B345" s="97" t="s">
        <v>1496</v>
      </c>
      <c r="C345" s="92" t="s">
        <v>1497</v>
      </c>
      <c r="D345" s="93">
        <v>256</v>
      </c>
      <c r="E345" s="85">
        <f t="shared" si="106"/>
        <v>7966.72</v>
      </c>
      <c r="F345" s="94">
        <v>120</v>
      </c>
      <c r="G345" s="85">
        <f t="shared" si="107"/>
        <v>3889.2</v>
      </c>
      <c r="H345" s="94"/>
      <c r="I345" s="85">
        <f t="shared" si="108"/>
        <v>0</v>
      </c>
      <c r="J345" s="17"/>
      <c r="K345" s="86">
        <f t="shared" si="109"/>
        <v>0</v>
      </c>
      <c r="L345" s="94"/>
      <c r="M345" s="86">
        <f t="shared" si="110"/>
        <v>0</v>
      </c>
      <c r="N345" s="93">
        <v>171</v>
      </c>
      <c r="O345" s="86">
        <f t="shared" si="111"/>
        <v>7182</v>
      </c>
      <c r="P345" s="93">
        <v>92</v>
      </c>
      <c r="Q345" s="86">
        <f t="shared" si="112"/>
        <v>3560.4</v>
      </c>
      <c r="R345" s="95">
        <v>261</v>
      </c>
      <c r="S345" s="86">
        <f t="shared" si="113"/>
        <v>8795.7000000000007</v>
      </c>
      <c r="T345" s="93">
        <v>106</v>
      </c>
      <c r="U345" s="86">
        <f t="shared" si="105"/>
        <v>3476.7999999999997</v>
      </c>
      <c r="V345" s="93">
        <v>215</v>
      </c>
      <c r="W345" s="86">
        <f t="shared" si="102"/>
        <v>7557.25</v>
      </c>
      <c r="X345" s="93">
        <v>231</v>
      </c>
      <c r="Y345" s="86">
        <f t="shared" si="103"/>
        <v>8006.4599999999991</v>
      </c>
      <c r="Z345" s="93"/>
      <c r="AA345" s="85">
        <f t="shared" si="104"/>
        <v>0</v>
      </c>
      <c r="AB345" s="96"/>
      <c r="AC345" s="85">
        <f t="shared" si="99"/>
        <v>0</v>
      </c>
      <c r="AD345" s="91"/>
      <c r="AE345" s="85">
        <f t="shared" si="100"/>
        <v>0</v>
      </c>
      <c r="AF345" s="93"/>
      <c r="AG345" s="89">
        <f t="shared" si="101"/>
        <v>0</v>
      </c>
      <c r="AH345" s="91"/>
      <c r="AI345" s="85">
        <f t="shared" si="97"/>
        <v>0</v>
      </c>
      <c r="AJ345" s="91"/>
      <c r="AK345" s="85">
        <f t="shared" si="98"/>
        <v>0</v>
      </c>
      <c r="AL345" s="113">
        <f t="shared" si="95"/>
        <v>1452</v>
      </c>
      <c r="AM345" s="23">
        <f t="shared" si="96"/>
        <v>50434.53</v>
      </c>
    </row>
    <row r="346" spans="1:39" s="114" customFormat="1" x14ac:dyDescent="0.5">
      <c r="A346" s="16">
        <v>342</v>
      </c>
      <c r="B346" s="97" t="s">
        <v>1498</v>
      </c>
      <c r="C346" s="92" t="s">
        <v>1499</v>
      </c>
      <c r="D346" s="93"/>
      <c r="E346" s="85">
        <f t="shared" si="106"/>
        <v>0</v>
      </c>
      <c r="F346" s="94"/>
      <c r="G346" s="85">
        <f t="shared" si="107"/>
        <v>0</v>
      </c>
      <c r="H346" s="94"/>
      <c r="I346" s="85">
        <f t="shared" si="108"/>
        <v>0</v>
      </c>
      <c r="J346" s="17"/>
      <c r="K346" s="86">
        <f t="shared" si="109"/>
        <v>0</v>
      </c>
      <c r="L346" s="94"/>
      <c r="M346" s="86">
        <f t="shared" si="110"/>
        <v>0</v>
      </c>
      <c r="N346" s="93"/>
      <c r="O346" s="86">
        <f t="shared" si="111"/>
        <v>0</v>
      </c>
      <c r="P346" s="93"/>
      <c r="Q346" s="86">
        <f t="shared" si="112"/>
        <v>0</v>
      </c>
      <c r="R346" s="95"/>
      <c r="S346" s="86">
        <f t="shared" si="113"/>
        <v>0</v>
      </c>
      <c r="T346" s="93"/>
      <c r="U346" s="86">
        <f t="shared" si="105"/>
        <v>0</v>
      </c>
      <c r="V346" s="93"/>
      <c r="W346" s="86">
        <f t="shared" si="102"/>
        <v>0</v>
      </c>
      <c r="X346" s="93"/>
      <c r="Y346" s="86">
        <f t="shared" si="103"/>
        <v>0</v>
      </c>
      <c r="Z346" s="93"/>
      <c r="AA346" s="85">
        <f t="shared" si="104"/>
        <v>0</v>
      </c>
      <c r="AB346" s="96"/>
      <c r="AC346" s="85">
        <f t="shared" si="99"/>
        <v>0</v>
      </c>
      <c r="AD346" s="91"/>
      <c r="AE346" s="85">
        <f t="shared" si="100"/>
        <v>0</v>
      </c>
      <c r="AF346" s="93">
        <v>520</v>
      </c>
      <c r="AG346" s="89">
        <f t="shared" si="101"/>
        <v>17316</v>
      </c>
      <c r="AH346" s="91"/>
      <c r="AI346" s="85">
        <f t="shared" si="97"/>
        <v>0</v>
      </c>
      <c r="AJ346" s="91"/>
      <c r="AK346" s="85">
        <f t="shared" si="98"/>
        <v>0</v>
      </c>
      <c r="AL346" s="113">
        <f t="shared" si="95"/>
        <v>520</v>
      </c>
      <c r="AM346" s="23">
        <f t="shared" si="96"/>
        <v>17316</v>
      </c>
    </row>
    <row r="347" spans="1:39" s="114" customFormat="1" x14ac:dyDescent="0.5">
      <c r="A347" s="16">
        <v>343</v>
      </c>
      <c r="B347" s="97" t="s">
        <v>661</v>
      </c>
      <c r="C347" s="92" t="s">
        <v>1500</v>
      </c>
      <c r="D347" s="93">
        <v>550</v>
      </c>
      <c r="E347" s="85">
        <f t="shared" si="106"/>
        <v>17116</v>
      </c>
      <c r="F347" s="94">
        <v>473</v>
      </c>
      <c r="G347" s="85">
        <f t="shared" si="107"/>
        <v>15329.929999999998</v>
      </c>
      <c r="H347" s="94">
        <v>289</v>
      </c>
      <c r="I347" s="85">
        <f t="shared" si="108"/>
        <v>9539.89</v>
      </c>
      <c r="J347" s="17">
        <v>200</v>
      </c>
      <c r="K347" s="86">
        <f t="shared" si="109"/>
        <v>7023.9999999999991</v>
      </c>
      <c r="L347" s="94">
        <v>405</v>
      </c>
      <c r="M347" s="86">
        <f t="shared" si="110"/>
        <v>15491.25</v>
      </c>
      <c r="N347" s="93">
        <v>652</v>
      </c>
      <c r="O347" s="86">
        <f t="shared" si="111"/>
        <v>27384</v>
      </c>
      <c r="P347" s="93">
        <v>366</v>
      </c>
      <c r="Q347" s="86">
        <f t="shared" si="112"/>
        <v>14164.2</v>
      </c>
      <c r="R347" s="95">
        <v>455</v>
      </c>
      <c r="S347" s="86">
        <f t="shared" si="113"/>
        <v>15333.500000000002</v>
      </c>
      <c r="T347" s="93">
        <v>391</v>
      </c>
      <c r="U347" s="86">
        <f t="shared" si="105"/>
        <v>12824.8</v>
      </c>
      <c r="V347" s="93">
        <v>623</v>
      </c>
      <c r="W347" s="86">
        <f t="shared" si="102"/>
        <v>21898.45</v>
      </c>
      <c r="X347" s="93">
        <v>487</v>
      </c>
      <c r="Y347" s="86">
        <f t="shared" si="103"/>
        <v>16879.419999999998</v>
      </c>
      <c r="Z347" s="93">
        <v>378</v>
      </c>
      <c r="AA347" s="85">
        <f t="shared" si="104"/>
        <v>13626.9</v>
      </c>
      <c r="AB347" s="96">
        <v>500</v>
      </c>
      <c r="AC347" s="85">
        <f t="shared" si="99"/>
        <v>17520</v>
      </c>
      <c r="AD347" s="91">
        <v>632</v>
      </c>
      <c r="AE347" s="85">
        <f t="shared" si="100"/>
        <v>21601.759999999998</v>
      </c>
      <c r="AF347" s="93">
        <v>532</v>
      </c>
      <c r="AG347" s="89">
        <f t="shared" si="101"/>
        <v>17715.599999999999</v>
      </c>
      <c r="AH347" s="91"/>
      <c r="AI347" s="85">
        <f t="shared" si="97"/>
        <v>0</v>
      </c>
      <c r="AJ347" s="91"/>
      <c r="AK347" s="85">
        <f t="shared" si="98"/>
        <v>0</v>
      </c>
      <c r="AL347" s="113">
        <f t="shared" si="95"/>
        <v>6933</v>
      </c>
      <c r="AM347" s="23">
        <f t="shared" si="96"/>
        <v>243449.7</v>
      </c>
    </row>
    <row r="348" spans="1:39" x14ac:dyDescent="0.5">
      <c r="A348" s="16">
        <v>344</v>
      </c>
      <c r="B348" s="97" t="s">
        <v>875</v>
      </c>
      <c r="C348" s="92" t="s">
        <v>1501</v>
      </c>
      <c r="D348" s="93">
        <v>936</v>
      </c>
      <c r="E348" s="85">
        <f t="shared" si="106"/>
        <v>29128.32</v>
      </c>
      <c r="F348" s="94"/>
      <c r="G348" s="85">
        <f t="shared" si="107"/>
        <v>0</v>
      </c>
      <c r="H348" s="94">
        <v>464</v>
      </c>
      <c r="I348" s="85">
        <f t="shared" si="108"/>
        <v>15316.64</v>
      </c>
      <c r="J348" s="17">
        <v>130</v>
      </c>
      <c r="K348" s="86">
        <f t="shared" si="109"/>
        <v>4565.5999999999995</v>
      </c>
      <c r="L348" s="94">
        <v>242</v>
      </c>
      <c r="M348" s="86">
        <f t="shared" si="110"/>
        <v>9256.5</v>
      </c>
      <c r="N348" s="93">
        <v>327</v>
      </c>
      <c r="O348" s="86">
        <f t="shared" si="111"/>
        <v>13734</v>
      </c>
      <c r="P348" s="93">
        <v>451</v>
      </c>
      <c r="Q348" s="86">
        <f t="shared" si="112"/>
        <v>17453.7</v>
      </c>
      <c r="R348" s="95">
        <v>772</v>
      </c>
      <c r="S348" s="86">
        <f t="shared" si="113"/>
        <v>26016.400000000001</v>
      </c>
      <c r="T348" s="93">
        <v>886</v>
      </c>
      <c r="U348" s="86">
        <f t="shared" si="105"/>
        <v>29060.799999999999</v>
      </c>
      <c r="V348" s="93">
        <v>787</v>
      </c>
      <c r="W348" s="86">
        <f t="shared" si="102"/>
        <v>27663.05</v>
      </c>
      <c r="X348" s="93">
        <v>801</v>
      </c>
      <c r="Y348" s="86">
        <f t="shared" si="103"/>
        <v>27762.659999999996</v>
      </c>
      <c r="Z348" s="93">
        <v>252</v>
      </c>
      <c r="AA348" s="85">
        <f t="shared" si="104"/>
        <v>9084.5999999999985</v>
      </c>
      <c r="AB348" s="96">
        <v>869</v>
      </c>
      <c r="AC348" s="85">
        <f t="shared" si="99"/>
        <v>30449.759999999998</v>
      </c>
      <c r="AD348" s="91">
        <v>950</v>
      </c>
      <c r="AE348" s="85">
        <f t="shared" si="100"/>
        <v>32471</v>
      </c>
      <c r="AF348" s="93">
        <v>788</v>
      </c>
      <c r="AG348" s="89">
        <f t="shared" si="101"/>
        <v>26240.399999999998</v>
      </c>
      <c r="AH348" s="91">
        <v>720</v>
      </c>
      <c r="AI348" s="85">
        <f t="shared" si="97"/>
        <v>25884.000000000004</v>
      </c>
      <c r="AJ348" s="91"/>
      <c r="AK348" s="85">
        <f t="shared" si="98"/>
        <v>0</v>
      </c>
      <c r="AL348" s="113">
        <f t="shared" si="95"/>
        <v>9375</v>
      </c>
      <c r="AM348" s="23">
        <f t="shared" si="96"/>
        <v>324087.43000000005</v>
      </c>
    </row>
    <row r="349" spans="1:39" x14ac:dyDescent="0.5">
      <c r="A349" s="16">
        <v>345</v>
      </c>
      <c r="B349" s="97" t="s">
        <v>1502</v>
      </c>
      <c r="C349" s="92" t="s">
        <v>1503</v>
      </c>
      <c r="D349" s="93">
        <v>218</v>
      </c>
      <c r="E349" s="85">
        <f t="shared" si="106"/>
        <v>6784.16</v>
      </c>
      <c r="F349" s="94">
        <v>78</v>
      </c>
      <c r="G349" s="85">
        <f t="shared" si="107"/>
        <v>2527.9799999999996</v>
      </c>
      <c r="H349" s="94"/>
      <c r="I349" s="85">
        <f t="shared" si="108"/>
        <v>0</v>
      </c>
      <c r="J349" s="17"/>
      <c r="K349" s="86">
        <f t="shared" si="109"/>
        <v>0</v>
      </c>
      <c r="L349" s="94"/>
      <c r="M349" s="86">
        <f t="shared" si="110"/>
        <v>0</v>
      </c>
      <c r="N349" s="93"/>
      <c r="O349" s="86">
        <f t="shared" si="111"/>
        <v>0</v>
      </c>
      <c r="P349" s="93">
        <v>120</v>
      </c>
      <c r="Q349" s="86">
        <f t="shared" si="112"/>
        <v>4644</v>
      </c>
      <c r="R349" s="95">
        <v>329</v>
      </c>
      <c r="S349" s="86">
        <f t="shared" si="113"/>
        <v>11087.300000000001</v>
      </c>
      <c r="T349" s="93">
        <v>162</v>
      </c>
      <c r="U349" s="86">
        <f t="shared" si="105"/>
        <v>5313.5999999999995</v>
      </c>
      <c r="V349" s="93">
        <v>191</v>
      </c>
      <c r="W349" s="86">
        <f t="shared" si="102"/>
        <v>6713.65</v>
      </c>
      <c r="X349" s="93">
        <v>286</v>
      </c>
      <c r="Y349" s="86">
        <f t="shared" si="103"/>
        <v>9912.7599999999984</v>
      </c>
      <c r="Z349" s="93"/>
      <c r="AA349" s="85">
        <f t="shared" si="104"/>
        <v>0</v>
      </c>
      <c r="AB349" s="96">
        <v>274</v>
      </c>
      <c r="AC349" s="85">
        <f t="shared" si="99"/>
        <v>9600.9599999999991</v>
      </c>
      <c r="AD349" s="91">
        <v>200</v>
      </c>
      <c r="AE349" s="85">
        <f t="shared" si="100"/>
        <v>6836</v>
      </c>
      <c r="AF349" s="93">
        <v>171</v>
      </c>
      <c r="AG349" s="89">
        <f t="shared" si="101"/>
        <v>5694.2999999999993</v>
      </c>
      <c r="AH349" s="91">
        <v>249</v>
      </c>
      <c r="AI349" s="85">
        <f t="shared" si="97"/>
        <v>8951.5500000000011</v>
      </c>
      <c r="AJ349" s="91"/>
      <c r="AK349" s="85">
        <f t="shared" si="98"/>
        <v>0</v>
      </c>
      <c r="AL349" s="113">
        <f t="shared" si="95"/>
        <v>2278</v>
      </c>
      <c r="AM349" s="23">
        <f t="shared" si="96"/>
        <v>78066.259999999995</v>
      </c>
    </row>
    <row r="350" spans="1:39" s="114" customFormat="1" x14ac:dyDescent="0.5">
      <c r="A350" s="16">
        <v>346</v>
      </c>
      <c r="B350" s="97" t="s">
        <v>1504</v>
      </c>
      <c r="C350" s="92" t="s">
        <v>1505</v>
      </c>
      <c r="D350" s="93"/>
      <c r="E350" s="85">
        <f t="shared" si="106"/>
        <v>0</v>
      </c>
      <c r="F350" s="94"/>
      <c r="G350" s="85">
        <f t="shared" si="107"/>
        <v>0</v>
      </c>
      <c r="H350" s="94"/>
      <c r="I350" s="85">
        <f t="shared" si="108"/>
        <v>0</v>
      </c>
      <c r="J350" s="17"/>
      <c r="K350" s="86">
        <f t="shared" si="109"/>
        <v>0</v>
      </c>
      <c r="L350" s="94"/>
      <c r="M350" s="86">
        <f t="shared" si="110"/>
        <v>0</v>
      </c>
      <c r="N350" s="93"/>
      <c r="O350" s="86">
        <f t="shared" si="111"/>
        <v>0</v>
      </c>
      <c r="P350" s="93"/>
      <c r="Q350" s="86">
        <f t="shared" si="112"/>
        <v>0</v>
      </c>
      <c r="R350" s="95"/>
      <c r="S350" s="86">
        <f t="shared" si="113"/>
        <v>0</v>
      </c>
      <c r="T350" s="93"/>
      <c r="U350" s="86">
        <f t="shared" si="105"/>
        <v>0</v>
      </c>
      <c r="V350" s="93"/>
      <c r="W350" s="86">
        <f t="shared" si="102"/>
        <v>0</v>
      </c>
      <c r="X350" s="93"/>
      <c r="Y350" s="86">
        <f t="shared" si="103"/>
        <v>0</v>
      </c>
      <c r="Z350" s="93"/>
      <c r="AA350" s="85">
        <f t="shared" si="104"/>
        <v>0</v>
      </c>
      <c r="AB350" s="96"/>
      <c r="AC350" s="85">
        <f t="shared" si="99"/>
        <v>0</v>
      </c>
      <c r="AD350" s="91"/>
      <c r="AE350" s="85">
        <f t="shared" si="100"/>
        <v>0</v>
      </c>
      <c r="AF350" s="93"/>
      <c r="AG350" s="89">
        <f t="shared" si="101"/>
        <v>0</v>
      </c>
      <c r="AH350" s="91"/>
      <c r="AI350" s="85">
        <f t="shared" si="97"/>
        <v>0</v>
      </c>
      <c r="AJ350" s="91"/>
      <c r="AK350" s="85">
        <f t="shared" si="98"/>
        <v>0</v>
      </c>
      <c r="AL350" s="113">
        <f t="shared" si="95"/>
        <v>0</v>
      </c>
      <c r="AM350" s="23">
        <f t="shared" si="96"/>
        <v>0</v>
      </c>
    </row>
    <row r="351" spans="1:39" x14ac:dyDescent="0.5">
      <c r="A351" s="16">
        <v>347</v>
      </c>
      <c r="B351" s="97" t="s">
        <v>227</v>
      </c>
      <c r="C351" s="92" t="s">
        <v>1506</v>
      </c>
      <c r="D351" s="93">
        <v>543</v>
      </c>
      <c r="E351" s="85">
        <f t="shared" si="106"/>
        <v>16898.16</v>
      </c>
      <c r="F351" s="94"/>
      <c r="G351" s="85">
        <f t="shared" si="107"/>
        <v>0</v>
      </c>
      <c r="H351" s="94"/>
      <c r="I351" s="85">
        <f t="shared" si="108"/>
        <v>0</v>
      </c>
      <c r="J351" s="17"/>
      <c r="K351" s="86">
        <f t="shared" si="109"/>
        <v>0</v>
      </c>
      <c r="L351" s="94"/>
      <c r="M351" s="86">
        <f t="shared" si="110"/>
        <v>0</v>
      </c>
      <c r="N351" s="93"/>
      <c r="O351" s="86">
        <f t="shared" si="111"/>
        <v>0</v>
      </c>
      <c r="P351" s="93"/>
      <c r="Q351" s="86">
        <f t="shared" si="112"/>
        <v>0</v>
      </c>
      <c r="R351" s="95">
        <v>516</v>
      </c>
      <c r="S351" s="86">
        <f t="shared" si="113"/>
        <v>17389.2</v>
      </c>
      <c r="T351" s="93">
        <v>711</v>
      </c>
      <c r="U351" s="86">
        <f t="shared" si="105"/>
        <v>23320.799999999999</v>
      </c>
      <c r="V351" s="93"/>
      <c r="W351" s="86">
        <f t="shared" si="102"/>
        <v>0</v>
      </c>
      <c r="X351" s="93">
        <v>1144</v>
      </c>
      <c r="Y351" s="86">
        <f t="shared" si="103"/>
        <v>39651.039999999994</v>
      </c>
      <c r="Z351" s="93">
        <v>365</v>
      </c>
      <c r="AA351" s="85">
        <f t="shared" si="104"/>
        <v>13158.249999999998</v>
      </c>
      <c r="AB351" s="96"/>
      <c r="AC351" s="85">
        <f t="shared" si="99"/>
        <v>0</v>
      </c>
      <c r="AD351" s="91">
        <v>637</v>
      </c>
      <c r="AE351" s="85">
        <f t="shared" si="100"/>
        <v>21772.66</v>
      </c>
      <c r="AF351" s="93">
        <v>1148</v>
      </c>
      <c r="AG351" s="89">
        <f t="shared" si="101"/>
        <v>38228.399999999994</v>
      </c>
      <c r="AH351" s="91"/>
      <c r="AI351" s="85">
        <f t="shared" si="97"/>
        <v>0</v>
      </c>
      <c r="AJ351" s="91">
        <v>512</v>
      </c>
      <c r="AK351" s="85">
        <f t="shared" si="98"/>
        <v>18775.04</v>
      </c>
      <c r="AL351" s="113">
        <f t="shared" si="95"/>
        <v>5576</v>
      </c>
      <c r="AM351" s="23">
        <f t="shared" si="96"/>
        <v>189193.55</v>
      </c>
    </row>
    <row r="352" spans="1:39" s="114" customFormat="1" x14ac:dyDescent="0.5">
      <c r="A352" s="16">
        <v>348</v>
      </c>
      <c r="B352" s="97" t="s">
        <v>1507</v>
      </c>
      <c r="C352" s="92" t="s">
        <v>1508</v>
      </c>
      <c r="D352" s="93">
        <v>529</v>
      </c>
      <c r="E352" s="85">
        <f t="shared" si="106"/>
        <v>16462.48</v>
      </c>
      <c r="F352" s="94">
        <v>471</v>
      </c>
      <c r="G352" s="85">
        <f t="shared" si="107"/>
        <v>15265.109999999999</v>
      </c>
      <c r="H352" s="94">
        <v>478</v>
      </c>
      <c r="I352" s="85">
        <f t="shared" si="108"/>
        <v>15778.779999999999</v>
      </c>
      <c r="J352" s="17"/>
      <c r="K352" s="86">
        <f t="shared" si="109"/>
        <v>0</v>
      </c>
      <c r="L352" s="94">
        <v>352</v>
      </c>
      <c r="M352" s="86">
        <f t="shared" si="110"/>
        <v>13464</v>
      </c>
      <c r="N352" s="93">
        <v>286</v>
      </c>
      <c r="O352" s="86">
        <f t="shared" si="111"/>
        <v>12012</v>
      </c>
      <c r="P352" s="93"/>
      <c r="Q352" s="86">
        <f t="shared" si="112"/>
        <v>0</v>
      </c>
      <c r="R352" s="95">
        <v>455</v>
      </c>
      <c r="S352" s="86">
        <f t="shared" si="113"/>
        <v>15333.500000000002</v>
      </c>
      <c r="T352" s="93"/>
      <c r="U352" s="86">
        <f t="shared" si="105"/>
        <v>0</v>
      </c>
      <c r="V352" s="93"/>
      <c r="W352" s="86">
        <f t="shared" si="102"/>
        <v>0</v>
      </c>
      <c r="X352" s="93"/>
      <c r="Y352" s="86">
        <f t="shared" si="103"/>
        <v>0</v>
      </c>
      <c r="Z352" s="93"/>
      <c r="AA352" s="85">
        <f t="shared" si="104"/>
        <v>0</v>
      </c>
      <c r="AB352" s="96"/>
      <c r="AC352" s="85">
        <f t="shared" si="99"/>
        <v>0</v>
      </c>
      <c r="AD352" s="91"/>
      <c r="AE352" s="85">
        <f t="shared" si="100"/>
        <v>0</v>
      </c>
      <c r="AF352" s="93"/>
      <c r="AG352" s="89">
        <f t="shared" si="101"/>
        <v>0</v>
      </c>
      <c r="AH352" s="91"/>
      <c r="AI352" s="85">
        <f t="shared" si="97"/>
        <v>0</v>
      </c>
      <c r="AJ352" s="91"/>
      <c r="AK352" s="85">
        <f t="shared" si="98"/>
        <v>0</v>
      </c>
      <c r="AL352" s="113">
        <f t="shared" si="95"/>
        <v>2571</v>
      </c>
      <c r="AM352" s="23">
        <f t="shared" si="96"/>
        <v>88315.87</v>
      </c>
    </row>
    <row r="353" spans="1:39" s="114" customFormat="1" x14ac:dyDescent="0.5">
      <c r="A353" s="16">
        <v>349</v>
      </c>
      <c r="B353" s="97" t="s">
        <v>1509</v>
      </c>
      <c r="C353" s="92" t="s">
        <v>1510</v>
      </c>
      <c r="D353" s="93"/>
      <c r="E353" s="85">
        <f t="shared" si="106"/>
        <v>0</v>
      </c>
      <c r="F353" s="94"/>
      <c r="G353" s="85">
        <f t="shared" si="107"/>
        <v>0</v>
      </c>
      <c r="H353" s="94"/>
      <c r="I353" s="85">
        <f t="shared" si="108"/>
        <v>0</v>
      </c>
      <c r="J353" s="17"/>
      <c r="K353" s="86">
        <f t="shared" si="109"/>
        <v>0</v>
      </c>
      <c r="L353" s="94"/>
      <c r="M353" s="86">
        <f t="shared" si="110"/>
        <v>0</v>
      </c>
      <c r="N353" s="93">
        <v>1322</v>
      </c>
      <c r="O353" s="86">
        <f t="shared" si="111"/>
        <v>55524</v>
      </c>
      <c r="P353" s="93">
        <v>1514</v>
      </c>
      <c r="Q353" s="86">
        <f t="shared" si="112"/>
        <v>58591.8</v>
      </c>
      <c r="R353" s="95">
        <v>1766</v>
      </c>
      <c r="S353" s="86">
        <f t="shared" si="113"/>
        <v>59514.200000000004</v>
      </c>
      <c r="T353" s="93">
        <v>1596</v>
      </c>
      <c r="U353" s="86">
        <f t="shared" si="105"/>
        <v>52348.799999999996</v>
      </c>
      <c r="V353" s="93">
        <v>1721</v>
      </c>
      <c r="W353" s="86">
        <f t="shared" si="102"/>
        <v>60493.149999999994</v>
      </c>
      <c r="X353" s="93">
        <v>1560</v>
      </c>
      <c r="Y353" s="86">
        <f t="shared" si="103"/>
        <v>54069.599999999991</v>
      </c>
      <c r="Z353" s="93"/>
      <c r="AA353" s="85">
        <f t="shared" si="104"/>
        <v>0</v>
      </c>
      <c r="AB353" s="96">
        <v>1854</v>
      </c>
      <c r="AC353" s="85">
        <f t="shared" si="99"/>
        <v>64964.159999999996</v>
      </c>
      <c r="AD353" s="91"/>
      <c r="AE353" s="85">
        <f t="shared" si="100"/>
        <v>0</v>
      </c>
      <c r="AF353" s="93"/>
      <c r="AG353" s="89">
        <f t="shared" si="101"/>
        <v>0</v>
      </c>
      <c r="AH353" s="91"/>
      <c r="AI353" s="85">
        <f t="shared" si="97"/>
        <v>0</v>
      </c>
      <c r="AJ353" s="91"/>
      <c r="AK353" s="85">
        <f t="shared" si="98"/>
        <v>0</v>
      </c>
      <c r="AL353" s="113">
        <f t="shared" si="95"/>
        <v>11333</v>
      </c>
      <c r="AM353" s="23">
        <f t="shared" si="96"/>
        <v>405505.7099999999</v>
      </c>
    </row>
    <row r="354" spans="1:39" s="114" customFormat="1" x14ac:dyDescent="0.5">
      <c r="A354" s="16">
        <v>350</v>
      </c>
      <c r="B354" s="97" t="s">
        <v>1511</v>
      </c>
      <c r="C354" s="92" t="s">
        <v>1512</v>
      </c>
      <c r="D354" s="93">
        <v>291</v>
      </c>
      <c r="E354" s="85">
        <f t="shared" si="106"/>
        <v>9055.92</v>
      </c>
      <c r="F354" s="94"/>
      <c r="G354" s="85">
        <f t="shared" si="107"/>
        <v>0</v>
      </c>
      <c r="H354" s="94"/>
      <c r="I354" s="85">
        <f t="shared" si="108"/>
        <v>0</v>
      </c>
      <c r="J354" s="17"/>
      <c r="K354" s="86">
        <f t="shared" si="109"/>
        <v>0</v>
      </c>
      <c r="L354" s="94">
        <v>134</v>
      </c>
      <c r="M354" s="86">
        <f t="shared" si="110"/>
        <v>5125.5</v>
      </c>
      <c r="N354" s="93">
        <v>112</v>
      </c>
      <c r="O354" s="86">
        <f t="shared" si="111"/>
        <v>4704</v>
      </c>
      <c r="P354" s="93">
        <v>125</v>
      </c>
      <c r="Q354" s="86">
        <f t="shared" si="112"/>
        <v>4837.5</v>
      </c>
      <c r="R354" s="95"/>
      <c r="S354" s="86">
        <f t="shared" si="113"/>
        <v>0</v>
      </c>
      <c r="T354" s="93"/>
      <c r="U354" s="86">
        <f t="shared" si="105"/>
        <v>0</v>
      </c>
      <c r="V354" s="93"/>
      <c r="W354" s="86">
        <f t="shared" si="102"/>
        <v>0</v>
      </c>
      <c r="X354" s="93"/>
      <c r="Y354" s="86">
        <f t="shared" si="103"/>
        <v>0</v>
      </c>
      <c r="Z354" s="93"/>
      <c r="AA354" s="85">
        <f t="shared" si="104"/>
        <v>0</v>
      </c>
      <c r="AB354" s="96"/>
      <c r="AC354" s="85">
        <f t="shared" si="99"/>
        <v>0</v>
      </c>
      <c r="AD354" s="91"/>
      <c r="AE354" s="85">
        <f t="shared" si="100"/>
        <v>0</v>
      </c>
      <c r="AF354" s="93"/>
      <c r="AG354" s="89">
        <f t="shared" si="101"/>
        <v>0</v>
      </c>
      <c r="AH354" s="91"/>
      <c r="AI354" s="85">
        <f t="shared" si="97"/>
        <v>0</v>
      </c>
      <c r="AJ354" s="91"/>
      <c r="AK354" s="85">
        <f t="shared" si="98"/>
        <v>0</v>
      </c>
      <c r="AL354" s="113">
        <f t="shared" si="95"/>
        <v>662</v>
      </c>
      <c r="AM354" s="23">
        <f t="shared" si="96"/>
        <v>23722.92</v>
      </c>
    </row>
    <row r="355" spans="1:39" s="114" customFormat="1" x14ac:dyDescent="0.5">
      <c r="A355" s="16">
        <v>351</v>
      </c>
      <c r="B355" s="97" t="s">
        <v>1513</v>
      </c>
      <c r="C355" s="92"/>
      <c r="D355" s="93"/>
      <c r="E355" s="85">
        <f t="shared" si="106"/>
        <v>0</v>
      </c>
      <c r="F355" s="94"/>
      <c r="G355" s="85">
        <f t="shared" si="107"/>
        <v>0</v>
      </c>
      <c r="H355" s="94"/>
      <c r="I355" s="85">
        <f t="shared" si="108"/>
        <v>0</v>
      </c>
      <c r="J355" s="17"/>
      <c r="K355" s="86">
        <f t="shared" si="109"/>
        <v>0</v>
      </c>
      <c r="L355" s="94"/>
      <c r="M355" s="86">
        <f t="shared" si="110"/>
        <v>0</v>
      </c>
      <c r="N355" s="93"/>
      <c r="O355" s="86">
        <f t="shared" si="111"/>
        <v>0</v>
      </c>
      <c r="P355" s="93"/>
      <c r="Q355" s="86">
        <f t="shared" si="112"/>
        <v>0</v>
      </c>
      <c r="R355" s="95"/>
      <c r="S355" s="86">
        <f t="shared" si="113"/>
        <v>0</v>
      </c>
      <c r="T355" s="93"/>
      <c r="U355" s="86">
        <f t="shared" si="105"/>
        <v>0</v>
      </c>
      <c r="V355" s="93"/>
      <c r="W355" s="86">
        <f t="shared" si="102"/>
        <v>0</v>
      </c>
      <c r="X355" s="93">
        <v>305</v>
      </c>
      <c r="Y355" s="86">
        <f t="shared" si="103"/>
        <v>10571.3</v>
      </c>
      <c r="Z355" s="93"/>
      <c r="AA355" s="85">
        <f t="shared" si="104"/>
        <v>0</v>
      </c>
      <c r="AB355" s="96"/>
      <c r="AC355" s="85">
        <f t="shared" si="99"/>
        <v>0</v>
      </c>
      <c r="AD355" s="91"/>
      <c r="AE355" s="85">
        <f t="shared" si="100"/>
        <v>0</v>
      </c>
      <c r="AF355" s="93"/>
      <c r="AG355" s="89">
        <f t="shared" si="101"/>
        <v>0</v>
      </c>
      <c r="AH355" s="91"/>
      <c r="AI355" s="85">
        <f t="shared" si="97"/>
        <v>0</v>
      </c>
      <c r="AJ355" s="91"/>
      <c r="AK355" s="85">
        <f t="shared" si="98"/>
        <v>0</v>
      </c>
      <c r="AL355" s="113">
        <f t="shared" si="95"/>
        <v>305</v>
      </c>
      <c r="AM355" s="23">
        <f t="shared" si="96"/>
        <v>10571.3</v>
      </c>
    </row>
    <row r="356" spans="1:39" x14ac:dyDescent="0.5">
      <c r="A356" s="16">
        <v>352</v>
      </c>
      <c r="B356" s="97" t="s">
        <v>1514</v>
      </c>
      <c r="C356" s="92" t="s">
        <v>1515</v>
      </c>
      <c r="D356" s="93"/>
      <c r="E356" s="85">
        <f t="shared" si="106"/>
        <v>0</v>
      </c>
      <c r="F356" s="94"/>
      <c r="G356" s="85">
        <f t="shared" si="107"/>
        <v>0</v>
      </c>
      <c r="H356" s="94"/>
      <c r="I356" s="85">
        <f t="shared" si="108"/>
        <v>0</v>
      </c>
      <c r="J356" s="17"/>
      <c r="K356" s="86">
        <f t="shared" si="109"/>
        <v>0</v>
      </c>
      <c r="L356" s="94"/>
      <c r="M356" s="86">
        <f t="shared" si="110"/>
        <v>0</v>
      </c>
      <c r="N356" s="93">
        <v>550</v>
      </c>
      <c r="O356" s="86">
        <f t="shared" si="111"/>
        <v>23100</v>
      </c>
      <c r="P356" s="93">
        <v>1098</v>
      </c>
      <c r="Q356" s="86">
        <f t="shared" si="112"/>
        <v>42492.600000000006</v>
      </c>
      <c r="R356" s="95">
        <v>1087</v>
      </c>
      <c r="S356" s="86">
        <f t="shared" si="113"/>
        <v>36631.9</v>
      </c>
      <c r="T356" s="93">
        <v>1005</v>
      </c>
      <c r="U356" s="86">
        <f t="shared" si="105"/>
        <v>32964</v>
      </c>
      <c r="V356" s="93"/>
      <c r="W356" s="86">
        <f t="shared" si="102"/>
        <v>0</v>
      </c>
      <c r="X356" s="93"/>
      <c r="Y356" s="86">
        <f t="shared" si="103"/>
        <v>0</v>
      </c>
      <c r="Z356" s="93"/>
      <c r="AA356" s="85">
        <f t="shared" si="104"/>
        <v>0</v>
      </c>
      <c r="AB356" s="96">
        <v>1217</v>
      </c>
      <c r="AC356" s="85">
        <f t="shared" si="99"/>
        <v>42643.68</v>
      </c>
      <c r="AD356" s="91">
        <v>1464</v>
      </c>
      <c r="AE356" s="85">
        <f t="shared" si="100"/>
        <v>50039.519999999997</v>
      </c>
      <c r="AF356" s="93">
        <v>1213</v>
      </c>
      <c r="AG356" s="89">
        <f t="shared" si="101"/>
        <v>40392.899999999994</v>
      </c>
      <c r="AH356" s="91">
        <v>1307</v>
      </c>
      <c r="AI356" s="85">
        <f t="shared" si="97"/>
        <v>46986.65</v>
      </c>
      <c r="AJ356" s="91">
        <v>1362</v>
      </c>
      <c r="AK356" s="85">
        <f t="shared" si="98"/>
        <v>49944.54</v>
      </c>
      <c r="AL356" s="113">
        <f t="shared" si="95"/>
        <v>10303</v>
      </c>
      <c r="AM356" s="23">
        <f t="shared" si="96"/>
        <v>365195.79</v>
      </c>
    </row>
    <row r="357" spans="1:39" x14ac:dyDescent="0.5">
      <c r="A357" s="16">
        <v>353</v>
      </c>
      <c r="B357" s="97" t="s">
        <v>1516</v>
      </c>
      <c r="C357" s="92" t="s">
        <v>1517</v>
      </c>
      <c r="D357" s="93"/>
      <c r="E357" s="85">
        <f t="shared" si="106"/>
        <v>0</v>
      </c>
      <c r="F357" s="94"/>
      <c r="G357" s="85">
        <f t="shared" si="107"/>
        <v>0</v>
      </c>
      <c r="H357" s="94"/>
      <c r="I357" s="85">
        <f t="shared" si="108"/>
        <v>0</v>
      </c>
      <c r="J357" s="17"/>
      <c r="K357" s="86">
        <f t="shared" si="109"/>
        <v>0</v>
      </c>
      <c r="L357" s="94"/>
      <c r="M357" s="86">
        <f t="shared" si="110"/>
        <v>0</v>
      </c>
      <c r="N357" s="93"/>
      <c r="O357" s="86">
        <f t="shared" si="111"/>
        <v>0</v>
      </c>
      <c r="P357" s="93"/>
      <c r="Q357" s="86">
        <f t="shared" si="112"/>
        <v>0</v>
      </c>
      <c r="R357" s="95"/>
      <c r="S357" s="86">
        <f t="shared" si="113"/>
        <v>0</v>
      </c>
      <c r="T357" s="93"/>
      <c r="U357" s="86">
        <f t="shared" si="105"/>
        <v>0</v>
      </c>
      <c r="V357" s="93">
        <v>541</v>
      </c>
      <c r="W357" s="86">
        <f t="shared" si="102"/>
        <v>19016.149999999998</v>
      </c>
      <c r="X357" s="93">
        <v>393</v>
      </c>
      <c r="Y357" s="86">
        <f t="shared" si="103"/>
        <v>13621.38</v>
      </c>
      <c r="Z357" s="93">
        <v>334</v>
      </c>
      <c r="AA357" s="85">
        <f t="shared" si="104"/>
        <v>12040.699999999999</v>
      </c>
      <c r="AB357" s="96">
        <v>478</v>
      </c>
      <c r="AC357" s="85">
        <f t="shared" si="99"/>
        <v>16749.12</v>
      </c>
      <c r="AD357" s="91"/>
      <c r="AE357" s="85">
        <f t="shared" si="100"/>
        <v>0</v>
      </c>
      <c r="AF357" s="93"/>
      <c r="AG357" s="89">
        <f t="shared" si="101"/>
        <v>0</v>
      </c>
      <c r="AH357" s="91">
        <v>549</v>
      </c>
      <c r="AI357" s="85">
        <f t="shared" si="97"/>
        <v>19736.550000000003</v>
      </c>
      <c r="AJ357" s="91"/>
      <c r="AK357" s="85">
        <f t="shared" si="98"/>
        <v>0</v>
      </c>
      <c r="AL357" s="113">
        <f t="shared" si="95"/>
        <v>2295</v>
      </c>
      <c r="AM357" s="23">
        <f t="shared" si="96"/>
        <v>81163.899999999994</v>
      </c>
    </row>
    <row r="358" spans="1:39" s="114" customFormat="1" x14ac:dyDescent="0.5">
      <c r="A358" s="16">
        <v>354</v>
      </c>
      <c r="B358" s="97" t="s">
        <v>1518</v>
      </c>
      <c r="C358" s="92" t="s">
        <v>1519</v>
      </c>
      <c r="D358" s="93"/>
      <c r="E358" s="85">
        <f t="shared" si="106"/>
        <v>0</v>
      </c>
      <c r="F358" s="94"/>
      <c r="G358" s="85">
        <f t="shared" si="107"/>
        <v>0</v>
      </c>
      <c r="H358" s="94"/>
      <c r="I358" s="85">
        <f t="shared" si="108"/>
        <v>0</v>
      </c>
      <c r="J358" s="17"/>
      <c r="K358" s="86">
        <f t="shared" si="109"/>
        <v>0</v>
      </c>
      <c r="L358" s="94">
        <v>340</v>
      </c>
      <c r="M358" s="86">
        <f t="shared" si="110"/>
        <v>13005</v>
      </c>
      <c r="N358" s="93">
        <v>204</v>
      </c>
      <c r="O358" s="86">
        <f t="shared" si="111"/>
        <v>8568</v>
      </c>
      <c r="P358" s="93">
        <v>361</v>
      </c>
      <c r="Q358" s="86">
        <f t="shared" si="112"/>
        <v>13970.7</v>
      </c>
      <c r="R358" s="95">
        <v>504</v>
      </c>
      <c r="S358" s="86">
        <f t="shared" si="113"/>
        <v>16984.800000000003</v>
      </c>
      <c r="T358" s="93">
        <v>266</v>
      </c>
      <c r="U358" s="86">
        <f t="shared" si="105"/>
        <v>8724.7999999999993</v>
      </c>
      <c r="V358" s="93">
        <v>227</v>
      </c>
      <c r="W358" s="86">
        <f t="shared" si="102"/>
        <v>7979.0499999999993</v>
      </c>
      <c r="X358" s="93"/>
      <c r="Y358" s="86">
        <f t="shared" si="103"/>
        <v>0</v>
      </c>
      <c r="Z358" s="93"/>
      <c r="AA358" s="85">
        <f t="shared" si="104"/>
        <v>0</v>
      </c>
      <c r="AB358" s="96"/>
      <c r="AC358" s="85">
        <f t="shared" si="99"/>
        <v>0</v>
      </c>
      <c r="AD358" s="91"/>
      <c r="AE358" s="85">
        <f t="shared" si="100"/>
        <v>0</v>
      </c>
      <c r="AF358" s="93"/>
      <c r="AG358" s="89">
        <f t="shared" si="101"/>
        <v>0</v>
      </c>
      <c r="AH358" s="91"/>
      <c r="AI358" s="85">
        <f t="shared" si="97"/>
        <v>0</v>
      </c>
      <c r="AJ358" s="91"/>
      <c r="AK358" s="85">
        <f t="shared" si="98"/>
        <v>0</v>
      </c>
      <c r="AL358" s="113">
        <f t="shared" si="95"/>
        <v>1902</v>
      </c>
      <c r="AM358" s="23">
        <f t="shared" si="96"/>
        <v>69232.350000000006</v>
      </c>
    </row>
    <row r="359" spans="1:39" x14ac:dyDescent="0.5">
      <c r="A359" s="16">
        <v>355</v>
      </c>
      <c r="B359" s="97" t="s">
        <v>1520</v>
      </c>
      <c r="C359" s="92" t="s">
        <v>1521</v>
      </c>
      <c r="D359" s="93"/>
      <c r="E359" s="85">
        <f t="shared" si="106"/>
        <v>0</v>
      </c>
      <c r="F359" s="94"/>
      <c r="G359" s="85">
        <f t="shared" si="107"/>
        <v>0</v>
      </c>
      <c r="H359" s="94">
        <v>1134</v>
      </c>
      <c r="I359" s="85">
        <f t="shared" si="108"/>
        <v>37433.339999999997</v>
      </c>
      <c r="J359" s="17"/>
      <c r="K359" s="86">
        <f t="shared" si="109"/>
        <v>0</v>
      </c>
      <c r="L359" s="94"/>
      <c r="M359" s="86">
        <f t="shared" si="110"/>
        <v>0</v>
      </c>
      <c r="N359" s="93">
        <v>846</v>
      </c>
      <c r="O359" s="86">
        <f t="shared" si="111"/>
        <v>35532</v>
      </c>
      <c r="P359" s="93">
        <v>655</v>
      </c>
      <c r="Q359" s="86">
        <f t="shared" si="112"/>
        <v>25348.500000000004</v>
      </c>
      <c r="R359" s="95">
        <v>982</v>
      </c>
      <c r="S359" s="86">
        <f t="shared" si="113"/>
        <v>33093.4</v>
      </c>
      <c r="T359" s="93">
        <v>874</v>
      </c>
      <c r="U359" s="86">
        <f t="shared" si="105"/>
        <v>28667.199999999997</v>
      </c>
      <c r="V359" s="93">
        <v>986</v>
      </c>
      <c r="W359" s="86">
        <f t="shared" si="102"/>
        <v>34657.9</v>
      </c>
      <c r="X359" s="93">
        <v>880</v>
      </c>
      <c r="Y359" s="86">
        <f t="shared" si="103"/>
        <v>30500.799999999996</v>
      </c>
      <c r="Z359" s="93"/>
      <c r="AA359" s="85">
        <f t="shared" si="104"/>
        <v>0</v>
      </c>
      <c r="AB359" s="96"/>
      <c r="AC359" s="85">
        <f t="shared" si="99"/>
        <v>0</v>
      </c>
      <c r="AD359" s="91"/>
      <c r="AE359" s="85">
        <f t="shared" si="100"/>
        <v>0</v>
      </c>
      <c r="AF359" s="93"/>
      <c r="AG359" s="89">
        <f t="shared" si="101"/>
        <v>0</v>
      </c>
      <c r="AH359" s="91"/>
      <c r="AI359" s="85">
        <f t="shared" si="97"/>
        <v>0</v>
      </c>
      <c r="AJ359" s="91">
        <v>1306</v>
      </c>
      <c r="AK359" s="85">
        <f t="shared" si="98"/>
        <v>47891.020000000004</v>
      </c>
      <c r="AL359" s="113">
        <f t="shared" si="95"/>
        <v>7663</v>
      </c>
      <c r="AM359" s="23">
        <f t="shared" si="96"/>
        <v>273124.15999999997</v>
      </c>
    </row>
    <row r="360" spans="1:39" s="114" customFormat="1" x14ac:dyDescent="0.5">
      <c r="A360" s="16">
        <v>356</v>
      </c>
      <c r="B360" s="97" t="s">
        <v>1522</v>
      </c>
      <c r="C360" s="92" t="s">
        <v>1523</v>
      </c>
      <c r="D360" s="93"/>
      <c r="E360" s="85">
        <f t="shared" si="106"/>
        <v>0</v>
      </c>
      <c r="F360" s="94"/>
      <c r="G360" s="85">
        <f t="shared" si="107"/>
        <v>0</v>
      </c>
      <c r="H360" s="94"/>
      <c r="I360" s="85">
        <f t="shared" si="108"/>
        <v>0</v>
      </c>
      <c r="J360" s="17"/>
      <c r="K360" s="86">
        <f t="shared" si="109"/>
        <v>0</v>
      </c>
      <c r="L360" s="94"/>
      <c r="M360" s="86">
        <f t="shared" si="110"/>
        <v>0</v>
      </c>
      <c r="N360" s="93"/>
      <c r="O360" s="86">
        <f t="shared" si="111"/>
        <v>0</v>
      </c>
      <c r="P360" s="93"/>
      <c r="Q360" s="86">
        <f t="shared" si="112"/>
        <v>0</v>
      </c>
      <c r="R360" s="95">
        <v>409</v>
      </c>
      <c r="S360" s="86">
        <f t="shared" si="113"/>
        <v>13783.300000000001</v>
      </c>
      <c r="T360" s="93">
        <v>406</v>
      </c>
      <c r="U360" s="86">
        <f t="shared" si="105"/>
        <v>13316.8</v>
      </c>
      <c r="V360" s="93"/>
      <c r="W360" s="86">
        <f t="shared" si="102"/>
        <v>0</v>
      </c>
      <c r="X360" s="93"/>
      <c r="Y360" s="86">
        <f t="shared" si="103"/>
        <v>0</v>
      </c>
      <c r="Z360" s="93"/>
      <c r="AA360" s="85">
        <f t="shared" si="104"/>
        <v>0</v>
      </c>
      <c r="AB360" s="96"/>
      <c r="AC360" s="85">
        <f t="shared" si="99"/>
        <v>0</v>
      </c>
      <c r="AD360" s="91"/>
      <c r="AE360" s="85">
        <f t="shared" si="100"/>
        <v>0</v>
      </c>
      <c r="AF360" s="93"/>
      <c r="AG360" s="89">
        <f t="shared" si="101"/>
        <v>0</v>
      </c>
      <c r="AH360" s="91"/>
      <c r="AI360" s="85">
        <f t="shared" si="97"/>
        <v>0</v>
      </c>
      <c r="AJ360" s="91"/>
      <c r="AK360" s="85">
        <f t="shared" si="98"/>
        <v>0</v>
      </c>
      <c r="AL360" s="113">
        <f t="shared" si="95"/>
        <v>815</v>
      </c>
      <c r="AM360" s="23">
        <f t="shared" si="96"/>
        <v>27100.1</v>
      </c>
    </row>
    <row r="361" spans="1:39" s="114" customFormat="1" x14ac:dyDescent="0.5">
      <c r="A361" s="16">
        <v>357</v>
      </c>
      <c r="B361" s="97" t="s">
        <v>227</v>
      </c>
      <c r="C361" s="92" t="s">
        <v>1524</v>
      </c>
      <c r="D361" s="93">
        <v>500</v>
      </c>
      <c r="E361" s="85">
        <f t="shared" si="106"/>
        <v>15560</v>
      </c>
      <c r="F361" s="94">
        <v>289</v>
      </c>
      <c r="G361" s="85">
        <f t="shared" si="107"/>
        <v>9366.49</v>
      </c>
      <c r="H361" s="94">
        <v>319</v>
      </c>
      <c r="I361" s="85">
        <f t="shared" si="108"/>
        <v>10530.189999999999</v>
      </c>
      <c r="J361" s="17"/>
      <c r="K361" s="86">
        <f t="shared" si="109"/>
        <v>0</v>
      </c>
      <c r="L361" s="94"/>
      <c r="M361" s="86">
        <f t="shared" si="110"/>
        <v>0</v>
      </c>
      <c r="N361" s="93"/>
      <c r="O361" s="86">
        <f t="shared" si="111"/>
        <v>0</v>
      </c>
      <c r="P361" s="93"/>
      <c r="Q361" s="86">
        <f t="shared" si="112"/>
        <v>0</v>
      </c>
      <c r="R361" s="95"/>
      <c r="S361" s="86">
        <f t="shared" si="113"/>
        <v>0</v>
      </c>
      <c r="T361" s="93"/>
      <c r="U361" s="86">
        <f t="shared" si="105"/>
        <v>0</v>
      </c>
      <c r="V361" s="93"/>
      <c r="W361" s="86">
        <f t="shared" si="102"/>
        <v>0</v>
      </c>
      <c r="X361" s="93"/>
      <c r="Y361" s="86">
        <f t="shared" si="103"/>
        <v>0</v>
      </c>
      <c r="Z361" s="93"/>
      <c r="AA361" s="85">
        <f t="shared" si="104"/>
        <v>0</v>
      </c>
      <c r="AB361" s="96"/>
      <c r="AC361" s="85">
        <f t="shared" si="99"/>
        <v>0</v>
      </c>
      <c r="AD361" s="91"/>
      <c r="AE361" s="85">
        <f t="shared" si="100"/>
        <v>0</v>
      </c>
      <c r="AF361" s="93"/>
      <c r="AG361" s="89">
        <f t="shared" si="101"/>
        <v>0</v>
      </c>
      <c r="AH361" s="91"/>
      <c r="AI361" s="85">
        <f t="shared" si="97"/>
        <v>0</v>
      </c>
      <c r="AJ361" s="91"/>
      <c r="AK361" s="85">
        <f t="shared" si="98"/>
        <v>0</v>
      </c>
      <c r="AL361" s="113">
        <f t="shared" si="95"/>
        <v>1108</v>
      </c>
      <c r="AM361" s="23">
        <f t="shared" si="96"/>
        <v>35456.679999999993</v>
      </c>
    </row>
    <row r="362" spans="1:39" x14ac:dyDescent="0.5">
      <c r="A362" s="16">
        <v>358</v>
      </c>
      <c r="B362" s="97" t="s">
        <v>1525</v>
      </c>
      <c r="C362" s="92" t="s">
        <v>1526</v>
      </c>
      <c r="D362" s="93"/>
      <c r="E362" s="85">
        <f t="shared" si="106"/>
        <v>0</v>
      </c>
      <c r="F362" s="94"/>
      <c r="G362" s="85">
        <f t="shared" si="107"/>
        <v>0</v>
      </c>
      <c r="H362" s="94"/>
      <c r="I362" s="85">
        <f t="shared" si="108"/>
        <v>0</v>
      </c>
      <c r="J362" s="17"/>
      <c r="K362" s="86">
        <f t="shared" si="109"/>
        <v>0</v>
      </c>
      <c r="L362" s="94"/>
      <c r="M362" s="86">
        <f t="shared" si="110"/>
        <v>0</v>
      </c>
      <c r="N362" s="93"/>
      <c r="O362" s="86">
        <f t="shared" si="111"/>
        <v>0</v>
      </c>
      <c r="P362" s="93"/>
      <c r="Q362" s="86">
        <f t="shared" si="112"/>
        <v>0</v>
      </c>
      <c r="R362" s="95">
        <v>144</v>
      </c>
      <c r="S362" s="86">
        <f t="shared" si="113"/>
        <v>4852.8</v>
      </c>
      <c r="T362" s="93">
        <v>202</v>
      </c>
      <c r="U362" s="86">
        <f t="shared" si="105"/>
        <v>6625.5999999999995</v>
      </c>
      <c r="V362" s="93"/>
      <c r="W362" s="86">
        <f t="shared" si="102"/>
        <v>0</v>
      </c>
      <c r="X362" s="93"/>
      <c r="Y362" s="86">
        <f t="shared" si="103"/>
        <v>0</v>
      </c>
      <c r="Z362" s="93"/>
      <c r="AA362" s="85">
        <f t="shared" si="104"/>
        <v>0</v>
      </c>
      <c r="AB362" s="96">
        <v>243</v>
      </c>
      <c r="AC362" s="85">
        <f t="shared" si="99"/>
        <v>8514.7199999999993</v>
      </c>
      <c r="AD362" s="91"/>
      <c r="AE362" s="85">
        <f t="shared" si="100"/>
        <v>0</v>
      </c>
      <c r="AF362" s="93">
        <v>271</v>
      </c>
      <c r="AG362" s="89">
        <f t="shared" si="101"/>
        <v>9024.2999999999993</v>
      </c>
      <c r="AH362" s="91">
        <v>280</v>
      </c>
      <c r="AI362" s="85">
        <f t="shared" si="97"/>
        <v>10066</v>
      </c>
      <c r="AJ362" s="91">
        <v>387</v>
      </c>
      <c r="AK362" s="85">
        <f t="shared" si="98"/>
        <v>14191.29</v>
      </c>
      <c r="AL362" s="113">
        <f t="shared" si="95"/>
        <v>1527</v>
      </c>
      <c r="AM362" s="23">
        <f t="shared" si="96"/>
        <v>53274.71</v>
      </c>
    </row>
    <row r="363" spans="1:39" x14ac:dyDescent="0.5">
      <c r="A363" s="16">
        <v>359</v>
      </c>
      <c r="B363" s="97" t="s">
        <v>180</v>
      </c>
      <c r="C363" s="92" t="s">
        <v>1527</v>
      </c>
      <c r="D363" s="93"/>
      <c r="E363" s="85">
        <f t="shared" si="106"/>
        <v>0</v>
      </c>
      <c r="F363" s="94"/>
      <c r="G363" s="85">
        <f t="shared" si="107"/>
        <v>0</v>
      </c>
      <c r="H363" s="94">
        <v>326</v>
      </c>
      <c r="I363" s="85">
        <f t="shared" si="108"/>
        <v>10761.26</v>
      </c>
      <c r="J363" s="17"/>
      <c r="K363" s="86">
        <f t="shared" si="109"/>
        <v>0</v>
      </c>
      <c r="L363" s="94"/>
      <c r="M363" s="86">
        <f t="shared" si="110"/>
        <v>0</v>
      </c>
      <c r="N363" s="93">
        <v>320</v>
      </c>
      <c r="O363" s="86">
        <f t="shared" si="111"/>
        <v>13440</v>
      </c>
      <c r="P363" s="93"/>
      <c r="Q363" s="86">
        <f t="shared" si="112"/>
        <v>0</v>
      </c>
      <c r="R363" s="95">
        <v>276</v>
      </c>
      <c r="S363" s="86">
        <f t="shared" si="113"/>
        <v>9301.2000000000007</v>
      </c>
      <c r="T363" s="93">
        <v>715</v>
      </c>
      <c r="U363" s="86">
        <f t="shared" si="105"/>
        <v>23451.999999999996</v>
      </c>
      <c r="V363" s="93">
        <v>581</v>
      </c>
      <c r="W363" s="86">
        <f t="shared" si="102"/>
        <v>20422.149999999998</v>
      </c>
      <c r="X363" s="93">
        <v>718</v>
      </c>
      <c r="Y363" s="86">
        <f t="shared" si="103"/>
        <v>24885.879999999997</v>
      </c>
      <c r="Z363" s="93">
        <v>530</v>
      </c>
      <c r="AA363" s="85">
        <f t="shared" si="104"/>
        <v>19106.5</v>
      </c>
      <c r="AB363" s="96">
        <v>839</v>
      </c>
      <c r="AC363" s="85">
        <f t="shared" si="99"/>
        <v>29398.559999999998</v>
      </c>
      <c r="AD363" s="91"/>
      <c r="AE363" s="85">
        <f t="shared" si="100"/>
        <v>0</v>
      </c>
      <c r="AF363" s="93">
        <v>672</v>
      </c>
      <c r="AG363" s="89">
        <f t="shared" si="101"/>
        <v>22377.599999999999</v>
      </c>
      <c r="AH363" s="91">
        <v>879</v>
      </c>
      <c r="AI363" s="85">
        <f t="shared" si="97"/>
        <v>31600.050000000003</v>
      </c>
      <c r="AJ363" s="91">
        <v>995</v>
      </c>
      <c r="AK363" s="85">
        <f t="shared" si="98"/>
        <v>36486.65</v>
      </c>
      <c r="AL363" s="113">
        <f t="shared" si="95"/>
        <v>6851</v>
      </c>
      <c r="AM363" s="23">
        <f t="shared" si="96"/>
        <v>241231.85</v>
      </c>
    </row>
    <row r="364" spans="1:39" x14ac:dyDescent="0.5">
      <c r="A364" s="16">
        <v>360</v>
      </c>
      <c r="B364" s="97" t="s">
        <v>1528</v>
      </c>
      <c r="C364" s="92" t="s">
        <v>1529</v>
      </c>
      <c r="D364" s="93"/>
      <c r="E364" s="85">
        <f t="shared" si="106"/>
        <v>0</v>
      </c>
      <c r="F364" s="94"/>
      <c r="G364" s="85">
        <f t="shared" si="107"/>
        <v>0</v>
      </c>
      <c r="H364" s="94"/>
      <c r="I364" s="85">
        <f t="shared" si="108"/>
        <v>0</v>
      </c>
      <c r="J364" s="17"/>
      <c r="K364" s="86">
        <f t="shared" si="109"/>
        <v>0</v>
      </c>
      <c r="L364" s="94"/>
      <c r="M364" s="86">
        <f t="shared" si="110"/>
        <v>0</v>
      </c>
      <c r="N364" s="93">
        <v>468</v>
      </c>
      <c r="O364" s="86">
        <f t="shared" si="111"/>
        <v>19656</v>
      </c>
      <c r="P364" s="93">
        <v>546</v>
      </c>
      <c r="Q364" s="86">
        <f t="shared" si="112"/>
        <v>21130.2</v>
      </c>
      <c r="R364" s="95">
        <v>724</v>
      </c>
      <c r="S364" s="86">
        <f t="shared" si="113"/>
        <v>24398.800000000003</v>
      </c>
      <c r="T364" s="93">
        <v>770</v>
      </c>
      <c r="U364" s="86">
        <f t="shared" si="105"/>
        <v>25255.999999999996</v>
      </c>
      <c r="V364" s="93">
        <v>806</v>
      </c>
      <c r="W364" s="86">
        <f t="shared" si="102"/>
        <v>28330.899999999998</v>
      </c>
      <c r="X364" s="93">
        <v>643</v>
      </c>
      <c r="Y364" s="86">
        <f t="shared" si="103"/>
        <v>22286.379999999997</v>
      </c>
      <c r="Z364" s="93">
        <v>650</v>
      </c>
      <c r="AA364" s="85">
        <f t="shared" si="104"/>
        <v>23432.499999999996</v>
      </c>
      <c r="AB364" s="96">
        <v>949</v>
      </c>
      <c r="AC364" s="85">
        <f t="shared" si="99"/>
        <v>33252.959999999999</v>
      </c>
      <c r="AD364" s="91">
        <v>1005</v>
      </c>
      <c r="AE364" s="85">
        <f t="shared" si="100"/>
        <v>34350.9</v>
      </c>
      <c r="AF364" s="93">
        <v>768</v>
      </c>
      <c r="AG364" s="89">
        <f t="shared" si="101"/>
        <v>25574.399999999998</v>
      </c>
      <c r="AH364" s="91">
        <v>1009</v>
      </c>
      <c r="AI364" s="85">
        <f t="shared" si="97"/>
        <v>36273.550000000003</v>
      </c>
      <c r="AJ364" s="91">
        <v>1056</v>
      </c>
      <c r="AK364" s="85">
        <f t="shared" si="98"/>
        <v>38723.520000000004</v>
      </c>
      <c r="AL364" s="113">
        <f t="shared" si="95"/>
        <v>9394</v>
      </c>
      <c r="AM364" s="23">
        <f t="shared" si="96"/>
        <v>332666.11</v>
      </c>
    </row>
    <row r="365" spans="1:39" s="114" customFormat="1" x14ac:dyDescent="0.5">
      <c r="A365" s="16">
        <v>361</v>
      </c>
      <c r="B365" s="97" t="s">
        <v>1530</v>
      </c>
      <c r="C365" s="92" t="s">
        <v>1531</v>
      </c>
      <c r="D365" s="93"/>
      <c r="E365" s="85">
        <f t="shared" si="106"/>
        <v>0</v>
      </c>
      <c r="F365" s="94"/>
      <c r="G365" s="85">
        <f t="shared" si="107"/>
        <v>0</v>
      </c>
      <c r="H365" s="94"/>
      <c r="I365" s="85">
        <f t="shared" si="108"/>
        <v>0</v>
      </c>
      <c r="J365" s="17"/>
      <c r="K365" s="86">
        <f t="shared" si="109"/>
        <v>0</v>
      </c>
      <c r="L365" s="94"/>
      <c r="M365" s="86">
        <f t="shared" si="110"/>
        <v>0</v>
      </c>
      <c r="N365" s="93"/>
      <c r="O365" s="86">
        <f t="shared" si="111"/>
        <v>0</v>
      </c>
      <c r="P365" s="93">
        <v>202</v>
      </c>
      <c r="Q365" s="86">
        <f t="shared" si="112"/>
        <v>7817.4000000000005</v>
      </c>
      <c r="R365" s="95"/>
      <c r="S365" s="86">
        <f t="shared" si="113"/>
        <v>0</v>
      </c>
      <c r="T365" s="93"/>
      <c r="U365" s="86">
        <f t="shared" si="105"/>
        <v>0</v>
      </c>
      <c r="V365" s="93"/>
      <c r="W365" s="86">
        <f t="shared" si="102"/>
        <v>0</v>
      </c>
      <c r="X365" s="93"/>
      <c r="Y365" s="86">
        <f t="shared" si="103"/>
        <v>0</v>
      </c>
      <c r="Z365" s="93"/>
      <c r="AA365" s="85">
        <f t="shared" si="104"/>
        <v>0</v>
      </c>
      <c r="AB365" s="96"/>
      <c r="AC365" s="85">
        <f t="shared" si="99"/>
        <v>0</v>
      </c>
      <c r="AD365" s="91"/>
      <c r="AE365" s="85">
        <f t="shared" si="100"/>
        <v>0</v>
      </c>
      <c r="AF365" s="93"/>
      <c r="AG365" s="89">
        <f t="shared" si="101"/>
        <v>0</v>
      </c>
      <c r="AH365" s="91"/>
      <c r="AI365" s="85">
        <f t="shared" si="97"/>
        <v>0</v>
      </c>
      <c r="AJ365" s="91"/>
      <c r="AK365" s="85">
        <f t="shared" si="98"/>
        <v>0</v>
      </c>
      <c r="AL365" s="113">
        <f t="shared" si="95"/>
        <v>202</v>
      </c>
      <c r="AM365" s="23">
        <f t="shared" si="96"/>
        <v>7817.4000000000005</v>
      </c>
    </row>
    <row r="366" spans="1:39" s="114" customFormat="1" x14ac:dyDescent="0.5">
      <c r="A366" s="16">
        <v>362</v>
      </c>
      <c r="B366" s="97" t="s">
        <v>1532</v>
      </c>
      <c r="C366" s="92" t="s">
        <v>1533</v>
      </c>
      <c r="D366" s="93"/>
      <c r="E366" s="85">
        <f t="shared" si="106"/>
        <v>0</v>
      </c>
      <c r="F366" s="94"/>
      <c r="G366" s="85">
        <f t="shared" si="107"/>
        <v>0</v>
      </c>
      <c r="H366" s="94"/>
      <c r="I366" s="85">
        <f t="shared" si="108"/>
        <v>0</v>
      </c>
      <c r="J366" s="17"/>
      <c r="K366" s="86">
        <f t="shared" si="109"/>
        <v>0</v>
      </c>
      <c r="L366" s="94"/>
      <c r="M366" s="86">
        <f t="shared" si="110"/>
        <v>0</v>
      </c>
      <c r="N366" s="93"/>
      <c r="O366" s="86">
        <f t="shared" si="111"/>
        <v>0</v>
      </c>
      <c r="P366" s="93"/>
      <c r="Q366" s="86">
        <f t="shared" si="112"/>
        <v>0</v>
      </c>
      <c r="R366" s="95"/>
      <c r="S366" s="86">
        <f t="shared" si="113"/>
        <v>0</v>
      </c>
      <c r="T366" s="93"/>
      <c r="U366" s="86">
        <f t="shared" si="105"/>
        <v>0</v>
      </c>
      <c r="V366" s="93"/>
      <c r="W366" s="86">
        <f t="shared" si="102"/>
        <v>0</v>
      </c>
      <c r="X366" s="93"/>
      <c r="Y366" s="86">
        <f t="shared" si="103"/>
        <v>0</v>
      </c>
      <c r="Z366" s="93"/>
      <c r="AA366" s="85">
        <f t="shared" si="104"/>
        <v>0</v>
      </c>
      <c r="AB366" s="96"/>
      <c r="AC366" s="85">
        <f t="shared" si="99"/>
        <v>0</v>
      </c>
      <c r="AD366" s="91"/>
      <c r="AE366" s="85">
        <f t="shared" si="100"/>
        <v>0</v>
      </c>
      <c r="AF366" s="93"/>
      <c r="AG366" s="89">
        <f t="shared" si="101"/>
        <v>0</v>
      </c>
      <c r="AH366" s="91"/>
      <c r="AI366" s="85">
        <f t="shared" si="97"/>
        <v>0</v>
      </c>
      <c r="AJ366" s="91"/>
      <c r="AK366" s="85">
        <f t="shared" si="98"/>
        <v>0</v>
      </c>
      <c r="AL366" s="113">
        <f t="shared" si="95"/>
        <v>0</v>
      </c>
      <c r="AM366" s="23">
        <f t="shared" si="96"/>
        <v>0</v>
      </c>
    </row>
    <row r="367" spans="1:39" s="114" customFormat="1" x14ac:dyDescent="0.5">
      <c r="A367" s="16">
        <v>363</v>
      </c>
      <c r="B367" s="97" t="s">
        <v>1534</v>
      </c>
      <c r="C367" s="92" t="s">
        <v>1535</v>
      </c>
      <c r="D367" s="93"/>
      <c r="E367" s="85">
        <f t="shared" si="106"/>
        <v>0</v>
      </c>
      <c r="F367" s="94"/>
      <c r="G367" s="85">
        <f t="shared" si="107"/>
        <v>0</v>
      </c>
      <c r="H367" s="94"/>
      <c r="I367" s="85">
        <f t="shared" si="108"/>
        <v>0</v>
      </c>
      <c r="J367" s="17"/>
      <c r="K367" s="86">
        <f t="shared" si="109"/>
        <v>0</v>
      </c>
      <c r="L367" s="94"/>
      <c r="M367" s="86">
        <f t="shared" si="110"/>
        <v>0</v>
      </c>
      <c r="N367" s="93"/>
      <c r="O367" s="86">
        <f t="shared" si="111"/>
        <v>0</v>
      </c>
      <c r="P367" s="93">
        <v>289</v>
      </c>
      <c r="Q367" s="86">
        <f t="shared" si="112"/>
        <v>11184.300000000001</v>
      </c>
      <c r="R367" s="95"/>
      <c r="S367" s="86">
        <f t="shared" si="113"/>
        <v>0</v>
      </c>
      <c r="T367" s="93">
        <v>476</v>
      </c>
      <c r="U367" s="86">
        <f t="shared" si="105"/>
        <v>15612.8</v>
      </c>
      <c r="V367" s="93">
        <v>832</v>
      </c>
      <c r="W367" s="86">
        <f t="shared" si="102"/>
        <v>29244.799999999999</v>
      </c>
      <c r="X367" s="93">
        <v>564</v>
      </c>
      <c r="Y367" s="86">
        <f t="shared" si="103"/>
        <v>19548.239999999998</v>
      </c>
      <c r="Z367" s="93"/>
      <c r="AA367" s="85">
        <f t="shared" si="104"/>
        <v>0</v>
      </c>
      <c r="AB367" s="96"/>
      <c r="AC367" s="85">
        <f t="shared" si="99"/>
        <v>0</v>
      </c>
      <c r="AD367" s="91"/>
      <c r="AE367" s="85">
        <f t="shared" si="100"/>
        <v>0</v>
      </c>
      <c r="AF367" s="93"/>
      <c r="AG367" s="89">
        <f t="shared" si="101"/>
        <v>0</v>
      </c>
      <c r="AH367" s="91"/>
      <c r="AI367" s="85">
        <f t="shared" si="97"/>
        <v>0</v>
      </c>
      <c r="AJ367" s="91"/>
      <c r="AK367" s="85">
        <f t="shared" si="98"/>
        <v>0</v>
      </c>
      <c r="AL367" s="113">
        <f t="shared" si="95"/>
        <v>2161</v>
      </c>
      <c r="AM367" s="23">
        <f t="shared" si="96"/>
        <v>75590.139999999985</v>
      </c>
    </row>
    <row r="368" spans="1:39" x14ac:dyDescent="0.5">
      <c r="A368" s="16">
        <v>364</v>
      </c>
      <c r="B368" s="97" t="s">
        <v>1536</v>
      </c>
      <c r="C368" s="92" t="s">
        <v>1537</v>
      </c>
      <c r="D368" s="93">
        <v>81</v>
      </c>
      <c r="E368" s="85">
        <f t="shared" si="106"/>
        <v>2520.7200000000003</v>
      </c>
      <c r="F368" s="94"/>
      <c r="G368" s="85">
        <f t="shared" si="107"/>
        <v>0</v>
      </c>
      <c r="H368" s="94"/>
      <c r="I368" s="85">
        <f t="shared" si="108"/>
        <v>0</v>
      </c>
      <c r="J368" s="17"/>
      <c r="K368" s="86">
        <f t="shared" si="109"/>
        <v>0</v>
      </c>
      <c r="L368" s="94"/>
      <c r="M368" s="86">
        <f t="shared" si="110"/>
        <v>0</v>
      </c>
      <c r="N368" s="93">
        <v>173</v>
      </c>
      <c r="O368" s="86">
        <f t="shared" si="111"/>
        <v>7266</v>
      </c>
      <c r="P368" s="93">
        <v>138</v>
      </c>
      <c r="Q368" s="86">
        <f t="shared" si="112"/>
        <v>5340.6</v>
      </c>
      <c r="R368" s="95">
        <v>148</v>
      </c>
      <c r="S368" s="86">
        <f t="shared" si="113"/>
        <v>4987.6000000000004</v>
      </c>
      <c r="T368" s="93">
        <v>192</v>
      </c>
      <c r="U368" s="86">
        <f t="shared" si="105"/>
        <v>6297.5999999999995</v>
      </c>
      <c r="V368" s="93">
        <v>187</v>
      </c>
      <c r="W368" s="86">
        <f t="shared" si="102"/>
        <v>6573.05</v>
      </c>
      <c r="X368" s="93">
        <v>162</v>
      </c>
      <c r="Y368" s="86">
        <f t="shared" si="103"/>
        <v>5614.9199999999992</v>
      </c>
      <c r="Z368" s="93">
        <v>165</v>
      </c>
      <c r="AA368" s="85">
        <f t="shared" si="104"/>
        <v>5948.2499999999991</v>
      </c>
      <c r="AB368" s="96">
        <v>177</v>
      </c>
      <c r="AC368" s="85">
        <f t="shared" si="99"/>
        <v>6202.08</v>
      </c>
      <c r="AD368" s="91">
        <v>186</v>
      </c>
      <c r="AE368" s="85">
        <f t="shared" si="100"/>
        <v>6357.48</v>
      </c>
      <c r="AF368" s="93">
        <v>142</v>
      </c>
      <c r="AG368" s="89">
        <f t="shared" si="101"/>
        <v>4728.5999999999995</v>
      </c>
      <c r="AH368" s="91">
        <v>183</v>
      </c>
      <c r="AI368" s="85">
        <f t="shared" si="97"/>
        <v>6578.85</v>
      </c>
      <c r="AJ368" s="91">
        <v>153</v>
      </c>
      <c r="AK368" s="85">
        <f t="shared" si="98"/>
        <v>5610.51</v>
      </c>
      <c r="AL368" s="113">
        <f t="shared" si="95"/>
        <v>2087</v>
      </c>
      <c r="AM368" s="23">
        <f t="shared" si="96"/>
        <v>74026.259999999995</v>
      </c>
    </row>
    <row r="369" spans="1:39" s="114" customFormat="1" x14ac:dyDescent="0.5">
      <c r="A369" s="16">
        <v>365</v>
      </c>
      <c r="B369" s="97" t="s">
        <v>1538</v>
      </c>
      <c r="C369" s="92" t="s">
        <v>1539</v>
      </c>
      <c r="D369" s="93"/>
      <c r="E369" s="85">
        <f t="shared" si="106"/>
        <v>0</v>
      </c>
      <c r="F369" s="94"/>
      <c r="G369" s="85">
        <f t="shared" si="107"/>
        <v>0</v>
      </c>
      <c r="H369" s="94"/>
      <c r="I369" s="85">
        <f t="shared" si="108"/>
        <v>0</v>
      </c>
      <c r="J369" s="17"/>
      <c r="K369" s="86">
        <f t="shared" si="109"/>
        <v>0</v>
      </c>
      <c r="L369" s="94"/>
      <c r="M369" s="86">
        <f t="shared" si="110"/>
        <v>0</v>
      </c>
      <c r="N369" s="93"/>
      <c r="O369" s="86">
        <f t="shared" si="111"/>
        <v>0</v>
      </c>
      <c r="P369" s="93">
        <v>567</v>
      </c>
      <c r="Q369" s="86">
        <f t="shared" si="112"/>
        <v>21942.9</v>
      </c>
      <c r="R369" s="95">
        <v>852</v>
      </c>
      <c r="S369" s="86">
        <f t="shared" si="113"/>
        <v>28712.400000000001</v>
      </c>
      <c r="T369" s="93">
        <v>391</v>
      </c>
      <c r="U369" s="86">
        <f t="shared" si="105"/>
        <v>12824.8</v>
      </c>
      <c r="V369" s="93">
        <v>652</v>
      </c>
      <c r="W369" s="86">
        <f t="shared" si="102"/>
        <v>22917.8</v>
      </c>
      <c r="X369" s="93"/>
      <c r="Y369" s="86">
        <f t="shared" si="103"/>
        <v>0</v>
      </c>
      <c r="Z369" s="93"/>
      <c r="AA369" s="85">
        <f t="shared" si="104"/>
        <v>0</v>
      </c>
      <c r="AB369" s="96">
        <v>743</v>
      </c>
      <c r="AC369" s="85">
        <f t="shared" si="99"/>
        <v>26034.720000000001</v>
      </c>
      <c r="AD369" s="91"/>
      <c r="AE369" s="85">
        <f t="shared" si="100"/>
        <v>0</v>
      </c>
      <c r="AF369" s="93"/>
      <c r="AG369" s="89">
        <f t="shared" si="101"/>
        <v>0</v>
      </c>
      <c r="AH369" s="91"/>
      <c r="AI369" s="85">
        <f t="shared" si="97"/>
        <v>0</v>
      </c>
      <c r="AJ369" s="91"/>
      <c r="AK369" s="85">
        <f t="shared" si="98"/>
        <v>0</v>
      </c>
      <c r="AL369" s="113">
        <f t="shared" si="95"/>
        <v>3205</v>
      </c>
      <c r="AM369" s="23">
        <f t="shared" si="96"/>
        <v>112432.62000000001</v>
      </c>
    </row>
    <row r="370" spans="1:39" x14ac:dyDescent="0.5">
      <c r="A370" s="16">
        <v>366</v>
      </c>
      <c r="B370" s="97" t="s">
        <v>1540</v>
      </c>
      <c r="C370" s="92" t="s">
        <v>1541</v>
      </c>
      <c r="D370" s="93">
        <v>487</v>
      </c>
      <c r="E370" s="85">
        <f t="shared" si="106"/>
        <v>15155.44</v>
      </c>
      <c r="F370" s="94">
        <v>592</v>
      </c>
      <c r="G370" s="85">
        <f t="shared" si="107"/>
        <v>19186.719999999998</v>
      </c>
      <c r="H370" s="94">
        <v>511</v>
      </c>
      <c r="I370" s="85">
        <f t="shared" si="108"/>
        <v>16868.11</v>
      </c>
      <c r="J370" s="17"/>
      <c r="K370" s="86">
        <f t="shared" si="109"/>
        <v>0</v>
      </c>
      <c r="L370" s="94">
        <v>204</v>
      </c>
      <c r="M370" s="86">
        <f t="shared" si="110"/>
        <v>7803</v>
      </c>
      <c r="N370" s="93">
        <v>606</v>
      </c>
      <c r="O370" s="86">
        <f t="shared" si="111"/>
        <v>25452</v>
      </c>
      <c r="P370" s="93"/>
      <c r="Q370" s="86">
        <f t="shared" si="112"/>
        <v>0</v>
      </c>
      <c r="R370" s="95"/>
      <c r="S370" s="86">
        <f t="shared" si="113"/>
        <v>0</v>
      </c>
      <c r="T370" s="93">
        <v>1028</v>
      </c>
      <c r="U370" s="86">
        <f t="shared" si="105"/>
        <v>33718.399999999994</v>
      </c>
      <c r="V370" s="93">
        <v>424</v>
      </c>
      <c r="W370" s="86">
        <f t="shared" si="102"/>
        <v>14903.599999999999</v>
      </c>
      <c r="X370" s="93">
        <v>546</v>
      </c>
      <c r="Y370" s="86">
        <f t="shared" si="103"/>
        <v>18924.359999999997</v>
      </c>
      <c r="Z370" s="93">
        <v>636</v>
      </c>
      <c r="AA370" s="85">
        <f t="shared" si="104"/>
        <v>22927.8</v>
      </c>
      <c r="AB370" s="96">
        <v>783</v>
      </c>
      <c r="AC370" s="85">
        <f t="shared" si="99"/>
        <v>27436.32</v>
      </c>
      <c r="AD370" s="91">
        <v>1039</v>
      </c>
      <c r="AE370" s="85">
        <f t="shared" si="100"/>
        <v>35513.019999999997</v>
      </c>
      <c r="AF370" s="93">
        <v>918</v>
      </c>
      <c r="AG370" s="89">
        <f t="shared" si="101"/>
        <v>30569.399999999998</v>
      </c>
      <c r="AH370" s="91">
        <v>802</v>
      </c>
      <c r="AI370" s="85">
        <f t="shared" si="97"/>
        <v>28831.9</v>
      </c>
      <c r="AJ370" s="91"/>
      <c r="AK370" s="85">
        <f t="shared" si="98"/>
        <v>0</v>
      </c>
      <c r="AL370" s="113">
        <f t="shared" si="95"/>
        <v>8576</v>
      </c>
      <c r="AM370" s="23">
        <f t="shared" si="96"/>
        <v>297290.07</v>
      </c>
    </row>
    <row r="371" spans="1:39" x14ac:dyDescent="0.5">
      <c r="A371" s="16">
        <v>367</v>
      </c>
      <c r="B371" s="97" t="s">
        <v>1542</v>
      </c>
      <c r="C371" s="92" t="s">
        <v>1543</v>
      </c>
      <c r="D371" s="93">
        <v>289</v>
      </c>
      <c r="E371" s="85">
        <f t="shared" si="106"/>
        <v>8993.68</v>
      </c>
      <c r="F371" s="94">
        <v>600</v>
      </c>
      <c r="G371" s="85">
        <f t="shared" si="107"/>
        <v>19445.999999999996</v>
      </c>
      <c r="H371" s="94"/>
      <c r="I371" s="85">
        <f t="shared" si="108"/>
        <v>0</v>
      </c>
      <c r="J371" s="17"/>
      <c r="K371" s="86">
        <f t="shared" si="109"/>
        <v>0</v>
      </c>
      <c r="L371" s="94">
        <v>515</v>
      </c>
      <c r="M371" s="86">
        <f t="shared" si="110"/>
        <v>19698.75</v>
      </c>
      <c r="N371" s="93">
        <v>862</v>
      </c>
      <c r="O371" s="86">
        <f t="shared" si="111"/>
        <v>36204</v>
      </c>
      <c r="P371" s="93">
        <v>815</v>
      </c>
      <c r="Q371" s="86">
        <f t="shared" si="112"/>
        <v>31540.500000000004</v>
      </c>
      <c r="R371" s="95">
        <v>972</v>
      </c>
      <c r="S371" s="86">
        <f t="shared" si="113"/>
        <v>32756.400000000001</v>
      </c>
      <c r="T371" s="93">
        <v>902</v>
      </c>
      <c r="U371" s="86">
        <f t="shared" si="105"/>
        <v>29585.599999999999</v>
      </c>
      <c r="V371" s="93"/>
      <c r="W371" s="86">
        <f t="shared" si="102"/>
        <v>0</v>
      </c>
      <c r="X371" s="93">
        <v>904</v>
      </c>
      <c r="Y371" s="86">
        <f t="shared" si="103"/>
        <v>31332.639999999996</v>
      </c>
      <c r="Z371" s="93"/>
      <c r="AA371" s="85">
        <f t="shared" si="104"/>
        <v>0</v>
      </c>
      <c r="AB371" s="96">
        <v>881</v>
      </c>
      <c r="AC371" s="85">
        <f t="shared" si="99"/>
        <v>30870.239999999998</v>
      </c>
      <c r="AD371" s="91">
        <v>1039</v>
      </c>
      <c r="AE371" s="85">
        <f t="shared" si="100"/>
        <v>35513.019999999997</v>
      </c>
      <c r="AF371" s="93"/>
      <c r="AG371" s="89">
        <f t="shared" si="101"/>
        <v>0</v>
      </c>
      <c r="AH371" s="91">
        <v>1180</v>
      </c>
      <c r="AI371" s="85">
        <f t="shared" si="97"/>
        <v>42421</v>
      </c>
      <c r="AJ371" s="91">
        <v>1016</v>
      </c>
      <c r="AK371" s="85">
        <f t="shared" si="98"/>
        <v>37256.720000000001</v>
      </c>
      <c r="AL371" s="113">
        <f t="shared" si="95"/>
        <v>9975</v>
      </c>
      <c r="AM371" s="23">
        <f t="shared" si="96"/>
        <v>355618.54999999993</v>
      </c>
    </row>
    <row r="372" spans="1:39" s="114" customFormat="1" x14ac:dyDescent="0.5">
      <c r="A372" s="16">
        <v>368</v>
      </c>
      <c r="B372" s="97" t="s">
        <v>1544</v>
      </c>
      <c r="C372" s="92" t="s">
        <v>1545</v>
      </c>
      <c r="D372" s="93"/>
      <c r="E372" s="85">
        <f t="shared" si="106"/>
        <v>0</v>
      </c>
      <c r="F372" s="94"/>
      <c r="G372" s="85">
        <f t="shared" si="107"/>
        <v>0</v>
      </c>
      <c r="H372" s="94"/>
      <c r="I372" s="85">
        <f t="shared" si="108"/>
        <v>0</v>
      </c>
      <c r="J372" s="17"/>
      <c r="K372" s="86">
        <f t="shared" si="109"/>
        <v>0</v>
      </c>
      <c r="L372" s="94"/>
      <c r="M372" s="86">
        <f t="shared" si="110"/>
        <v>0</v>
      </c>
      <c r="N372" s="93">
        <v>912</v>
      </c>
      <c r="O372" s="86">
        <f t="shared" si="111"/>
        <v>38304</v>
      </c>
      <c r="P372" s="93"/>
      <c r="Q372" s="86">
        <f t="shared" si="112"/>
        <v>0</v>
      </c>
      <c r="R372" s="95"/>
      <c r="S372" s="86">
        <f t="shared" si="113"/>
        <v>0</v>
      </c>
      <c r="T372" s="93"/>
      <c r="U372" s="86">
        <f t="shared" si="105"/>
        <v>0</v>
      </c>
      <c r="V372" s="93"/>
      <c r="W372" s="86">
        <f t="shared" si="102"/>
        <v>0</v>
      </c>
      <c r="X372" s="93"/>
      <c r="Y372" s="86">
        <f t="shared" si="103"/>
        <v>0</v>
      </c>
      <c r="Z372" s="93"/>
      <c r="AA372" s="85">
        <f t="shared" si="104"/>
        <v>0</v>
      </c>
      <c r="AB372" s="96"/>
      <c r="AC372" s="85">
        <f t="shared" si="99"/>
        <v>0</v>
      </c>
      <c r="AD372" s="91"/>
      <c r="AE372" s="85">
        <f t="shared" si="100"/>
        <v>0</v>
      </c>
      <c r="AF372" s="93"/>
      <c r="AG372" s="89">
        <f t="shared" si="101"/>
        <v>0</v>
      </c>
      <c r="AH372" s="91"/>
      <c r="AI372" s="85">
        <f t="shared" si="97"/>
        <v>0</v>
      </c>
      <c r="AJ372" s="91"/>
      <c r="AK372" s="85">
        <f t="shared" si="98"/>
        <v>0</v>
      </c>
      <c r="AL372" s="113">
        <f t="shared" si="95"/>
        <v>912</v>
      </c>
      <c r="AM372" s="23">
        <f t="shared" si="96"/>
        <v>38304</v>
      </c>
    </row>
    <row r="373" spans="1:39" x14ac:dyDescent="0.5">
      <c r="A373" s="16">
        <v>369</v>
      </c>
      <c r="B373" s="97" t="s">
        <v>1546</v>
      </c>
      <c r="C373" s="92" t="s">
        <v>1547</v>
      </c>
      <c r="D373" s="93"/>
      <c r="E373" s="85">
        <f t="shared" si="106"/>
        <v>0</v>
      </c>
      <c r="F373" s="94"/>
      <c r="G373" s="85">
        <f t="shared" si="107"/>
        <v>0</v>
      </c>
      <c r="H373" s="94"/>
      <c r="I373" s="85">
        <f t="shared" si="108"/>
        <v>0</v>
      </c>
      <c r="J373" s="17"/>
      <c r="K373" s="86">
        <f t="shared" si="109"/>
        <v>0</v>
      </c>
      <c r="L373" s="94"/>
      <c r="M373" s="86">
        <f t="shared" si="110"/>
        <v>0</v>
      </c>
      <c r="N373" s="93"/>
      <c r="O373" s="86">
        <f t="shared" si="111"/>
        <v>0</v>
      </c>
      <c r="P373" s="93"/>
      <c r="Q373" s="86">
        <f t="shared" si="112"/>
        <v>0</v>
      </c>
      <c r="R373" s="95"/>
      <c r="S373" s="86">
        <f t="shared" si="113"/>
        <v>0</v>
      </c>
      <c r="T373" s="93">
        <v>512</v>
      </c>
      <c r="U373" s="86">
        <f t="shared" si="105"/>
        <v>16793.599999999999</v>
      </c>
      <c r="V373" s="93">
        <v>244</v>
      </c>
      <c r="W373" s="86">
        <f t="shared" si="102"/>
        <v>8576.6</v>
      </c>
      <c r="X373" s="93">
        <v>306</v>
      </c>
      <c r="Y373" s="86">
        <f t="shared" si="103"/>
        <v>10605.96</v>
      </c>
      <c r="Z373" s="93"/>
      <c r="AA373" s="85">
        <f t="shared" si="104"/>
        <v>0</v>
      </c>
      <c r="AB373" s="96"/>
      <c r="AC373" s="85">
        <f t="shared" si="99"/>
        <v>0</v>
      </c>
      <c r="AD373" s="91">
        <v>218</v>
      </c>
      <c r="AE373" s="85">
        <f t="shared" si="100"/>
        <v>7451.24</v>
      </c>
      <c r="AF373" s="93">
        <v>224</v>
      </c>
      <c r="AG373" s="89">
        <f t="shared" si="101"/>
        <v>7459.1999999999989</v>
      </c>
      <c r="AH373" s="91">
        <v>268</v>
      </c>
      <c r="AI373" s="85">
        <f t="shared" si="97"/>
        <v>9634.6</v>
      </c>
      <c r="AJ373" s="91">
        <v>311</v>
      </c>
      <c r="AK373" s="85">
        <f t="shared" si="98"/>
        <v>11404.37</v>
      </c>
      <c r="AL373" s="113">
        <f t="shared" si="95"/>
        <v>2083</v>
      </c>
      <c r="AM373" s="23">
        <f t="shared" si="96"/>
        <v>71925.569999999992</v>
      </c>
    </row>
    <row r="374" spans="1:39" x14ac:dyDescent="0.5">
      <c r="A374" s="16">
        <v>370</v>
      </c>
      <c r="B374" s="97" t="s">
        <v>1082</v>
      </c>
      <c r="C374" s="92" t="s">
        <v>1543</v>
      </c>
      <c r="D374" s="93">
        <v>906</v>
      </c>
      <c r="E374" s="85">
        <f t="shared" si="106"/>
        <v>28194.720000000001</v>
      </c>
      <c r="F374" s="94">
        <v>483</v>
      </c>
      <c r="G374" s="85">
        <f t="shared" si="107"/>
        <v>15654.029999999999</v>
      </c>
      <c r="H374" s="94">
        <v>586</v>
      </c>
      <c r="I374" s="85">
        <f t="shared" si="108"/>
        <v>19343.86</v>
      </c>
      <c r="J374" s="17"/>
      <c r="K374" s="86">
        <f t="shared" si="109"/>
        <v>0</v>
      </c>
      <c r="L374" s="94"/>
      <c r="M374" s="86">
        <f t="shared" si="110"/>
        <v>0</v>
      </c>
      <c r="N374" s="93">
        <v>321</v>
      </c>
      <c r="O374" s="86">
        <f t="shared" si="111"/>
        <v>13482</v>
      </c>
      <c r="P374" s="93">
        <v>347</v>
      </c>
      <c r="Q374" s="86">
        <f t="shared" si="112"/>
        <v>13428.900000000001</v>
      </c>
      <c r="R374" s="95">
        <v>487</v>
      </c>
      <c r="S374" s="86">
        <f t="shared" si="113"/>
        <v>16411.900000000001</v>
      </c>
      <c r="T374" s="93">
        <v>420</v>
      </c>
      <c r="U374" s="86">
        <f t="shared" si="105"/>
        <v>13775.999999999998</v>
      </c>
      <c r="V374" s="93">
        <v>417</v>
      </c>
      <c r="W374" s="86">
        <f t="shared" si="102"/>
        <v>14657.55</v>
      </c>
      <c r="X374" s="93">
        <v>355</v>
      </c>
      <c r="Y374" s="86">
        <f t="shared" si="103"/>
        <v>12304.3</v>
      </c>
      <c r="Z374" s="93">
        <v>416</v>
      </c>
      <c r="AA374" s="85">
        <f t="shared" si="104"/>
        <v>14996.8</v>
      </c>
      <c r="AB374" s="96">
        <v>458</v>
      </c>
      <c r="AC374" s="85">
        <f t="shared" si="99"/>
        <v>16048.32</v>
      </c>
      <c r="AD374" s="91">
        <v>530</v>
      </c>
      <c r="AE374" s="85">
        <f t="shared" si="100"/>
        <v>18115.400000000001</v>
      </c>
      <c r="AF374" s="93">
        <v>593</v>
      </c>
      <c r="AG374" s="89">
        <f t="shared" si="101"/>
        <v>19746.899999999998</v>
      </c>
      <c r="AH374" s="91">
        <v>567</v>
      </c>
      <c r="AI374" s="85">
        <f t="shared" si="97"/>
        <v>20383.650000000001</v>
      </c>
      <c r="AJ374" s="91">
        <v>603</v>
      </c>
      <c r="AK374" s="85">
        <f t="shared" si="98"/>
        <v>22112.010000000002</v>
      </c>
      <c r="AL374" s="113">
        <f t="shared" si="95"/>
        <v>7489</v>
      </c>
      <c r="AM374" s="23">
        <f t="shared" si="96"/>
        <v>258656.33999999997</v>
      </c>
    </row>
    <row r="375" spans="1:39" s="114" customFormat="1" x14ac:dyDescent="0.5">
      <c r="A375" s="16">
        <v>371</v>
      </c>
      <c r="B375" s="97" t="s">
        <v>1055</v>
      </c>
      <c r="C375" s="92" t="s">
        <v>1543</v>
      </c>
      <c r="D375" s="93"/>
      <c r="E375" s="85">
        <f t="shared" si="106"/>
        <v>0</v>
      </c>
      <c r="F375" s="94"/>
      <c r="G375" s="85">
        <f t="shared" si="107"/>
        <v>0</v>
      </c>
      <c r="H375" s="94"/>
      <c r="I375" s="85">
        <f t="shared" si="108"/>
        <v>0</v>
      </c>
      <c r="J375" s="17"/>
      <c r="K375" s="86">
        <f t="shared" si="109"/>
        <v>0</v>
      </c>
      <c r="L375" s="94"/>
      <c r="M375" s="86">
        <f t="shared" si="110"/>
        <v>0</v>
      </c>
      <c r="N375" s="93"/>
      <c r="O375" s="86">
        <f t="shared" si="111"/>
        <v>0</v>
      </c>
      <c r="P375" s="93"/>
      <c r="Q375" s="86">
        <f t="shared" si="112"/>
        <v>0</v>
      </c>
      <c r="R375" s="95"/>
      <c r="S375" s="86">
        <f t="shared" si="113"/>
        <v>0</v>
      </c>
      <c r="T375" s="93"/>
      <c r="U375" s="86">
        <f t="shared" si="105"/>
        <v>0</v>
      </c>
      <c r="V375" s="93"/>
      <c r="W375" s="86">
        <f t="shared" si="102"/>
        <v>0</v>
      </c>
      <c r="X375" s="93"/>
      <c r="Y375" s="86">
        <f t="shared" si="103"/>
        <v>0</v>
      </c>
      <c r="Z375" s="93"/>
      <c r="AA375" s="85">
        <f t="shared" si="104"/>
        <v>0</v>
      </c>
      <c r="AB375" s="96"/>
      <c r="AC375" s="85">
        <f t="shared" si="99"/>
        <v>0</v>
      </c>
      <c r="AD375" s="91"/>
      <c r="AE375" s="85">
        <f t="shared" si="100"/>
        <v>0</v>
      </c>
      <c r="AF375" s="93"/>
      <c r="AG375" s="89">
        <f t="shared" si="101"/>
        <v>0</v>
      </c>
      <c r="AH375" s="91"/>
      <c r="AI375" s="85">
        <f t="shared" si="97"/>
        <v>0</v>
      </c>
      <c r="AJ375" s="91"/>
      <c r="AK375" s="85">
        <f t="shared" si="98"/>
        <v>0</v>
      </c>
      <c r="AL375" s="113">
        <f t="shared" si="95"/>
        <v>0</v>
      </c>
      <c r="AM375" s="23">
        <f t="shared" si="96"/>
        <v>0</v>
      </c>
    </row>
    <row r="376" spans="1:39" x14ac:dyDescent="0.5">
      <c r="A376" s="98"/>
      <c r="B376" s="99" t="s">
        <v>17</v>
      </c>
      <c r="C376" s="100"/>
      <c r="D376" s="47">
        <f>SUM(D5:D375)</f>
        <v>76154</v>
      </c>
      <c r="E376" s="47">
        <f>SUM(E5:E375)</f>
        <v>2369912.4800000009</v>
      </c>
      <c r="F376" s="47">
        <f>SUM(F5:F375)</f>
        <v>33208</v>
      </c>
      <c r="G376" s="47">
        <f>SUM(G5:G375)</f>
        <v>1076271.28</v>
      </c>
      <c r="H376" s="47">
        <f>SUM(H5:H375)</f>
        <v>33941</v>
      </c>
      <c r="I376" s="47">
        <f>SUM(I5:I375)</f>
        <v>1120392.4100000004</v>
      </c>
      <c r="J376" s="47">
        <f>SUM(J5:J375)</f>
        <v>20045</v>
      </c>
      <c r="K376" s="47">
        <f>SUM(K5:K375)</f>
        <v>703980.39999999979</v>
      </c>
      <c r="L376" s="101">
        <f>SUM(L5:L375)</f>
        <v>30051</v>
      </c>
      <c r="M376" s="101">
        <f>SUM(M5:M375)</f>
        <v>1149450.75</v>
      </c>
      <c r="N376" s="47">
        <f>SUM(N5:N375)</f>
        <v>79026</v>
      </c>
      <c r="O376" s="47">
        <f>SUM(O5:O375)</f>
        <v>3319092</v>
      </c>
      <c r="P376" s="47">
        <f>SUM(P5:P375)</f>
        <v>82319</v>
      </c>
      <c r="Q376" s="47">
        <f>SUM(Q5:Q375)</f>
        <v>3185745.3</v>
      </c>
      <c r="R376" s="47">
        <f>SUM(R5:R375)</f>
        <v>91536</v>
      </c>
      <c r="S376" s="47">
        <f>SUM(S5:S375)</f>
        <v>3084763.2</v>
      </c>
      <c r="T376" s="47">
        <f>SUM(T5:T375)</f>
        <v>89845</v>
      </c>
      <c r="U376" s="47">
        <f>SUM(U5:U375)</f>
        <v>2946915.9999999991</v>
      </c>
      <c r="V376" s="47">
        <f>SUM(V5:V375)</f>
        <v>102934</v>
      </c>
      <c r="W376" s="47">
        <f>SUM(W5:W375)</f>
        <v>3618130.0999999982</v>
      </c>
      <c r="X376" s="47">
        <f>SUM(X5:X375)</f>
        <v>85839</v>
      </c>
      <c r="Y376" s="47">
        <f>SUM(Y5:Y375)</f>
        <v>2975179.7400000007</v>
      </c>
      <c r="Z376" s="47">
        <f>SUM(Z5:Z375)</f>
        <v>57047</v>
      </c>
      <c r="AA376" s="47">
        <f>SUM(AA5:AA375)</f>
        <v>2056544.3499999999</v>
      </c>
      <c r="AB376" s="47">
        <f>SUM(AB5:AB375)</f>
        <v>92391</v>
      </c>
      <c r="AC376" s="47">
        <f>SUM(AC5:AC375)</f>
        <v>3237380.6400000006</v>
      </c>
      <c r="AD376" s="47">
        <f>SUM(AD5:AD375)</f>
        <v>97043</v>
      </c>
      <c r="AE376" s="47">
        <f>SUM(AE5:AE375)</f>
        <v>3316929.7399999998</v>
      </c>
      <c r="AF376" s="47">
        <f>SUM(AF5:AF375)</f>
        <v>81006</v>
      </c>
      <c r="AG376" s="47">
        <f>SUM(AG5:AG375)</f>
        <v>2697499.7999999993</v>
      </c>
      <c r="AH376" s="47">
        <f>SUM(AH5:AH375)</f>
        <v>86389</v>
      </c>
      <c r="AI376" s="47">
        <f>SUM(AI5:AI375)</f>
        <v>3105684.5499999989</v>
      </c>
      <c r="AJ376" s="47">
        <f>SUM(AJ5:AJ375)</f>
        <v>75594</v>
      </c>
      <c r="AK376" s="47">
        <f>SUM(AK5:AK375)</f>
        <v>2772031.9799999991</v>
      </c>
      <c r="AL376" s="119">
        <f t="shared" si="95"/>
        <v>1214368</v>
      </c>
      <c r="AM376" s="120">
        <f t="shared" si="96"/>
        <v>42735904.719999991</v>
      </c>
    </row>
    <row r="377" spans="1:39" x14ac:dyDescent="0.5">
      <c r="A377" s="121"/>
      <c r="B377" s="102"/>
      <c r="C377" s="102"/>
      <c r="D377" s="103"/>
      <c r="E377" s="103"/>
      <c r="F377" s="104"/>
      <c r="G377" s="103"/>
      <c r="H377" s="104"/>
      <c r="I377" s="103"/>
      <c r="J377" s="104"/>
      <c r="K377" s="104"/>
      <c r="L377" s="104"/>
      <c r="M377" s="104"/>
      <c r="N377" s="103"/>
      <c r="O377" s="104"/>
      <c r="P377" s="103"/>
      <c r="Q377" s="104"/>
      <c r="R377" s="105"/>
      <c r="S377" s="106"/>
      <c r="T377" s="103"/>
      <c r="U377" s="104"/>
      <c r="V377" s="103"/>
      <c r="W377" s="104"/>
      <c r="X377" s="103"/>
      <c r="Y377" s="104"/>
      <c r="Z377" s="103"/>
      <c r="AA377" s="103"/>
      <c r="AB377" s="107"/>
      <c r="AC377" s="103"/>
      <c r="AD377" s="108"/>
      <c r="AE377" s="103"/>
      <c r="AF377" s="103"/>
      <c r="AG377" s="109"/>
      <c r="AH377" s="108"/>
      <c r="AI377" s="108"/>
      <c r="AJ377" s="103"/>
      <c r="AK377" s="109"/>
    </row>
  </sheetData>
  <mergeCells count="39">
    <mergeCell ref="B376:C376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AL2:AL3"/>
    <mergeCell ref="AM2:AM3"/>
    <mergeCell ref="D3:E3"/>
    <mergeCell ref="F3:G3"/>
    <mergeCell ref="H3:I3"/>
    <mergeCell ref="J3:K3"/>
    <mergeCell ref="L3:M3"/>
    <mergeCell ref="AH2:AI2"/>
    <mergeCell ref="AJ2:AK2"/>
    <mergeCell ref="V2:W2"/>
    <mergeCell ref="X2:Y2"/>
    <mergeCell ref="Z2:AA2"/>
    <mergeCell ref="AB2:AC2"/>
    <mergeCell ref="AD2:AE2"/>
    <mergeCell ref="AF2:AG2"/>
    <mergeCell ref="J2:K2"/>
    <mergeCell ref="L2:M2"/>
    <mergeCell ref="N2:O2"/>
    <mergeCell ref="P2:Q2"/>
    <mergeCell ref="R2:S2"/>
    <mergeCell ref="T2:U2"/>
    <mergeCell ref="A2:A4"/>
    <mergeCell ref="B2:C4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สมาชิก</vt:lpstr>
      <vt:lpstr>เกษตรกรทั่วไป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User107</dc:creator>
  <cp:lastModifiedBy>User107</cp:lastModifiedBy>
  <dcterms:created xsi:type="dcterms:W3CDTF">2026-01-17T04:38:59Z</dcterms:created>
  <dcterms:modified xsi:type="dcterms:W3CDTF">2026-01-17T04:46:05Z</dcterms:modified>
</cp:coreProperties>
</file>